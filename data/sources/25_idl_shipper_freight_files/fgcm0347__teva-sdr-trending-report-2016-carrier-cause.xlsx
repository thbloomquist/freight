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25" windowWidth="20370" windowHeight="9405" firstSheet="5" activeTab="8"/>
  </bookViews>
  <sheets>
    <sheet name="CR Summary Jan" sheetId="4" r:id="rId1"/>
    <sheet name="Aug. 2015-RAW DATA" sheetId="5" r:id="rId2"/>
    <sheet name="Sept. 2015-RAW DATA" sheetId="6" r:id="rId3"/>
    <sheet name="Oct. 2015- RAW DATA" sheetId="7" r:id="rId4"/>
    <sheet name="Nov. 2015- RAW DATA" sheetId="8" r:id="rId5"/>
    <sheet name="Dec. 2015- RAW DATA" sheetId="10" r:id="rId6"/>
    <sheet name="Jan. 2016- RAW DATA" sheetId="11" r:id="rId7"/>
    <sheet name="Feb. 2016- RAW DATA" sheetId="13" r:id="rId8"/>
    <sheet name="SDR YR OVR YR Compare" sheetId="1" r:id="rId9"/>
  </sheets>
  <definedNames>
    <definedName name="Header">#REF!</definedName>
    <definedName name="RawData">#REF!</definedName>
  </definedNames>
  <calcPr calcId="145621"/>
  <pivotCaches>
    <pivotCache cacheId="9" r:id="rId10"/>
  </pivotCaches>
</workbook>
</file>

<file path=xl/calcChain.xml><?xml version="1.0" encoding="utf-8"?>
<calcChain xmlns="http://schemas.openxmlformats.org/spreadsheetml/2006/main">
  <c r="O63" i="1" l="1"/>
  <c r="O62" i="1"/>
  <c r="O61" i="1"/>
  <c r="O60" i="1"/>
  <c r="O59" i="1"/>
  <c r="O58" i="1"/>
  <c r="O57" i="1"/>
  <c r="O56" i="1"/>
  <c r="O55" i="1"/>
  <c r="O54" i="1"/>
  <c r="O53" i="1"/>
  <c r="N38" i="1" l="1"/>
  <c r="N39" i="1"/>
  <c r="N40" i="1"/>
  <c r="N41" i="1"/>
  <c r="N42" i="1"/>
  <c r="N43" i="1"/>
  <c r="N44" i="1"/>
  <c r="N45" i="1"/>
  <c r="N46" i="1"/>
  <c r="N47" i="1"/>
  <c r="N48" i="1"/>
  <c r="N49" i="1"/>
  <c r="N37" i="1"/>
  <c r="O37" i="1"/>
  <c r="O38" i="1"/>
  <c r="O39" i="1"/>
  <c r="O40" i="1"/>
  <c r="O41" i="1"/>
  <c r="O42" i="1"/>
  <c r="O43" i="1"/>
  <c r="O44" i="1"/>
  <c r="O45" i="1"/>
  <c r="O46" i="1"/>
  <c r="O47" i="1"/>
  <c r="O48" i="1"/>
  <c r="O49" i="1"/>
  <c r="O20" i="1"/>
  <c r="O21" i="1"/>
  <c r="O22" i="1"/>
  <c r="O23" i="1"/>
  <c r="O24" i="1"/>
  <c r="O25" i="1"/>
  <c r="O26" i="1"/>
  <c r="O27" i="1"/>
  <c r="O28" i="1"/>
  <c r="O29" i="1"/>
  <c r="O30" i="1"/>
  <c r="O31" i="1"/>
  <c r="O32" i="1"/>
  <c r="O4" i="1"/>
  <c r="O5" i="1"/>
  <c r="O6" i="1"/>
  <c r="O7" i="1"/>
  <c r="O8" i="1"/>
  <c r="O9" i="1"/>
  <c r="O10" i="1"/>
  <c r="O11" i="1"/>
  <c r="O12" i="1"/>
  <c r="O13" i="1"/>
  <c r="O14" i="1"/>
  <c r="O15" i="1"/>
  <c r="O16" i="1"/>
  <c r="O3" i="1"/>
  <c r="U16" i="1" l="1"/>
  <c r="U15" i="1"/>
  <c r="U14" i="1"/>
  <c r="U13" i="1"/>
  <c r="U12" i="1"/>
  <c r="U11" i="1"/>
  <c r="U10" i="1"/>
  <c r="U9" i="1"/>
  <c r="U8" i="1"/>
  <c r="U7" i="1"/>
  <c r="U6" i="1"/>
  <c r="U5" i="1"/>
  <c r="U4" i="1"/>
  <c r="U3" i="1"/>
</calcChain>
</file>

<file path=xl/comments1.xml><?xml version="1.0" encoding="utf-8"?>
<comments xmlns="http://schemas.openxmlformats.org/spreadsheetml/2006/main">
  <authors>
    <author>Foley, Kevin</author>
  </authors>
  <commentList>
    <comment ref="A1" authorId="0">
      <text>
        <r>
          <rPr>
            <b/>
            <sz val="9"/>
            <color indexed="81"/>
            <rFont val="Tahoma"/>
            <family val="2"/>
          </rPr>
          <t>Number</t>
        </r>
      </text>
    </comment>
    <comment ref="B1" authorId="0">
      <text>
        <r>
          <rPr>
            <b/>
            <sz val="9"/>
            <color indexed="81"/>
            <rFont val="Tahoma"/>
            <family val="2"/>
          </rPr>
          <t>Type</t>
        </r>
      </text>
    </comment>
    <comment ref="C1" authorId="0">
      <text>
        <r>
          <rPr>
            <b/>
            <sz val="9"/>
            <color indexed="81"/>
            <rFont val="Tahoma"/>
            <family val="2"/>
          </rPr>
          <t>Created by</t>
        </r>
      </text>
    </comment>
    <comment ref="D1" authorId="0">
      <text>
        <r>
          <rPr>
            <b/>
            <sz val="9"/>
            <color indexed="81"/>
            <rFont val="Tahoma"/>
            <family val="2"/>
          </rPr>
          <t>Created on</t>
        </r>
      </text>
    </comment>
    <comment ref="E1" authorId="0">
      <text>
        <r>
          <rPr>
            <b/>
            <sz val="9"/>
            <color indexed="81"/>
            <rFont val="Tahoma"/>
            <family val="2"/>
          </rPr>
          <t>Reference Doc</t>
        </r>
      </text>
    </comment>
    <comment ref="F1" authorId="0">
      <text>
        <r>
          <rPr>
            <b/>
            <sz val="9"/>
            <color indexed="81"/>
            <rFont val="Tahoma"/>
            <family val="2"/>
          </rPr>
          <t>Ship.Date</t>
        </r>
      </text>
    </comment>
    <comment ref="G1" authorId="0">
      <text>
        <r>
          <rPr>
            <b/>
            <sz val="9"/>
            <color indexed="81"/>
            <rFont val="Tahoma"/>
            <family val="2"/>
          </rPr>
          <t>Delv.Date</t>
        </r>
      </text>
    </comment>
    <comment ref="H1" authorId="0">
      <text>
        <r>
          <rPr>
            <b/>
            <sz val="9"/>
            <color indexed="81"/>
            <rFont val="Tahoma"/>
            <family val="2"/>
          </rPr>
          <t>Sold-to</t>
        </r>
      </text>
    </comment>
    <comment ref="I1" authorId="0">
      <text>
        <r>
          <rPr>
            <b/>
            <sz val="9"/>
            <color indexed="81"/>
            <rFont val="Tahoma"/>
            <family val="2"/>
          </rPr>
          <t>Sold-to Name</t>
        </r>
      </text>
    </comment>
    <comment ref="J1" authorId="0">
      <text>
        <r>
          <rPr>
            <b/>
            <sz val="9"/>
            <color indexed="81"/>
            <rFont val="Tahoma"/>
            <family val="2"/>
          </rPr>
          <t>Ship-to</t>
        </r>
      </text>
    </comment>
    <comment ref="K1" authorId="0">
      <text>
        <r>
          <rPr>
            <b/>
            <sz val="9"/>
            <color indexed="81"/>
            <rFont val="Tahoma"/>
            <family val="2"/>
          </rPr>
          <t>Ship-to Name</t>
        </r>
      </text>
    </comment>
    <comment ref="L1" authorId="0">
      <text>
        <r>
          <rPr>
            <b/>
            <sz val="9"/>
            <color indexed="81"/>
            <rFont val="Tahoma"/>
            <family val="2"/>
          </rPr>
          <t>Payer</t>
        </r>
      </text>
    </comment>
    <comment ref="M1" authorId="0">
      <text>
        <r>
          <rPr>
            <b/>
            <sz val="9"/>
            <color indexed="81"/>
            <rFont val="Tahoma"/>
            <family val="2"/>
          </rPr>
          <t>Payer Name</t>
        </r>
      </text>
    </comment>
    <comment ref="N1" authorId="0">
      <text>
        <r>
          <rPr>
            <b/>
            <sz val="9"/>
            <color indexed="81"/>
            <rFont val="Tahoma"/>
            <family val="2"/>
          </rPr>
          <t>PO Number</t>
        </r>
      </text>
    </comment>
    <comment ref="O1" authorId="0">
      <text>
        <r>
          <rPr>
            <b/>
            <sz val="9"/>
            <color indexed="81"/>
            <rFont val="Tahoma"/>
            <family val="2"/>
          </rPr>
          <t>Plant</t>
        </r>
      </text>
    </comment>
    <comment ref="P1" authorId="0">
      <text>
        <r>
          <rPr>
            <b/>
            <sz val="9"/>
            <color indexed="81"/>
            <rFont val="Tahoma"/>
            <family val="2"/>
          </rPr>
          <t>Carrier</t>
        </r>
      </text>
    </comment>
    <comment ref="Q1" authorId="0">
      <text>
        <r>
          <rPr>
            <b/>
            <sz val="9"/>
            <color indexed="81"/>
            <rFont val="Tahoma"/>
            <family val="2"/>
          </rPr>
          <t>Name</t>
        </r>
      </text>
    </comment>
    <comment ref="R1" authorId="0">
      <text>
        <r>
          <rPr>
            <b/>
            <sz val="9"/>
            <color indexed="81"/>
            <rFont val="Tahoma"/>
            <family val="2"/>
          </rPr>
          <t>Adj Amt</t>
        </r>
      </text>
    </comment>
    <comment ref="S1" authorId="0">
      <text>
        <r>
          <rPr>
            <b/>
            <sz val="9"/>
            <color indexed="81"/>
            <rFont val="Tahoma"/>
            <family val="2"/>
          </rPr>
          <t>Currency</t>
        </r>
      </text>
    </comment>
    <comment ref="T1" authorId="0">
      <text>
        <r>
          <rPr>
            <b/>
            <sz val="9"/>
            <color indexed="81"/>
            <rFont val="Tahoma"/>
            <family val="2"/>
          </rPr>
          <t>Status</t>
        </r>
      </text>
    </comment>
    <comment ref="U1" authorId="0">
      <text>
        <r>
          <rPr>
            <b/>
            <sz val="9"/>
            <color indexed="81"/>
            <rFont val="Tahoma"/>
            <family val="2"/>
          </rPr>
          <t>DC - Cause</t>
        </r>
      </text>
    </comment>
    <comment ref="V1" authorId="0">
      <text>
        <r>
          <rPr>
            <b/>
            <sz val="9"/>
            <color indexed="81"/>
            <rFont val="Tahoma"/>
            <family val="2"/>
          </rPr>
          <t>DC - Recommend</t>
        </r>
      </text>
    </comment>
    <comment ref="W1" authorId="0">
      <text>
        <r>
          <rPr>
            <b/>
            <sz val="9"/>
            <color indexed="81"/>
            <rFont val="Tahoma"/>
            <family val="2"/>
          </rPr>
          <t>DC - Completed on</t>
        </r>
      </text>
    </comment>
    <comment ref="X1" authorId="0">
      <text>
        <r>
          <rPr>
            <b/>
            <sz val="9"/>
            <color indexed="81"/>
            <rFont val="Tahoma"/>
            <family val="2"/>
          </rPr>
          <t>SEC - Disposition</t>
        </r>
      </text>
    </comment>
    <comment ref="Y1" authorId="0">
      <text>
        <r>
          <rPr>
            <b/>
            <sz val="9"/>
            <color indexed="81"/>
            <rFont val="Tahoma"/>
            <family val="2"/>
          </rPr>
          <t>SEC - Completed on</t>
        </r>
      </text>
    </comment>
    <comment ref="Z1" authorId="0">
      <text>
        <r>
          <rPr>
            <b/>
            <sz val="9"/>
            <color indexed="81"/>
            <rFont val="Tahoma"/>
            <family val="2"/>
          </rPr>
          <t>ADJ - Type</t>
        </r>
      </text>
    </comment>
    <comment ref="AA1" authorId="0">
      <text>
        <r>
          <rPr>
            <b/>
            <sz val="9"/>
            <color indexed="81"/>
            <rFont val="Tahoma"/>
            <family val="2"/>
          </rPr>
          <t>ADJ - Number</t>
        </r>
      </text>
    </comment>
    <comment ref="AB1" authorId="0">
      <text>
        <r>
          <rPr>
            <b/>
            <sz val="9"/>
            <color indexed="81"/>
            <rFont val="Tahoma"/>
            <family val="2"/>
          </rPr>
          <t>ADJ - Completed on</t>
        </r>
      </text>
    </comment>
    <comment ref="AC1" authorId="0">
      <text>
        <r>
          <rPr>
            <b/>
            <sz val="9"/>
            <color indexed="81"/>
            <rFont val="Tahoma"/>
            <family val="2"/>
          </rPr>
          <t>Cargo Claim stat</t>
        </r>
      </text>
    </comment>
    <comment ref="AD1" authorId="0">
      <text>
        <r>
          <rPr>
            <b/>
            <sz val="9"/>
            <color indexed="81"/>
            <rFont val="Tahoma"/>
            <family val="2"/>
          </rPr>
          <t>Tracking Number</t>
        </r>
      </text>
    </comment>
    <comment ref="AE1" authorId="0">
      <text>
        <r>
          <rPr>
            <b/>
            <sz val="9"/>
            <color indexed="81"/>
            <rFont val="Tahoma"/>
            <family val="2"/>
          </rPr>
          <t>DC Discrepancy Type</t>
        </r>
      </text>
    </comment>
    <comment ref="AF1" authorId="0">
      <text>
        <r>
          <rPr>
            <b/>
            <sz val="9"/>
            <color indexed="81"/>
            <rFont val="Tahoma"/>
            <family val="2"/>
          </rPr>
          <t>DC Additional Info</t>
        </r>
      </text>
    </comment>
  </commentList>
</comments>
</file>

<file path=xl/comments2.xml><?xml version="1.0" encoding="utf-8"?>
<comments xmlns="http://schemas.openxmlformats.org/spreadsheetml/2006/main">
  <authors>
    <author>Foley, Kevin</author>
  </authors>
  <commentList>
    <comment ref="A1" authorId="0">
      <text>
        <r>
          <rPr>
            <b/>
            <sz val="9"/>
            <color indexed="81"/>
            <rFont val="Tahoma"/>
            <family val="2"/>
          </rPr>
          <t>Number</t>
        </r>
      </text>
    </comment>
    <comment ref="B1" authorId="0">
      <text>
        <r>
          <rPr>
            <b/>
            <sz val="9"/>
            <color indexed="81"/>
            <rFont val="Tahoma"/>
            <family val="2"/>
          </rPr>
          <t>Item no</t>
        </r>
      </text>
    </comment>
    <comment ref="C1" authorId="0">
      <text>
        <r>
          <rPr>
            <b/>
            <sz val="9"/>
            <color indexed="81"/>
            <rFont val="Tahoma"/>
            <family val="2"/>
          </rPr>
          <t>Type</t>
        </r>
      </text>
    </comment>
    <comment ref="D1" authorId="0">
      <text>
        <r>
          <rPr>
            <b/>
            <sz val="9"/>
            <color indexed="81"/>
            <rFont val="Tahoma"/>
            <family val="2"/>
          </rPr>
          <t>Created by</t>
        </r>
      </text>
    </comment>
    <comment ref="E1" authorId="0">
      <text>
        <r>
          <rPr>
            <b/>
            <sz val="9"/>
            <color indexed="81"/>
            <rFont val="Tahoma"/>
            <family val="2"/>
          </rPr>
          <t>Created on</t>
        </r>
      </text>
    </comment>
    <comment ref="F1" authorId="0">
      <text>
        <r>
          <rPr>
            <b/>
            <sz val="9"/>
            <color indexed="81"/>
            <rFont val="Tahoma"/>
            <family val="2"/>
          </rPr>
          <t>Reference Doc</t>
        </r>
      </text>
    </comment>
    <comment ref="G1" authorId="0">
      <text>
        <r>
          <rPr>
            <b/>
            <sz val="9"/>
            <color indexed="81"/>
            <rFont val="Tahoma"/>
            <family val="2"/>
          </rPr>
          <t>Item</t>
        </r>
      </text>
    </comment>
    <comment ref="H1" authorId="0">
      <text>
        <r>
          <rPr>
            <b/>
            <sz val="9"/>
            <color indexed="81"/>
            <rFont val="Tahoma"/>
            <family val="2"/>
          </rPr>
          <t>Ship.Date</t>
        </r>
      </text>
    </comment>
    <comment ref="I1" authorId="0">
      <text>
        <r>
          <rPr>
            <b/>
            <sz val="9"/>
            <color indexed="81"/>
            <rFont val="Tahoma"/>
            <family val="2"/>
          </rPr>
          <t>Delv.Date</t>
        </r>
      </text>
    </comment>
    <comment ref="J1" authorId="0">
      <text>
        <r>
          <rPr>
            <b/>
            <sz val="9"/>
            <color indexed="81"/>
            <rFont val="Tahoma"/>
            <family val="2"/>
          </rPr>
          <t>Sold-to</t>
        </r>
      </text>
    </comment>
    <comment ref="K1" authorId="0">
      <text>
        <r>
          <rPr>
            <b/>
            <sz val="9"/>
            <color indexed="81"/>
            <rFont val="Tahoma"/>
            <family val="2"/>
          </rPr>
          <t>Sold-to Name</t>
        </r>
      </text>
    </comment>
    <comment ref="L1" authorId="0">
      <text>
        <r>
          <rPr>
            <b/>
            <sz val="9"/>
            <color indexed="81"/>
            <rFont val="Tahoma"/>
            <family val="2"/>
          </rPr>
          <t>Ship-to</t>
        </r>
      </text>
    </comment>
    <comment ref="M1" authorId="0">
      <text>
        <r>
          <rPr>
            <b/>
            <sz val="9"/>
            <color indexed="81"/>
            <rFont val="Tahoma"/>
            <family val="2"/>
          </rPr>
          <t>Ship-to Name</t>
        </r>
      </text>
    </comment>
    <comment ref="N1" authorId="0">
      <text>
        <r>
          <rPr>
            <b/>
            <sz val="9"/>
            <color indexed="81"/>
            <rFont val="Tahoma"/>
            <family val="2"/>
          </rPr>
          <t>Payer</t>
        </r>
      </text>
    </comment>
    <comment ref="O1" authorId="0">
      <text>
        <r>
          <rPr>
            <b/>
            <sz val="9"/>
            <color indexed="81"/>
            <rFont val="Tahoma"/>
            <family val="2"/>
          </rPr>
          <t>Payer Name</t>
        </r>
      </text>
    </comment>
    <comment ref="P1" authorId="0">
      <text>
        <r>
          <rPr>
            <b/>
            <sz val="9"/>
            <color indexed="81"/>
            <rFont val="Tahoma"/>
            <family val="2"/>
          </rPr>
          <t>PO Number</t>
        </r>
      </text>
    </comment>
    <comment ref="Q1" authorId="0">
      <text>
        <r>
          <rPr>
            <b/>
            <sz val="9"/>
            <color indexed="81"/>
            <rFont val="Tahoma"/>
            <family val="2"/>
          </rPr>
          <t>WTL #</t>
        </r>
      </text>
    </comment>
    <comment ref="R1" authorId="0">
      <text>
        <r>
          <rPr>
            <b/>
            <sz val="9"/>
            <color indexed="81"/>
            <rFont val="Tahoma"/>
            <family val="2"/>
          </rPr>
          <t>Deduction #</t>
        </r>
      </text>
    </comment>
    <comment ref="S1" authorId="0">
      <text>
        <r>
          <rPr>
            <b/>
            <sz val="9"/>
            <color indexed="81"/>
            <rFont val="Tahoma"/>
            <family val="2"/>
          </rPr>
          <t>Material</t>
        </r>
      </text>
    </comment>
    <comment ref="T1" authorId="0">
      <text>
        <r>
          <rPr>
            <b/>
            <sz val="9"/>
            <color indexed="81"/>
            <rFont val="Tahoma"/>
            <family val="2"/>
          </rPr>
          <t>Material Description</t>
        </r>
      </text>
    </comment>
    <comment ref="U1" authorId="0">
      <text>
        <r>
          <rPr>
            <b/>
            <sz val="9"/>
            <color indexed="81"/>
            <rFont val="Tahoma"/>
            <family val="2"/>
          </rPr>
          <t>Classification</t>
        </r>
      </text>
    </comment>
    <comment ref="V1" authorId="0">
      <text>
        <r>
          <rPr>
            <b/>
            <sz val="9"/>
            <color indexed="81"/>
            <rFont val="Tahoma"/>
            <family val="2"/>
          </rPr>
          <t>Product Family</t>
        </r>
      </text>
    </comment>
    <comment ref="W1" authorId="0">
      <text>
        <r>
          <rPr>
            <b/>
            <sz val="9"/>
            <color indexed="81"/>
            <rFont val="Tahoma"/>
            <family val="2"/>
          </rPr>
          <t>Schedule</t>
        </r>
      </text>
    </comment>
    <comment ref="X1" authorId="0">
      <text>
        <r>
          <rPr>
            <b/>
            <sz val="9"/>
            <color indexed="81"/>
            <rFont val="Tahoma"/>
            <family val="2"/>
          </rPr>
          <t>Batch</t>
        </r>
      </text>
    </comment>
    <comment ref="Y1" authorId="0">
      <text>
        <r>
          <rPr>
            <b/>
            <sz val="9"/>
            <color indexed="81"/>
            <rFont val="Tahoma"/>
            <family val="2"/>
          </rPr>
          <t>Org Qty</t>
        </r>
      </text>
    </comment>
    <comment ref="Z1" authorId="0">
      <text>
        <r>
          <rPr>
            <b/>
            <sz val="9"/>
            <color indexed="81"/>
            <rFont val="Tahoma"/>
            <family val="2"/>
          </rPr>
          <t>Adj Qty</t>
        </r>
      </text>
    </comment>
    <comment ref="AA1" authorId="0">
      <text>
        <r>
          <rPr>
            <b/>
            <sz val="9"/>
            <color indexed="81"/>
            <rFont val="Tahoma"/>
            <family val="2"/>
          </rPr>
          <t>UOM</t>
        </r>
      </text>
    </comment>
    <comment ref="AB1" authorId="0">
      <text>
        <r>
          <rPr>
            <b/>
            <sz val="9"/>
            <color indexed="81"/>
            <rFont val="Tahoma"/>
            <family val="2"/>
          </rPr>
          <t>Alt QTY</t>
        </r>
      </text>
    </comment>
    <comment ref="AC1" authorId="0">
      <text>
        <r>
          <rPr>
            <b/>
            <sz val="9"/>
            <color indexed="81"/>
            <rFont val="Tahoma"/>
            <family val="2"/>
          </rPr>
          <t>UOM/CS</t>
        </r>
      </text>
    </comment>
    <comment ref="AD1" authorId="0">
      <text>
        <r>
          <rPr>
            <b/>
            <sz val="9"/>
            <color indexed="81"/>
            <rFont val="Tahoma"/>
            <family val="2"/>
          </rPr>
          <t>Net Price</t>
        </r>
      </text>
    </comment>
    <comment ref="AE1" authorId="0">
      <text>
        <r>
          <rPr>
            <b/>
            <sz val="9"/>
            <color indexed="81"/>
            <rFont val="Tahoma"/>
            <family val="2"/>
          </rPr>
          <t>Curr</t>
        </r>
      </text>
    </comment>
    <comment ref="AF1" authorId="0">
      <text>
        <r>
          <rPr>
            <b/>
            <sz val="9"/>
            <color indexed="81"/>
            <rFont val="Tahoma"/>
            <family val="2"/>
          </rPr>
          <t>Org. Amt</t>
        </r>
      </text>
    </comment>
    <comment ref="AG1" authorId="0">
      <text>
        <r>
          <rPr>
            <b/>
            <sz val="9"/>
            <color indexed="81"/>
            <rFont val="Tahoma"/>
            <family val="2"/>
          </rPr>
          <t>Adj. Amt</t>
        </r>
      </text>
    </comment>
    <comment ref="AH1" authorId="0">
      <text>
        <r>
          <rPr>
            <b/>
            <sz val="9"/>
            <color indexed="81"/>
            <rFont val="Tahoma"/>
            <family val="2"/>
          </rPr>
          <t>Curr</t>
        </r>
      </text>
    </comment>
    <comment ref="AI1" authorId="0">
      <text>
        <r>
          <rPr>
            <b/>
            <sz val="9"/>
            <color indexed="81"/>
            <rFont val="Tahoma"/>
            <family val="2"/>
          </rPr>
          <t>Plant</t>
        </r>
      </text>
    </comment>
    <comment ref="AJ1" authorId="0">
      <text>
        <r>
          <rPr>
            <b/>
            <sz val="9"/>
            <color indexed="81"/>
            <rFont val="Tahoma"/>
            <family val="2"/>
          </rPr>
          <t>Carrier</t>
        </r>
      </text>
    </comment>
    <comment ref="AK1" authorId="0">
      <text>
        <r>
          <rPr>
            <b/>
            <sz val="9"/>
            <color indexed="81"/>
            <rFont val="Tahoma"/>
            <family val="2"/>
          </rPr>
          <t>Form106 Date</t>
        </r>
      </text>
    </comment>
    <comment ref="AL1" authorId="0">
      <text>
        <r>
          <rPr>
            <b/>
            <sz val="9"/>
            <color indexed="81"/>
            <rFont val="Tahoma"/>
            <family val="2"/>
          </rPr>
          <t>Status</t>
        </r>
      </text>
    </comment>
    <comment ref="AM1" authorId="0">
      <text>
        <r>
          <rPr>
            <b/>
            <sz val="9"/>
            <color indexed="81"/>
            <rFont val="Tahoma"/>
            <family val="2"/>
          </rPr>
          <t>DC - Cause</t>
        </r>
      </text>
    </comment>
    <comment ref="AN1" authorId="0">
      <text>
        <r>
          <rPr>
            <b/>
            <sz val="9"/>
            <color indexed="81"/>
            <rFont val="Tahoma"/>
            <family val="2"/>
          </rPr>
          <t>DC - Recommend</t>
        </r>
      </text>
    </comment>
    <comment ref="AO1" authorId="0">
      <text>
        <r>
          <rPr>
            <b/>
            <sz val="9"/>
            <color indexed="81"/>
            <rFont val="Tahoma"/>
            <family val="2"/>
          </rPr>
          <t>DC - Completed on</t>
        </r>
      </text>
    </comment>
    <comment ref="AP1" authorId="0">
      <text>
        <r>
          <rPr>
            <b/>
            <sz val="9"/>
            <color indexed="81"/>
            <rFont val="Tahoma"/>
            <family val="2"/>
          </rPr>
          <t>SEC - Disposition</t>
        </r>
      </text>
    </comment>
    <comment ref="AQ1" authorId="0">
      <text>
        <r>
          <rPr>
            <b/>
            <sz val="9"/>
            <color indexed="81"/>
            <rFont val="Tahoma"/>
            <family val="2"/>
          </rPr>
          <t>SEC - Completed on</t>
        </r>
      </text>
    </comment>
    <comment ref="AR1" authorId="0">
      <text>
        <r>
          <rPr>
            <b/>
            <sz val="9"/>
            <color indexed="81"/>
            <rFont val="Tahoma"/>
            <family val="2"/>
          </rPr>
          <t>ADJ - Type</t>
        </r>
      </text>
    </comment>
    <comment ref="AS1" authorId="0">
      <text>
        <r>
          <rPr>
            <b/>
            <sz val="9"/>
            <color indexed="81"/>
            <rFont val="Tahoma"/>
            <family val="2"/>
          </rPr>
          <t>ADJ - Number</t>
        </r>
      </text>
    </comment>
    <comment ref="AT1" authorId="0">
      <text>
        <r>
          <rPr>
            <b/>
            <sz val="9"/>
            <color indexed="81"/>
            <rFont val="Tahoma"/>
            <family val="2"/>
          </rPr>
          <t>ADJ - Completed on</t>
        </r>
      </text>
    </comment>
    <comment ref="AU1" authorId="0">
      <text>
        <r>
          <rPr>
            <b/>
            <sz val="9"/>
            <color indexed="81"/>
            <rFont val="Tahoma"/>
            <family val="2"/>
          </rPr>
          <t>Tracking Number</t>
        </r>
      </text>
    </comment>
    <comment ref="AV1" authorId="0">
      <text>
        <r>
          <rPr>
            <b/>
            <sz val="9"/>
            <color indexed="81"/>
            <rFont val="Tahoma"/>
            <family val="2"/>
          </rPr>
          <t>DC Discrepancy Type</t>
        </r>
      </text>
    </comment>
    <comment ref="AW1" authorId="0">
      <text>
        <r>
          <rPr>
            <b/>
            <sz val="9"/>
            <color indexed="81"/>
            <rFont val="Tahoma"/>
            <family val="2"/>
          </rPr>
          <t>DC Additional Info</t>
        </r>
      </text>
    </comment>
  </commentList>
</comments>
</file>

<file path=xl/comments3.xml><?xml version="1.0" encoding="utf-8"?>
<comments xmlns="http://schemas.openxmlformats.org/spreadsheetml/2006/main">
  <authors>
    <author>Foley, Kevin</author>
  </authors>
  <commentList>
    <comment ref="A1" authorId="0">
      <text>
        <r>
          <rPr>
            <b/>
            <sz val="9"/>
            <color indexed="81"/>
            <rFont val="Tahoma"/>
            <family val="2"/>
          </rPr>
          <t>Number</t>
        </r>
      </text>
    </comment>
    <comment ref="B1" authorId="0">
      <text>
        <r>
          <rPr>
            <b/>
            <sz val="9"/>
            <color indexed="81"/>
            <rFont val="Tahoma"/>
            <family val="2"/>
          </rPr>
          <t>Item no</t>
        </r>
      </text>
    </comment>
    <comment ref="C1" authorId="0">
      <text>
        <r>
          <rPr>
            <b/>
            <sz val="9"/>
            <color indexed="81"/>
            <rFont val="Tahoma"/>
            <family val="2"/>
          </rPr>
          <t>Type</t>
        </r>
      </text>
    </comment>
    <comment ref="D1" authorId="0">
      <text>
        <r>
          <rPr>
            <b/>
            <sz val="9"/>
            <color indexed="81"/>
            <rFont val="Tahoma"/>
            <family val="2"/>
          </rPr>
          <t>Created by</t>
        </r>
      </text>
    </comment>
    <comment ref="E1" authorId="0">
      <text>
        <r>
          <rPr>
            <b/>
            <sz val="9"/>
            <color indexed="81"/>
            <rFont val="Tahoma"/>
            <family val="2"/>
          </rPr>
          <t>Created on</t>
        </r>
      </text>
    </comment>
    <comment ref="F1" authorId="0">
      <text>
        <r>
          <rPr>
            <b/>
            <sz val="9"/>
            <color indexed="81"/>
            <rFont val="Tahoma"/>
            <family val="2"/>
          </rPr>
          <t>Reference Doc</t>
        </r>
      </text>
    </comment>
    <comment ref="G1" authorId="0">
      <text>
        <r>
          <rPr>
            <b/>
            <sz val="9"/>
            <color indexed="81"/>
            <rFont val="Tahoma"/>
            <family val="2"/>
          </rPr>
          <t>Item</t>
        </r>
      </text>
    </comment>
    <comment ref="H1" authorId="0">
      <text>
        <r>
          <rPr>
            <b/>
            <sz val="9"/>
            <color indexed="81"/>
            <rFont val="Tahoma"/>
            <family val="2"/>
          </rPr>
          <t>Sold-to</t>
        </r>
      </text>
    </comment>
    <comment ref="I1" authorId="0">
      <text>
        <r>
          <rPr>
            <b/>
            <sz val="9"/>
            <color indexed="81"/>
            <rFont val="Tahoma"/>
            <family val="2"/>
          </rPr>
          <t>Sold-to Name</t>
        </r>
      </text>
    </comment>
    <comment ref="J1" authorId="0">
      <text>
        <r>
          <rPr>
            <b/>
            <sz val="9"/>
            <color indexed="81"/>
            <rFont val="Tahoma"/>
            <family val="2"/>
          </rPr>
          <t>Ship-to</t>
        </r>
      </text>
    </comment>
    <comment ref="K1" authorId="0">
      <text>
        <r>
          <rPr>
            <b/>
            <sz val="9"/>
            <color indexed="81"/>
            <rFont val="Tahoma"/>
            <family val="2"/>
          </rPr>
          <t>Ship-to Name</t>
        </r>
      </text>
    </comment>
    <comment ref="L1" authorId="0">
      <text>
        <r>
          <rPr>
            <b/>
            <sz val="9"/>
            <color indexed="81"/>
            <rFont val="Tahoma"/>
            <family val="2"/>
          </rPr>
          <t>Payer</t>
        </r>
      </text>
    </comment>
    <comment ref="M1" authorId="0">
      <text>
        <r>
          <rPr>
            <b/>
            <sz val="9"/>
            <color indexed="81"/>
            <rFont val="Tahoma"/>
            <family val="2"/>
          </rPr>
          <t>Payer Name</t>
        </r>
      </text>
    </comment>
    <comment ref="N1" authorId="0">
      <text>
        <r>
          <rPr>
            <b/>
            <sz val="9"/>
            <color indexed="81"/>
            <rFont val="Tahoma"/>
            <family val="2"/>
          </rPr>
          <t>PO Number</t>
        </r>
      </text>
    </comment>
    <comment ref="O1" authorId="0">
      <text>
        <r>
          <rPr>
            <b/>
            <sz val="9"/>
            <color indexed="81"/>
            <rFont val="Tahoma"/>
            <family val="2"/>
          </rPr>
          <t>WTL #</t>
        </r>
      </text>
    </comment>
    <comment ref="P1" authorId="0">
      <text>
        <r>
          <rPr>
            <b/>
            <sz val="9"/>
            <color indexed="81"/>
            <rFont val="Tahoma"/>
            <family val="2"/>
          </rPr>
          <t>Deduction #</t>
        </r>
      </text>
    </comment>
    <comment ref="Q1" authorId="0">
      <text>
        <r>
          <rPr>
            <b/>
            <sz val="9"/>
            <color indexed="81"/>
            <rFont val="Tahoma"/>
            <family val="2"/>
          </rPr>
          <t>Material</t>
        </r>
      </text>
    </comment>
    <comment ref="R1" authorId="0">
      <text>
        <r>
          <rPr>
            <b/>
            <sz val="9"/>
            <color indexed="81"/>
            <rFont val="Tahoma"/>
            <family val="2"/>
          </rPr>
          <t>Material Description</t>
        </r>
      </text>
    </comment>
    <comment ref="S1" authorId="0">
      <text>
        <r>
          <rPr>
            <b/>
            <sz val="9"/>
            <color indexed="81"/>
            <rFont val="Tahoma"/>
            <family val="2"/>
          </rPr>
          <t>Classification</t>
        </r>
      </text>
    </comment>
    <comment ref="T1" authorId="0">
      <text>
        <r>
          <rPr>
            <b/>
            <sz val="9"/>
            <color indexed="81"/>
            <rFont val="Tahoma"/>
            <family val="2"/>
          </rPr>
          <t>Product Family</t>
        </r>
      </text>
    </comment>
    <comment ref="U1" authorId="0">
      <text>
        <r>
          <rPr>
            <b/>
            <sz val="9"/>
            <color indexed="81"/>
            <rFont val="Tahoma"/>
            <family val="2"/>
          </rPr>
          <t>Schedule</t>
        </r>
      </text>
    </comment>
    <comment ref="V1" authorId="0">
      <text>
        <r>
          <rPr>
            <b/>
            <sz val="9"/>
            <color indexed="81"/>
            <rFont val="Tahoma"/>
            <family val="2"/>
          </rPr>
          <t>Batch</t>
        </r>
      </text>
    </comment>
    <comment ref="W1" authorId="0">
      <text>
        <r>
          <rPr>
            <b/>
            <sz val="9"/>
            <color indexed="81"/>
            <rFont val="Tahoma"/>
            <family val="2"/>
          </rPr>
          <t>Org Qty</t>
        </r>
      </text>
    </comment>
    <comment ref="X1" authorId="0">
      <text>
        <r>
          <rPr>
            <b/>
            <sz val="9"/>
            <color indexed="81"/>
            <rFont val="Tahoma"/>
            <family val="2"/>
          </rPr>
          <t>Adj Qty</t>
        </r>
      </text>
    </comment>
    <comment ref="Y1" authorId="0">
      <text>
        <r>
          <rPr>
            <b/>
            <sz val="9"/>
            <color indexed="81"/>
            <rFont val="Tahoma"/>
            <family val="2"/>
          </rPr>
          <t>UOM</t>
        </r>
      </text>
    </comment>
    <comment ref="Z1" authorId="0">
      <text>
        <r>
          <rPr>
            <b/>
            <sz val="9"/>
            <color indexed="81"/>
            <rFont val="Tahoma"/>
            <family val="2"/>
          </rPr>
          <t>Net Price</t>
        </r>
      </text>
    </comment>
    <comment ref="AA1" authorId="0">
      <text>
        <r>
          <rPr>
            <b/>
            <sz val="9"/>
            <color indexed="81"/>
            <rFont val="Tahoma"/>
            <family val="2"/>
          </rPr>
          <t>Curr</t>
        </r>
      </text>
    </comment>
    <comment ref="AB1" authorId="0">
      <text>
        <r>
          <rPr>
            <b/>
            <sz val="9"/>
            <color indexed="81"/>
            <rFont val="Tahoma"/>
            <family val="2"/>
          </rPr>
          <t>Org. Amt</t>
        </r>
      </text>
    </comment>
    <comment ref="AC1" authorId="0">
      <text>
        <r>
          <rPr>
            <b/>
            <sz val="9"/>
            <color indexed="81"/>
            <rFont val="Tahoma"/>
            <family val="2"/>
          </rPr>
          <t>Adj. Amt</t>
        </r>
      </text>
    </comment>
    <comment ref="AD1" authorId="0">
      <text>
        <r>
          <rPr>
            <b/>
            <sz val="9"/>
            <color indexed="81"/>
            <rFont val="Tahoma"/>
            <family val="2"/>
          </rPr>
          <t>Curr</t>
        </r>
      </text>
    </comment>
    <comment ref="AE1" authorId="0">
      <text>
        <r>
          <rPr>
            <b/>
            <sz val="9"/>
            <color indexed="81"/>
            <rFont val="Tahoma"/>
            <family val="2"/>
          </rPr>
          <t>Plant</t>
        </r>
      </text>
    </comment>
    <comment ref="AF1" authorId="0">
      <text>
        <r>
          <rPr>
            <b/>
            <sz val="9"/>
            <color indexed="81"/>
            <rFont val="Tahoma"/>
            <family val="2"/>
          </rPr>
          <t>Carrier</t>
        </r>
      </text>
    </comment>
    <comment ref="AG1" authorId="0">
      <text>
        <r>
          <rPr>
            <b/>
            <sz val="9"/>
            <color indexed="81"/>
            <rFont val="Tahoma"/>
            <family val="2"/>
          </rPr>
          <t>Status</t>
        </r>
      </text>
    </comment>
    <comment ref="AH1" authorId="0">
      <text>
        <r>
          <rPr>
            <b/>
            <sz val="9"/>
            <color indexed="81"/>
            <rFont val="Tahoma"/>
            <family val="2"/>
          </rPr>
          <t>DC - Cause</t>
        </r>
      </text>
    </comment>
    <comment ref="AI1" authorId="0">
      <text>
        <r>
          <rPr>
            <b/>
            <sz val="9"/>
            <color indexed="81"/>
            <rFont val="Tahoma"/>
            <family val="2"/>
          </rPr>
          <t>DC - Recommend</t>
        </r>
      </text>
    </comment>
    <comment ref="AJ1" authorId="0">
      <text>
        <r>
          <rPr>
            <b/>
            <sz val="9"/>
            <color indexed="81"/>
            <rFont val="Tahoma"/>
            <family val="2"/>
          </rPr>
          <t>DC - Completed on</t>
        </r>
      </text>
    </comment>
    <comment ref="AK1" authorId="0">
      <text>
        <r>
          <rPr>
            <b/>
            <sz val="9"/>
            <color indexed="81"/>
            <rFont val="Tahoma"/>
            <family val="2"/>
          </rPr>
          <t>SEC - Disposition</t>
        </r>
      </text>
    </comment>
    <comment ref="AL1" authorId="0">
      <text>
        <r>
          <rPr>
            <b/>
            <sz val="9"/>
            <color indexed="81"/>
            <rFont val="Tahoma"/>
            <family val="2"/>
          </rPr>
          <t>SEC - Completed on</t>
        </r>
      </text>
    </comment>
    <comment ref="AM1" authorId="0">
      <text>
        <r>
          <rPr>
            <b/>
            <sz val="9"/>
            <color indexed="81"/>
            <rFont val="Tahoma"/>
            <family val="2"/>
          </rPr>
          <t>ADJ - Type</t>
        </r>
      </text>
    </comment>
    <comment ref="AN1" authorId="0">
      <text>
        <r>
          <rPr>
            <b/>
            <sz val="9"/>
            <color indexed="81"/>
            <rFont val="Tahoma"/>
            <family val="2"/>
          </rPr>
          <t>ADJ - Number</t>
        </r>
      </text>
    </comment>
    <comment ref="AO1" authorId="0">
      <text>
        <r>
          <rPr>
            <b/>
            <sz val="9"/>
            <color indexed="81"/>
            <rFont val="Tahoma"/>
            <family val="2"/>
          </rPr>
          <t>ADJ - Completed on</t>
        </r>
      </text>
    </comment>
    <comment ref="AP1" authorId="0">
      <text>
        <r>
          <rPr>
            <b/>
            <sz val="9"/>
            <color indexed="81"/>
            <rFont val="Tahoma"/>
            <family val="2"/>
          </rPr>
          <t>DC Discrepancy Type</t>
        </r>
      </text>
    </comment>
    <comment ref="AQ1" authorId="0">
      <text>
        <r>
          <rPr>
            <b/>
            <sz val="9"/>
            <color indexed="81"/>
            <rFont val="Tahoma"/>
            <family val="2"/>
          </rPr>
          <t>DC Additional Info</t>
        </r>
      </text>
    </comment>
  </commentList>
</comments>
</file>

<file path=xl/comments4.xml><?xml version="1.0" encoding="utf-8"?>
<comments xmlns="http://schemas.openxmlformats.org/spreadsheetml/2006/main">
  <authors>
    <author>Foley, Kevin</author>
  </authors>
  <commentList>
    <comment ref="A1" authorId="0">
      <text>
        <r>
          <rPr>
            <b/>
            <sz val="9"/>
            <color indexed="81"/>
            <rFont val="Tahoma"/>
            <family val="2"/>
          </rPr>
          <t>Number</t>
        </r>
      </text>
    </comment>
    <comment ref="B1" authorId="0">
      <text>
        <r>
          <rPr>
            <b/>
            <sz val="9"/>
            <color indexed="81"/>
            <rFont val="Tahoma"/>
            <family val="2"/>
          </rPr>
          <t>Item no</t>
        </r>
      </text>
    </comment>
    <comment ref="C1" authorId="0">
      <text>
        <r>
          <rPr>
            <b/>
            <sz val="9"/>
            <color indexed="81"/>
            <rFont val="Tahoma"/>
            <family val="2"/>
          </rPr>
          <t>Type</t>
        </r>
      </text>
    </comment>
    <comment ref="D1" authorId="0">
      <text>
        <r>
          <rPr>
            <b/>
            <sz val="9"/>
            <color indexed="81"/>
            <rFont val="Tahoma"/>
            <family val="2"/>
          </rPr>
          <t>Created by</t>
        </r>
      </text>
    </comment>
    <comment ref="E1" authorId="0">
      <text>
        <r>
          <rPr>
            <b/>
            <sz val="9"/>
            <color indexed="81"/>
            <rFont val="Tahoma"/>
            <family val="2"/>
          </rPr>
          <t>Created on</t>
        </r>
      </text>
    </comment>
    <comment ref="F1" authorId="0">
      <text>
        <r>
          <rPr>
            <b/>
            <sz val="9"/>
            <color indexed="81"/>
            <rFont val="Tahoma"/>
            <family val="2"/>
          </rPr>
          <t>Reference Doc</t>
        </r>
      </text>
    </comment>
    <comment ref="G1" authorId="0">
      <text>
        <r>
          <rPr>
            <b/>
            <sz val="9"/>
            <color indexed="81"/>
            <rFont val="Tahoma"/>
            <family val="2"/>
          </rPr>
          <t>Item</t>
        </r>
      </text>
    </comment>
    <comment ref="H1" authorId="0">
      <text>
        <r>
          <rPr>
            <b/>
            <sz val="9"/>
            <color indexed="81"/>
            <rFont val="Tahoma"/>
            <family val="2"/>
          </rPr>
          <t>Sold-to</t>
        </r>
      </text>
    </comment>
    <comment ref="I1" authorId="0">
      <text>
        <r>
          <rPr>
            <b/>
            <sz val="9"/>
            <color indexed="81"/>
            <rFont val="Tahoma"/>
            <family val="2"/>
          </rPr>
          <t>Sold-to Name</t>
        </r>
      </text>
    </comment>
    <comment ref="J1" authorId="0">
      <text>
        <r>
          <rPr>
            <b/>
            <sz val="9"/>
            <color indexed="81"/>
            <rFont val="Tahoma"/>
            <family val="2"/>
          </rPr>
          <t>Ship-to</t>
        </r>
      </text>
    </comment>
    <comment ref="K1" authorId="0">
      <text>
        <r>
          <rPr>
            <b/>
            <sz val="9"/>
            <color indexed="81"/>
            <rFont val="Tahoma"/>
            <family val="2"/>
          </rPr>
          <t>Ship-to Name</t>
        </r>
      </text>
    </comment>
    <comment ref="L1" authorId="0">
      <text>
        <r>
          <rPr>
            <b/>
            <sz val="9"/>
            <color indexed="81"/>
            <rFont val="Tahoma"/>
            <family val="2"/>
          </rPr>
          <t>Payer</t>
        </r>
      </text>
    </comment>
    <comment ref="M1" authorId="0">
      <text>
        <r>
          <rPr>
            <b/>
            <sz val="9"/>
            <color indexed="81"/>
            <rFont val="Tahoma"/>
            <family val="2"/>
          </rPr>
          <t>Payer Name</t>
        </r>
      </text>
    </comment>
    <comment ref="N1" authorId="0">
      <text>
        <r>
          <rPr>
            <b/>
            <sz val="9"/>
            <color indexed="81"/>
            <rFont val="Tahoma"/>
            <family val="2"/>
          </rPr>
          <t>PO Number</t>
        </r>
      </text>
    </comment>
    <comment ref="O1" authorId="0">
      <text>
        <r>
          <rPr>
            <b/>
            <sz val="9"/>
            <color indexed="81"/>
            <rFont val="Tahoma"/>
            <family val="2"/>
          </rPr>
          <t>Material</t>
        </r>
      </text>
    </comment>
    <comment ref="P1" authorId="0">
      <text>
        <r>
          <rPr>
            <b/>
            <sz val="9"/>
            <color indexed="81"/>
            <rFont val="Tahoma"/>
            <family val="2"/>
          </rPr>
          <t>Material Description</t>
        </r>
      </text>
    </comment>
    <comment ref="Q1" authorId="0">
      <text>
        <r>
          <rPr>
            <b/>
            <sz val="9"/>
            <color indexed="81"/>
            <rFont val="Tahoma"/>
            <family val="2"/>
          </rPr>
          <t>Classification</t>
        </r>
      </text>
    </comment>
    <comment ref="R1" authorId="0">
      <text>
        <r>
          <rPr>
            <b/>
            <sz val="9"/>
            <color indexed="81"/>
            <rFont val="Tahoma"/>
            <family val="2"/>
          </rPr>
          <t>Product Family</t>
        </r>
      </text>
    </comment>
    <comment ref="S1" authorId="0">
      <text>
        <r>
          <rPr>
            <b/>
            <sz val="9"/>
            <color indexed="81"/>
            <rFont val="Tahoma"/>
            <family val="2"/>
          </rPr>
          <t>Schedule</t>
        </r>
      </text>
    </comment>
    <comment ref="T1" authorId="0">
      <text>
        <r>
          <rPr>
            <b/>
            <sz val="9"/>
            <color indexed="81"/>
            <rFont val="Tahoma"/>
            <family val="2"/>
          </rPr>
          <t>Batch</t>
        </r>
      </text>
    </comment>
    <comment ref="U1" authorId="0">
      <text>
        <r>
          <rPr>
            <b/>
            <sz val="9"/>
            <color indexed="81"/>
            <rFont val="Tahoma"/>
            <family val="2"/>
          </rPr>
          <t>Org Qty</t>
        </r>
      </text>
    </comment>
    <comment ref="V1" authorId="0">
      <text>
        <r>
          <rPr>
            <b/>
            <sz val="9"/>
            <color indexed="81"/>
            <rFont val="Tahoma"/>
            <family val="2"/>
          </rPr>
          <t>Adj Qty</t>
        </r>
      </text>
    </comment>
    <comment ref="W1" authorId="0">
      <text>
        <r>
          <rPr>
            <b/>
            <sz val="9"/>
            <color indexed="81"/>
            <rFont val="Tahoma"/>
            <family val="2"/>
          </rPr>
          <t>UOM</t>
        </r>
      </text>
    </comment>
    <comment ref="X1" authorId="0">
      <text>
        <r>
          <rPr>
            <b/>
            <sz val="9"/>
            <color indexed="81"/>
            <rFont val="Tahoma"/>
            <family val="2"/>
          </rPr>
          <t>Net Price</t>
        </r>
      </text>
    </comment>
    <comment ref="Y1" authorId="0">
      <text>
        <r>
          <rPr>
            <b/>
            <sz val="9"/>
            <color indexed="81"/>
            <rFont val="Tahoma"/>
            <family val="2"/>
          </rPr>
          <t>Curr</t>
        </r>
      </text>
    </comment>
    <comment ref="Z1" authorId="0">
      <text>
        <r>
          <rPr>
            <b/>
            <sz val="9"/>
            <color indexed="81"/>
            <rFont val="Tahoma"/>
            <family val="2"/>
          </rPr>
          <t>Org. Amt</t>
        </r>
      </text>
    </comment>
    <comment ref="AA1" authorId="0">
      <text>
        <r>
          <rPr>
            <b/>
            <sz val="9"/>
            <color indexed="81"/>
            <rFont val="Tahoma"/>
            <family val="2"/>
          </rPr>
          <t>Adj. Amt</t>
        </r>
      </text>
    </comment>
    <comment ref="AB1" authorId="0">
      <text>
        <r>
          <rPr>
            <b/>
            <sz val="9"/>
            <color indexed="81"/>
            <rFont val="Tahoma"/>
            <family val="2"/>
          </rPr>
          <t>Curr</t>
        </r>
      </text>
    </comment>
    <comment ref="AC1" authorId="0">
      <text>
        <r>
          <rPr>
            <b/>
            <sz val="9"/>
            <color indexed="81"/>
            <rFont val="Tahoma"/>
            <family val="2"/>
          </rPr>
          <t>Plant</t>
        </r>
      </text>
    </comment>
    <comment ref="AD1" authorId="0">
      <text>
        <r>
          <rPr>
            <b/>
            <sz val="9"/>
            <color indexed="81"/>
            <rFont val="Tahoma"/>
            <family val="2"/>
          </rPr>
          <t>Carrier</t>
        </r>
      </text>
    </comment>
    <comment ref="AE1" authorId="0">
      <text>
        <r>
          <rPr>
            <b/>
            <sz val="9"/>
            <color indexed="81"/>
            <rFont val="Tahoma"/>
            <family val="2"/>
          </rPr>
          <t>Status</t>
        </r>
      </text>
    </comment>
    <comment ref="AF1" authorId="0">
      <text>
        <r>
          <rPr>
            <b/>
            <sz val="9"/>
            <color indexed="81"/>
            <rFont val="Tahoma"/>
            <family val="2"/>
          </rPr>
          <t>DC - Cause</t>
        </r>
      </text>
    </comment>
    <comment ref="AG1" authorId="0">
      <text>
        <r>
          <rPr>
            <b/>
            <sz val="9"/>
            <color indexed="81"/>
            <rFont val="Tahoma"/>
            <family val="2"/>
          </rPr>
          <t>DC - Recommend</t>
        </r>
      </text>
    </comment>
    <comment ref="AH1" authorId="0">
      <text>
        <r>
          <rPr>
            <b/>
            <sz val="9"/>
            <color indexed="81"/>
            <rFont val="Tahoma"/>
            <family val="2"/>
          </rPr>
          <t>DC - Completed on</t>
        </r>
      </text>
    </comment>
    <comment ref="AI1" authorId="0">
      <text>
        <r>
          <rPr>
            <b/>
            <sz val="9"/>
            <color indexed="81"/>
            <rFont val="Tahoma"/>
            <family val="2"/>
          </rPr>
          <t>SEC - Disposition</t>
        </r>
      </text>
    </comment>
    <comment ref="AJ1" authorId="0">
      <text>
        <r>
          <rPr>
            <b/>
            <sz val="9"/>
            <color indexed="81"/>
            <rFont val="Tahoma"/>
            <family val="2"/>
          </rPr>
          <t>SEC - Completed on</t>
        </r>
      </text>
    </comment>
    <comment ref="AK1" authorId="0">
      <text>
        <r>
          <rPr>
            <b/>
            <sz val="9"/>
            <color indexed="81"/>
            <rFont val="Tahoma"/>
            <family val="2"/>
          </rPr>
          <t>ADJ - Type</t>
        </r>
      </text>
    </comment>
    <comment ref="AL1" authorId="0">
      <text>
        <r>
          <rPr>
            <b/>
            <sz val="9"/>
            <color indexed="81"/>
            <rFont val="Tahoma"/>
            <family val="2"/>
          </rPr>
          <t>ADJ - Number</t>
        </r>
      </text>
    </comment>
    <comment ref="AM1" authorId="0">
      <text>
        <r>
          <rPr>
            <b/>
            <sz val="9"/>
            <color indexed="81"/>
            <rFont val="Tahoma"/>
            <family val="2"/>
          </rPr>
          <t>ADJ - Completed on</t>
        </r>
      </text>
    </comment>
    <comment ref="AN1" authorId="0">
      <text>
        <r>
          <rPr>
            <b/>
            <sz val="9"/>
            <color indexed="81"/>
            <rFont val="Tahoma"/>
            <family val="2"/>
          </rPr>
          <t>DC Discrepancy Type</t>
        </r>
      </text>
    </comment>
    <comment ref="AO1" authorId="0">
      <text>
        <r>
          <rPr>
            <b/>
            <sz val="9"/>
            <color indexed="81"/>
            <rFont val="Tahoma"/>
            <family val="2"/>
          </rPr>
          <t>DC Additional Info</t>
        </r>
      </text>
    </comment>
  </commentList>
</comments>
</file>

<file path=xl/sharedStrings.xml><?xml version="1.0" encoding="utf-8"?>
<sst xmlns="http://schemas.openxmlformats.org/spreadsheetml/2006/main" count="30944" uniqueCount="2580">
  <si>
    <t>2013 Summary</t>
  </si>
  <si>
    <t>2014 Summary</t>
  </si>
  <si>
    <t>Grand Total</t>
  </si>
  <si>
    <t>% change</t>
  </si>
  <si>
    <t>Type</t>
  </si>
  <si>
    <t>Jan</t>
  </si>
  <si>
    <t>Feb</t>
  </si>
  <si>
    <t>Mar</t>
  </si>
  <si>
    <t>Apr</t>
  </si>
  <si>
    <t>May</t>
  </si>
  <si>
    <t>Jun</t>
  </si>
  <si>
    <t>Jul</t>
  </si>
  <si>
    <t>Aug</t>
  </si>
  <si>
    <t>Sep</t>
  </si>
  <si>
    <t>Oct</t>
  </si>
  <si>
    <t>Nov</t>
  </si>
  <si>
    <t>Dec</t>
  </si>
  <si>
    <t>Concealed Shortage</t>
  </si>
  <si>
    <t>Damage</t>
  </si>
  <si>
    <t>Misroute</t>
  </si>
  <si>
    <t>No Issue</t>
  </si>
  <si>
    <t>Order Entry Error</t>
  </si>
  <si>
    <t>Overage</t>
  </si>
  <si>
    <t>Quality Return</t>
  </si>
  <si>
    <t>Refused</t>
  </si>
  <si>
    <t>Return</t>
  </si>
  <si>
    <t>Shortage</t>
  </si>
  <si>
    <t>Shortdate</t>
  </si>
  <si>
    <t>Tampered</t>
  </si>
  <si>
    <t>(blank)</t>
  </si>
  <si>
    <t>By designated a point person within the department we have streamlined the
the process.  Our point person works directly with the Customer receiving dept. to review their claim and their order within in our system.  We have been able to reduce the number of claims filed that should have never been filed in the first place as their order was split at time of shipping or cut during order mgmt.</t>
  </si>
  <si>
    <t>Number</t>
  </si>
  <si>
    <t>Created by</t>
  </si>
  <si>
    <t>Created on</t>
  </si>
  <si>
    <t>Ship.Date</t>
  </si>
  <si>
    <t>Sold-to</t>
  </si>
  <si>
    <t>Sold-to Name</t>
  </si>
  <si>
    <t>Ship-to</t>
  </si>
  <si>
    <t>Ship-to Name</t>
  </si>
  <si>
    <t>Payer</t>
  </si>
  <si>
    <t>Payer Name</t>
  </si>
  <si>
    <t>PO Number</t>
  </si>
  <si>
    <t>Deduction #</t>
  </si>
  <si>
    <t>Carrier</t>
  </si>
  <si>
    <t>Name</t>
  </si>
  <si>
    <t>Adj Amt</t>
  </si>
  <si>
    <t>Status</t>
  </si>
  <si>
    <t>DC - Cause</t>
  </si>
  <si>
    <t>DC - Recommend</t>
  </si>
  <si>
    <t>DC - Completed on</t>
  </si>
  <si>
    <t>SEC - Disposition</t>
  </si>
  <si>
    <t>SEC - Completed on</t>
  </si>
  <si>
    <t>ADJ - Type</t>
  </si>
  <si>
    <t>ADJ - Number</t>
  </si>
  <si>
    <t>ADJ - Completed on</t>
  </si>
  <si>
    <t>Tracking Number</t>
  </si>
  <si>
    <t>DC Discrepancy Type</t>
  </si>
  <si>
    <t>DC Additional Info</t>
  </si>
  <si>
    <t>ADVANCERX COM</t>
  </si>
  <si>
    <t>CVS CAREMARK ADVANCED TECH PHARMAC</t>
  </si>
  <si>
    <t>CAREMARK-PCS</t>
  </si>
  <si>
    <t>ABFS</t>
  </si>
  <si>
    <t>ABF FREIGHT SYSTEM</t>
  </si>
  <si>
    <t>In Process</t>
  </si>
  <si>
    <t>Not Applicable</t>
  </si>
  <si>
    <t>AMERICAN SALES CO INC</t>
  </si>
  <si>
    <t>AMERICAN SALES COMPANY</t>
  </si>
  <si>
    <t>FXFE</t>
  </si>
  <si>
    <t>FEDEX FREIGHT LTL PRIORITY</t>
  </si>
  <si>
    <t>Complete</t>
  </si>
  <si>
    <t>1 Carrier</t>
  </si>
  <si>
    <t>Return/ Request RE</t>
  </si>
  <si>
    <t>Returns</t>
  </si>
  <si>
    <t>1 POD / Damage - Refused</t>
  </si>
  <si>
    <t>KSARTORI</t>
  </si>
  <si>
    <t>AMERISOURCE CORPORATION</t>
  </si>
  <si>
    <t>Stericycle / Destructions</t>
  </si>
  <si>
    <t>1 Concealed / Damage</t>
  </si>
  <si>
    <t>KFOLEY</t>
  </si>
  <si>
    <t>AMERISOURCEBERGEN CORP</t>
  </si>
  <si>
    <t>AMERISOURCEBERGEN DRUG</t>
  </si>
  <si>
    <t>2 Customer</t>
  </si>
  <si>
    <t>Explanation Cell (allows added comments)</t>
  </si>
  <si>
    <t>Resolved</t>
  </si>
  <si>
    <t>6 No Issue</t>
  </si>
  <si>
    <t>AMERISOURCEBERGEN DRUG CORP</t>
  </si>
  <si>
    <t>IMRK</t>
  </si>
  <si>
    <t>INTERMARK TRANSPORT INC</t>
  </si>
  <si>
    <t>POD Free &amp; Clear / Inventory In Line</t>
  </si>
  <si>
    <t>5 Concealed / Short</t>
  </si>
  <si>
    <t>AMERISOURCE BERGEN DRUG CORPORATION</t>
  </si>
  <si>
    <t>PRIJ</t>
  </si>
  <si>
    <t>PRIME INC</t>
  </si>
  <si>
    <t>AMERISOURCEBERGEN DRUG CORPORATION</t>
  </si>
  <si>
    <t>4 Distribution</t>
  </si>
  <si>
    <t>Error Confirmed</t>
  </si>
  <si>
    <t>4 DC Shortage</t>
  </si>
  <si>
    <t>FDG</t>
  </si>
  <si>
    <t>FEDEX GROUND</t>
  </si>
  <si>
    <t>AMERISOURCE/PELHAM</t>
  </si>
  <si>
    <t>Credit Memo</t>
  </si>
  <si>
    <t>JM BLANCO</t>
  </si>
  <si>
    <t>FDE</t>
  </si>
  <si>
    <t>FEDEX</t>
  </si>
  <si>
    <t>3 Customer Service</t>
  </si>
  <si>
    <t>5 Manufacture</t>
  </si>
  <si>
    <t>5 Product Quality -Missing Pills, Labels etc</t>
  </si>
  <si>
    <t>7 Other</t>
  </si>
  <si>
    <t>AMERISOURCE BERGEN DRUG</t>
  </si>
  <si>
    <t>AMERISOURCE SACRAMENTO</t>
  </si>
  <si>
    <t>ANDA GENERICS INC</t>
  </si>
  <si>
    <t>ANDA OH - TARGET</t>
  </si>
  <si>
    <t xml:space="preserve"> 2 cases damaged and refused. Please create an RE so products can be destroyed.</t>
  </si>
  <si>
    <t>ANDA PHARMACEUTICALS INC</t>
  </si>
  <si>
    <t>ASSOCIATED PHARMACIES INC</t>
  </si>
  <si>
    <t>BELLCO DRUG CORP</t>
  </si>
  <si>
    <t>BLOODWORTH WHOLESALE DRUGS</t>
  </si>
  <si>
    <t>CARDINAL HEALTHCARE INC</t>
  </si>
  <si>
    <t>CARDINAL DISTRIBUTION, LP</t>
  </si>
  <si>
    <t>CARDINAL HEALTH</t>
  </si>
  <si>
    <t>New</t>
  </si>
  <si>
    <t>HGTN</t>
  </si>
  <si>
    <t>HOGAN DEDICATED SERVICE</t>
  </si>
  <si>
    <t>PGSI</t>
  </si>
  <si>
    <t>PEGASUS TRANSPORTATION INC</t>
  </si>
  <si>
    <t>INTD</t>
  </si>
  <si>
    <t>INTERSTATE DISTRIBUTOR CO</t>
  </si>
  <si>
    <t xml:space="preserve"> 3 units damaged. Call tag issued to Genco for destruction.</t>
  </si>
  <si>
    <t>CIGNA HEALTHCARE INC</t>
  </si>
  <si>
    <t>CIGNA HOME DELIVERY PHARMACY</t>
  </si>
  <si>
    <t>CIGNA HEALTH CORPORATION</t>
  </si>
  <si>
    <t>CVS CORPORATION</t>
  </si>
  <si>
    <t>CVS PHARMACY INC</t>
  </si>
  <si>
    <t>CVS RX SERVICES INC</t>
  </si>
  <si>
    <t>1 Returned</t>
  </si>
  <si>
    <t>2 Cust. Ordered Wrong Item</t>
  </si>
  <si>
    <t>VGOLDY</t>
  </si>
  <si>
    <t>DAKOTA DRUG INC/MINOT</t>
  </si>
  <si>
    <t>EXPRESS SCRIPTS</t>
  </si>
  <si>
    <t>HUMANA INC</t>
  </si>
  <si>
    <t>HUMANA PHARMACY INC</t>
  </si>
  <si>
    <t>Bill Only</t>
  </si>
  <si>
    <t>4 DC Overage</t>
  </si>
  <si>
    <t>MASTERS PHARMACEUTICALS INC</t>
  </si>
  <si>
    <t>MCKESSON</t>
  </si>
  <si>
    <t>MCKESSON CORPORATION</t>
  </si>
  <si>
    <t>MCKESSON SPECIALTY CARE DISTRIBUTIO</t>
  </si>
  <si>
    <t>PHARMACY BUYING ASSOC</t>
  </si>
  <si>
    <t>PHARMACY BUYING ASSOCIATION</t>
  </si>
  <si>
    <t>MLESNY</t>
  </si>
  <si>
    <t>PUBLIX SUPER MARKETS, INC.</t>
  </si>
  <si>
    <t>PUBLIX SUPER MARKETS INC</t>
  </si>
  <si>
    <t>QUEST PHARMACEUTICALS INC</t>
  </si>
  <si>
    <t>R &amp; S NORTHEAST LLC</t>
  </si>
  <si>
    <t>ROCHESTER DRUG COOPERATIV INC</t>
  </si>
  <si>
    <t>SMITH DRUG COMPANY</t>
  </si>
  <si>
    <t>SMITH DRUG COMPANY/SC</t>
  </si>
  <si>
    <t>SUPERVALU, INC.</t>
  </si>
  <si>
    <t>SUPERVALU INC</t>
  </si>
  <si>
    <t>THE HARVARD GROUP</t>
  </si>
  <si>
    <t>THE HARVARD DRUG GROUP LLC</t>
  </si>
  <si>
    <t>THE KROGER COMPANY</t>
  </si>
  <si>
    <t>THRIFTY WHITE DRUG STORES INC</t>
  </si>
  <si>
    <t>THRIFTY WHITE WAREHOUSE # 899</t>
  </si>
  <si>
    <t>TOP RX LLC</t>
  </si>
  <si>
    <t>VALUE DRUG COMPANY</t>
  </si>
  <si>
    <t>Unresolved</t>
  </si>
  <si>
    <t>WAL-MART STORES</t>
  </si>
  <si>
    <t>CQDN</t>
  </si>
  <si>
    <t>CUSTOM CO INC</t>
  </si>
  <si>
    <t xml:space="preserve"> 6 units damaged. Call tag issued to Genco for destruction.</t>
  </si>
  <si>
    <t>2015 Summary</t>
  </si>
  <si>
    <t>Count of Number</t>
  </si>
  <si>
    <t>Total</t>
  </si>
  <si>
    <t>Monthly Average</t>
  </si>
  <si>
    <t>Reference Doc</t>
  </si>
  <si>
    <t>Delv.Date</t>
  </si>
  <si>
    <t>WTL #</t>
  </si>
  <si>
    <t>Plant</t>
  </si>
  <si>
    <t>Currency</t>
  </si>
  <si>
    <t>Cargo Claim stat</t>
  </si>
  <si>
    <t>US81</t>
  </si>
  <si>
    <t>USD</t>
  </si>
  <si>
    <t>Not applicable</t>
  </si>
  <si>
    <t xml:space="preserve"> 9 units damaged. Call tag will be issued to Genco for destruction.</t>
  </si>
  <si>
    <t>UL-2227176</t>
  </si>
  <si>
    <t xml:space="preserve"> Gurnee inventory had a +6 adj. on 7/30/2015.</t>
  </si>
  <si>
    <t xml:space="preserve"> 5 units damaged. Call tag will be issued to Genco for destruction.</t>
  </si>
  <si>
    <t xml:space="preserve"> 6 units damaged. Call tag will be issued to Genco for destruction. SDR was created w/o reference however, delivery # is 8154508</t>
  </si>
  <si>
    <t>ALBERTSONS LLC</t>
  </si>
  <si>
    <t>ALBERTSONS DISTRIBUTION CTR #8720</t>
  </si>
  <si>
    <t xml:space="preserve"> 2 units damaged. Call tag will be issued to Genco for destruction.</t>
  </si>
  <si>
    <t>UL-1904735</t>
  </si>
  <si>
    <t xml:space="preserve"> Gurnee inventory is inline. No other customers claiming over at this time. POD signed w/o exception.</t>
  </si>
  <si>
    <t xml:space="preserve"> Bill Only completed. SO#852257 D 81549772</t>
  </si>
  <si>
    <t xml:space="preserve"> 24 units were recovered by Fed Ex overgoods and returned to DC. QA inspected product is intact and accounted for. Please create</t>
  </si>
  <si>
    <t xml:space="preserve"> 1 unit damaged. Call tag will be issued to Genco for destruction.</t>
  </si>
  <si>
    <t>SDAIR</t>
  </si>
  <si>
    <t xml:space="preserve"> 2 cases damaged/refused. Please create an RE so product can be destroyed.</t>
  </si>
  <si>
    <t>3 Shortdate</t>
  </si>
  <si>
    <t xml:space="preserve"> product had 4/2016 exp. returned to DC. Please create An RE.</t>
  </si>
  <si>
    <t>087944972334093 &amp; 087944972334116 &amp; 087944972334123 &amp; 087944972334130</t>
  </si>
  <si>
    <t xml:space="preserve"> Multiple damaged received. Customer will destroy product and send LOD.</t>
  </si>
  <si>
    <t xml:space="preserve"> 1 unit damaged. Customer will destroy product and send LOD when complete.</t>
  </si>
  <si>
    <t>UL-2227165</t>
  </si>
  <si>
    <t xml:space="preserve"> Gurnee inventory had a +24 adj. on 7/30/2015.</t>
  </si>
  <si>
    <t>C0260741NLC</t>
  </si>
  <si>
    <t>UL-3275272</t>
  </si>
  <si>
    <t xml:space="preserve"> 61 units damaged. Call tag will be issued to Genco for destruction.</t>
  </si>
  <si>
    <t>C0260137NLC</t>
  </si>
  <si>
    <t>087944972334161 &amp; 087944972334178 &amp; 087944972334239 &amp; 087944972334246</t>
  </si>
  <si>
    <t xml:space="preserve"> 2 units damaged. Call tag issued to Genco for destruction.</t>
  </si>
  <si>
    <t xml:space="preserve"> Multiple products damaged. Call tag will be issued to Genco for destruction.</t>
  </si>
  <si>
    <t>UL-3275252</t>
  </si>
  <si>
    <t xml:space="preserve"> Gurnee inventory had a +24 adj. on 8/3/2015.</t>
  </si>
  <si>
    <t xml:space="preserve"> Mulitple damages reported. Call tag will be issued to Genco for destruction.</t>
  </si>
  <si>
    <t xml:space="preserve"> 8 units damaged. Call tag will be issued to Genco for destruction.</t>
  </si>
  <si>
    <t>UL-3275281</t>
  </si>
  <si>
    <t>UL-3275270</t>
  </si>
  <si>
    <t xml:space="preserve"> 2 cases damaged. Call tag will be issued to Genco for destruction.</t>
  </si>
  <si>
    <t xml:space="preserve"> 1 unit ONLY damaged. Customer destroyed. LOD attached.</t>
  </si>
  <si>
    <t>C0260112NLC</t>
  </si>
  <si>
    <t>087944972338541 &amp; 087944972338558 &amp; 087944972338848 &amp; 087944972338855</t>
  </si>
  <si>
    <t xml:space="preserve"> 1 unit ONLY damaged. Call tag will be issued to Genco for destruction.</t>
  </si>
  <si>
    <t xml:space="preserve"> customer inquiring as to why they received 2 invoices. Reason is they ordered 72 units total that were shipped on 2 seperate de</t>
  </si>
  <si>
    <t xml:space="preserve"> Gurnee inventory is inline. There were 24 units on this order. POD was signed w/o exception. Shipping/receieving weight is inli</t>
  </si>
  <si>
    <t>C0260191NLC</t>
  </si>
  <si>
    <t>UL-2227150</t>
  </si>
  <si>
    <t xml:space="preserve"> 3 units damaged. Call tag will be issued to Genco for destruction.</t>
  </si>
  <si>
    <t>C0260113NLC</t>
  </si>
  <si>
    <t>UL-2227167</t>
  </si>
  <si>
    <t xml:space="preserve"> Bill Only completed SO # 854364 D 81553278</t>
  </si>
  <si>
    <t>087944972330972 &amp; 087944972330989 &amp; 087944972330996 &amp; 087944972331009</t>
  </si>
  <si>
    <t>C0260216NLC</t>
  </si>
  <si>
    <t>O654415-05</t>
  </si>
  <si>
    <t>US8A</t>
  </si>
  <si>
    <t xml:space="preserve"> This is not an overage customer had 2 SO's on 7/29/2015 for 48 units of this NDC This one and also SO#845552 PO 0649457-09. Ple</t>
  </si>
  <si>
    <t xml:space="preserve"> Carrier misrouted and returned to DC. Please create an RE so product can be restocked.</t>
  </si>
  <si>
    <t>C0259635NLC</t>
  </si>
  <si>
    <t>UL-1904698</t>
  </si>
  <si>
    <t xml:space="preserve"> 8 units damaged. Customer will destroy. LOD attached.</t>
  </si>
  <si>
    <t xml:space="preserve"> 36 units damaged. Call tag issued to Genco for destruction.</t>
  </si>
  <si>
    <t>GIANT EAGLE, INC</t>
  </si>
  <si>
    <t>HBC SERVICE COMPANY</t>
  </si>
  <si>
    <t xml:space="preserve"> Bill Only Completed So#859159 D 81560974</t>
  </si>
  <si>
    <t>UL-3275261</t>
  </si>
  <si>
    <t xml:space="preserve"> Gurnee DC made an error and forgot to ship a pallet of these 110 units to the customer. Please create an RE for virtual return</t>
  </si>
  <si>
    <t>AMERISOURCE/PADUCAH</t>
  </si>
  <si>
    <t>UL-3275295</t>
  </si>
  <si>
    <t xml:space="preserve"> Gurnee inventory had a +24 adj. on 8/18/2015.</t>
  </si>
  <si>
    <t>C0260753NLC</t>
  </si>
  <si>
    <t xml:space="preserve"> 22 units damaged. Customer will destroy and will send LOD</t>
  </si>
  <si>
    <t>KMARRO</t>
  </si>
  <si>
    <t>MWI VETERINARY SUPPLY</t>
  </si>
  <si>
    <t>MWI VETERINARY SUPPLY COMPANY</t>
  </si>
  <si>
    <t xml:space="preserve"> Gurnee inventory is inline. No other csutomers claiming over at this time. ALL POD's for this delivery were signed for on 8/5/2</t>
  </si>
  <si>
    <t>HD SMITH LLC</t>
  </si>
  <si>
    <t xml:space="preserve"> 9 units damaged. Call tag issued to Genco for destruction.</t>
  </si>
  <si>
    <t xml:space="preserve"> Bill Only completed SO# 854501 D 81553651</t>
  </si>
  <si>
    <t>C0261291NLC</t>
  </si>
  <si>
    <t>UL-3663192</t>
  </si>
  <si>
    <t xml:space="preserve"> 26 units damaged. Call tag issued to Genco for destruction.</t>
  </si>
  <si>
    <t>C0261294NLC</t>
  </si>
  <si>
    <t>UL-3663191</t>
  </si>
  <si>
    <t>087944972363284 &amp; 087944972363369 &amp; 087944972363383 &amp; 087944972363390 &amp; 087944972363420 &amp; 087944972363437</t>
  </si>
  <si>
    <t xml:space="preserve"> 2 units damaged. Customer will destroy damaged goods and will send LOD.</t>
  </si>
  <si>
    <t>C0260196NLC</t>
  </si>
  <si>
    <t>636808561680 &amp; 636808561690 &amp; 636808561749 &amp; 636808561750 &amp; 636808561771 &amp; 636808561782</t>
  </si>
  <si>
    <t xml:space="preserve"> 45 units damaged. Call tag wil be issued to Genco for destruction.</t>
  </si>
  <si>
    <t>DIXON-SHANE LLC</t>
  </si>
  <si>
    <t>087944972341824 &amp; 087944972341831</t>
  </si>
  <si>
    <t xml:space="preserve"> Bill Only completed SO# 854449 D 81553595</t>
  </si>
  <si>
    <t>C0260683NLC</t>
  </si>
  <si>
    <t xml:space="preserve"> Gurnee inventory had a +24 adj. on 8/17/2015.</t>
  </si>
  <si>
    <t xml:space="preserve"> Gurnee inventory is inline. No other customers claiming over at this time. POD is signed w/o exception.</t>
  </si>
  <si>
    <t xml:space="preserve"> 5 units damaged. Customer will destroy and will send LOD.</t>
  </si>
  <si>
    <t>UL-3275276</t>
  </si>
  <si>
    <t xml:space="preserve"> Gurnee inventory had a + 24 adj. on 8/3/2015.</t>
  </si>
  <si>
    <t xml:space="preserve"> Gurnee inventory had a +48 adj. on 8/4/2015.</t>
  </si>
  <si>
    <t>ALUK</t>
  </si>
  <si>
    <t>ALLSTATES TRUCKING INC</t>
  </si>
  <si>
    <t>UL-3803572</t>
  </si>
  <si>
    <t xml:space="preserve"> Customer reported 2 bottles with broken pills.</t>
  </si>
  <si>
    <t xml:space="preserve"> 1 case damaged &lt;(&gt;&amp;&lt;)&gt; refused. Please create an RE so product can be destroyed.</t>
  </si>
  <si>
    <t>UL-3275266</t>
  </si>
  <si>
    <t xml:space="preserve"> Gurnee inventory had a +12 adj. on 7/31/2015.</t>
  </si>
  <si>
    <t>087944972263249 &amp; 087944972263287</t>
  </si>
  <si>
    <t xml:space="preserve"> An unexpected error occured while processing and customer received packing list and invoice for 240 but an ASN was only generat</t>
  </si>
  <si>
    <t>UL-3663160</t>
  </si>
  <si>
    <t xml:space="preserve"> 864 units damaged. Freight pickup to Genco for destruction will be arranged.</t>
  </si>
  <si>
    <t xml:space="preserve"> Gurnee inventory is inline. These 2 units were the only items on this delivery. The package was signed for on 7/31/2015 by a Tr</t>
  </si>
  <si>
    <t>C0259639NLC</t>
  </si>
  <si>
    <t>UL-1904675</t>
  </si>
  <si>
    <t>MCKESSON SPECIALTY DISTRIBUTION LLC</t>
  </si>
  <si>
    <t xml:space="preserve"> 13 units damaged. Call tag will be issued to Genco for  destruction.</t>
  </si>
  <si>
    <t xml:space="preserve"> Gurnee DC short shipped customer 15 cases. Please create an RE for virtual return so customer can receive credit for shortage a</t>
  </si>
  <si>
    <t>UL-3663157</t>
  </si>
  <si>
    <t xml:space="preserve"> Gurnee inventory had a +7 adj. on 8/19/2015.</t>
  </si>
  <si>
    <t xml:space="preserve"> 1 cs damaged. Call tag will be issued to Genco for destruction.</t>
  </si>
  <si>
    <t>UL-3663185</t>
  </si>
  <si>
    <t xml:space="preserve"> Gurnee inventory is inline. no other customers claiming over at this time. POD is signed w/o exception.</t>
  </si>
  <si>
    <t>AMERISOURCE/EDEN PRAIRIE</t>
  </si>
  <si>
    <t xml:space="preserve"> 1 case damaged/refused. Please create an RE so product can be destroyed.</t>
  </si>
  <si>
    <t>UL-1904668</t>
  </si>
  <si>
    <t xml:space="preserve"> Bill Only completed. So#858095 D 81559373</t>
  </si>
  <si>
    <t>QK HEALTHCARE INC</t>
  </si>
  <si>
    <t xml:space="preserve"> 2 units reported w/o labels.</t>
  </si>
  <si>
    <t>UL-1904731</t>
  </si>
  <si>
    <t xml:space="preserve"> 96 units damaged. Call tags requested to Genco for destruction.</t>
  </si>
  <si>
    <t>087944972336912 &amp; 087944972336943 &amp; 087944972337155</t>
  </si>
  <si>
    <t xml:space="preserve"> Gurnee inventory had a +12 adj. on 8/3/2015.</t>
  </si>
  <si>
    <t xml:space="preserve"> Gurnee inventory is inline. DC security show product was shipped. Please have customer reverify.</t>
  </si>
  <si>
    <t xml:space="preserve"> Gurnee inventory had a +192 adj. on 8/17/2015.</t>
  </si>
  <si>
    <t xml:space="preserve"> 324 units damaged. Call tag will be issued to Genco for destruction.</t>
  </si>
  <si>
    <t>C0533984SYR</t>
  </si>
  <si>
    <t>087944972366063 &amp; 087944972366094 &amp; 087944972366179</t>
  </si>
  <si>
    <t xml:space="preserve"> Customer requested to return due to wanting better dating. Please create an RE so product can be restocked.</t>
  </si>
  <si>
    <t xml:space="preserve"> Gurnee inventory had a +6 adj. on 8/17/2015.</t>
  </si>
  <si>
    <t>C0259040NLC</t>
  </si>
  <si>
    <t>087944972376246 &amp; 087944972376253</t>
  </si>
  <si>
    <t xml:space="preserve"> 2 units ONLY damaged. Call tag will be issued to Genco for destruction.</t>
  </si>
  <si>
    <t>C0261295NLC</t>
  </si>
  <si>
    <t>UL-2099074</t>
  </si>
  <si>
    <t xml:space="preserve"> 1 unit damaged. Call tag issued to Genco for destruction.</t>
  </si>
  <si>
    <t xml:space="preserve"> Customer reported missing one unit upon opening of a  manufactuer sealed carton.</t>
  </si>
  <si>
    <t xml:space="preserve"> Bill Only completed. So# 855054 D 81554637</t>
  </si>
  <si>
    <t xml:space="preserve"> Customer was overshipped 24 units and returned to Gurnee DC. No issue customer not invoiced.</t>
  </si>
  <si>
    <t>UL-3663151</t>
  </si>
  <si>
    <t xml:space="preserve"> Gurnee inventory had a +12 adj. on 8/12/2015.</t>
  </si>
  <si>
    <t xml:space="preserve"> 5 units damaged. Call tag has been issued to Genco for destruction.</t>
  </si>
  <si>
    <t>CATAMARAN</t>
  </si>
  <si>
    <t>CATAMARAN HOME DELIVERY</t>
  </si>
  <si>
    <t>080315ACTAVISOH</t>
  </si>
  <si>
    <t xml:space="preserve"> Gurnee inventory had a +1 adj. on 8/18/2015.</t>
  </si>
  <si>
    <t xml:space="preserve"> Gurnee inventory had a +72 adj. on 8/17/2015.</t>
  </si>
  <si>
    <t>MP94248</t>
  </si>
  <si>
    <t>UL-3663184</t>
  </si>
  <si>
    <t xml:space="preserve"> Gurnee inventory had a +48 adj. on 8/18/2015.</t>
  </si>
  <si>
    <t xml:space="preserve"> Damaged products Will be sent to Genco for destruction.</t>
  </si>
  <si>
    <t>087944972358136 &amp; 087944972358143</t>
  </si>
  <si>
    <t xml:space="preserve"> Gurnee inventory is inline. 2 shipping catons with 144 units ea. were signed for on 8/5/2015 by a J Levano. Please have custome</t>
  </si>
  <si>
    <t>636808580799 &amp; 636808580803 &amp; 636808580836</t>
  </si>
  <si>
    <t>ONCOLOGY SUPPLY</t>
  </si>
  <si>
    <t>ASD SPECIALTY HEALTHCARE INC</t>
  </si>
  <si>
    <t>636808587576 &amp; 636808587598 &amp; 636808587668</t>
  </si>
  <si>
    <t xml:space="preserve"> 7 units damaged. Call tag will be issued to Genco for destruction.</t>
  </si>
  <si>
    <t xml:space="preserve"> 13 units damaged. Call tag will be issued to Genco for destruction.</t>
  </si>
  <si>
    <t>636808563719 &amp; 636808563720</t>
  </si>
  <si>
    <t xml:space="preserve"> Gurnee inventory is inline. 2 shipping cartons both signed for by an E Campbell on 8/6/2015. Please have customer reverify.</t>
  </si>
  <si>
    <t>CVS ORLANDO FL DISTRIBUTION</t>
  </si>
  <si>
    <t>MCKESSON PACKAGING SVC</t>
  </si>
  <si>
    <t>C55010MEGAN29M0660</t>
  </si>
  <si>
    <t>3 Order Entry Error</t>
  </si>
  <si>
    <t xml:space="preserve"> Order was entered for wrong customer. Product returned to Dc please create an RE so product can be restocked.</t>
  </si>
  <si>
    <t>636808568765 &amp; 636808568776</t>
  </si>
  <si>
    <t xml:space="preserve"> 4 units damaged. Call tag will be issued to Genco for destruction.</t>
  </si>
  <si>
    <t xml:space="preserve"> Customer received 1 pack of 12 missing 1 unit (see photos attached)</t>
  </si>
  <si>
    <t xml:space="preserve"> 2 units ONLY damaged. Call tag has been issued to Genco for destruction.</t>
  </si>
  <si>
    <t xml:space="preserve"> Gurnee inventory had a +24 adj. on 8/28/2015.</t>
  </si>
  <si>
    <t xml:space="preserve"> Gurnee inventory for NDC 591044401 GUANFACINE HCL 1MG TAB 100 is inline. POD is signed w/o exception. NDC 45963043864 ENULOSE/L</t>
  </si>
  <si>
    <t xml:space="preserve"> 11 units damaged. Call tag will be issued to Genco for destruction.</t>
  </si>
  <si>
    <t>OVERAGE 8-13-15</t>
  </si>
  <si>
    <t xml:space="preserve"> Dc sent in error product meant for CVS. (SEE SDR 10018945.) Product was returned to DC and will be resrocked under an RE on SDR</t>
  </si>
  <si>
    <t>DROGUERIA BETANCES INC</t>
  </si>
  <si>
    <t xml:space="preserve"> Customer is only claiming 3ea. damaged. Customer will destroy product and send LOD when complete.</t>
  </si>
  <si>
    <t xml:space="preserve"> 10 units damaged. Call tag will be issued to Genco for destruction.</t>
  </si>
  <si>
    <t>ANDA INC</t>
  </si>
  <si>
    <t xml:space="preserve"> Gurnee inventory had a +36 adj. on 9/3/2015. DC shipped in error 36 units of wrong NDC see also SDR 10018916.</t>
  </si>
  <si>
    <t xml:space="preserve"> Gurnee DC overshipped wrong NDC in error (see also SDR 10018915) Bill Only completed SO#860869 D 81563906.</t>
  </si>
  <si>
    <t xml:space="preserve"> 21 units damaged. Customer is only claiming 9ea. damaged of Lidocaine Patch. Call tag will be issued to Genco for destruction.</t>
  </si>
  <si>
    <t xml:space="preserve"> 24 units damaged. Call tag will be issued to Genco for destruction.</t>
  </si>
  <si>
    <t>VALLEY WHOLESALE DRUG CO LLC</t>
  </si>
  <si>
    <t>087944972377984 &amp; 087944972378042</t>
  </si>
  <si>
    <t xml:space="preserve"> Gurnee had a +48 adj on 8/17/2015 for NDC 228253910 &lt;(&gt;&amp;&lt;)&gt; a +12 adj. on 8/19/2015 for NDC 228212850</t>
  </si>
  <si>
    <t xml:space="preserve"> 16 units damaged. Call tag will be issued to Genco for destruction.</t>
  </si>
  <si>
    <t xml:space="preserve"> 13 units damaged.  only 12 units of 591376730 claimed damaged.  Call tag will be issued to Genco for destruction.</t>
  </si>
  <si>
    <t xml:space="preserve"> 12 units damaged. Call tag will be issued to Genco for destruction.</t>
  </si>
  <si>
    <t xml:space="preserve"> 7 units damaged. Customer will destroy and will send LOD.</t>
  </si>
  <si>
    <t>HENRY SCHEIN INC.</t>
  </si>
  <si>
    <t>HENRY SCHEIN INC</t>
  </si>
  <si>
    <t xml:space="preserve"> 12 units damaged. Call tag has been issued to Genco for destruction.</t>
  </si>
  <si>
    <t>CROACH01</t>
  </si>
  <si>
    <t>WATPA80515M</t>
  </si>
  <si>
    <t xml:space="preserve"> DC short shipped customer. Please create an RE for virtual return so customer can recevie credit and products can be restocked.</t>
  </si>
  <si>
    <t>C0261215NLC</t>
  </si>
  <si>
    <t>UL-2099100</t>
  </si>
  <si>
    <t xml:space="preserve"> 6 units damaged. Call tag will be issued to Genco for destruction.</t>
  </si>
  <si>
    <t xml:space="preserve"> 5 units damaged call tag will be issued to Genco for destruction. Damaged  AQUADEKS 60ML PED BKCHY  3 PCS ONLY  &lt;(&gt;&amp;&lt;)&gt; SCANDIS</t>
  </si>
  <si>
    <t xml:space="preserve"> 48 units damaged. Call tag will be issued to Genco for destruction.</t>
  </si>
  <si>
    <t>PRIME THERAPEUTICS LLC</t>
  </si>
  <si>
    <t>KROGER LIMITED PARTNERSHIP I</t>
  </si>
  <si>
    <t xml:space="preserve"> 3 units ONLY damaged. Call tag will be issued to Genco for destruction.</t>
  </si>
  <si>
    <t xml:space="preserve"> 4 units damaged. Call tag has been issued to Genco for destruction.</t>
  </si>
  <si>
    <t xml:space="preserve"> 77 units damaged. Call tag will be issued to Genco for destruction.</t>
  </si>
  <si>
    <t xml:space="preserve"> 18 units damaged. Call tag will be issued to Genco for destruction.</t>
  </si>
  <si>
    <t>1024749-557</t>
  </si>
  <si>
    <t xml:space="preserve"> Gurnee inventory had +12 adj. on 8/20/2015.</t>
  </si>
  <si>
    <t>O665223-11</t>
  </si>
  <si>
    <t xml:space="preserve"> Gurnee inventory had a +240 adj. on 8/17/2015.</t>
  </si>
  <si>
    <t xml:space="preserve"> 33 units damaged. Call tag will be issued to Genco for destruction.</t>
  </si>
  <si>
    <t>636808602834 &amp; 636808602856 &amp; 636808602867</t>
  </si>
  <si>
    <t xml:space="preserve"> Gurnee Inv. Had a +1 adj. on 9/14/2015.</t>
  </si>
  <si>
    <t>PINNACLE DISTRIBUTION INC</t>
  </si>
  <si>
    <t xml:space="preserve"> Gurnee DC sent to Smith Drug in error (see SDR 10018912) Product returned to DC on 8/19/2015. Please create an RE so customer c</t>
  </si>
  <si>
    <t xml:space="preserve"> Gurnee inventory had a +144 adj. on 8/18/2015.</t>
  </si>
  <si>
    <t>087944972387921 &amp; 087944972387945 &amp; 087944972387952 &amp; 087944972387969 &amp; 087944972387976 &amp; 087944972387983 &amp; 087944972387990 &amp; 08</t>
  </si>
  <si>
    <t xml:space="preserve"> 43 units damaged. Call tag issued to Genco for destruction.</t>
  </si>
  <si>
    <t xml:space="preserve"> 6 cases damaged &lt;(&gt;&amp;&lt;)&gt; refused. Please create an RE so products can be destroyed.</t>
  </si>
  <si>
    <t xml:space="preserve">  1 unit damaged. Call tag will be issued to Genco for destruction.</t>
  </si>
  <si>
    <t xml:space="preserve"> Customer received w/ damage (see SDR 10018951)  1 unit was missing from damaged carton.</t>
  </si>
  <si>
    <t xml:space="preserve"> Several products reported received damaged. Call tag will be issued to Genco for destruction.</t>
  </si>
  <si>
    <t>UL-2099111</t>
  </si>
  <si>
    <t xml:space="preserve"> Gurnee inventory had a +5 adj. on 8/20/2015.</t>
  </si>
  <si>
    <t>UL-2325200</t>
  </si>
  <si>
    <t>UL-2099143</t>
  </si>
  <si>
    <t>UL-2099118</t>
  </si>
  <si>
    <t>UL-2099134</t>
  </si>
  <si>
    <t xml:space="preserve"> Gurnee inventory had a +24 adj. on 8/20/2015.</t>
  </si>
  <si>
    <t xml:space="preserve"> 1 case damaged. Call tag will be issued to Genco for destruction.</t>
  </si>
  <si>
    <t>C0261867NLC</t>
  </si>
  <si>
    <t>UL-2099125</t>
  </si>
  <si>
    <t xml:space="preserve"> 10 units damaged  7 units ONLY of Lidocaine and 3 units ONLY of Minoxidil.  Call tag will be issued to Genco for destruction.</t>
  </si>
  <si>
    <t xml:space="preserve"> 24 units damaged. Call tag was issued to Genco for destuction.</t>
  </si>
  <si>
    <t xml:space="preserve"> Gurnee inventory had a +48 adj. on 9/3/2015.</t>
  </si>
  <si>
    <t>GENERAL INJECTABLES &amp; VACCI</t>
  </si>
  <si>
    <t xml:space="preserve"> Customer reported and adverse reaction . Info forwarded to PV.</t>
  </si>
  <si>
    <t xml:space="preserve"> Gurnee inventory had a +12 adj. on 8/20/2015.</t>
  </si>
  <si>
    <t>SMITH'S FOOD &amp; DRUG CTR'S INC</t>
  </si>
  <si>
    <t>UL-2099147</t>
  </si>
  <si>
    <t>G515868</t>
  </si>
  <si>
    <t xml:space="preserve"> 31 units ONLY damaged. Call tag will be issued to Genco for destruction.</t>
  </si>
  <si>
    <t xml:space="preserve"> 48 units damaged. Call tag was issued to Genco for destruction.</t>
  </si>
  <si>
    <t>JMEZZI01</t>
  </si>
  <si>
    <t xml:space="preserve"> Gurnee inventory had a +12 adj. on 8/24/2015.</t>
  </si>
  <si>
    <t>UL-2099137</t>
  </si>
  <si>
    <t xml:space="preserve"> 3 units damaged. Customer will destroy. LOD is attached.</t>
  </si>
  <si>
    <t xml:space="preserve"> 1 unit damaged. Customer will destroy and will send LOD.</t>
  </si>
  <si>
    <t>KROGER LIMITED PARTNERSHIP II</t>
  </si>
  <si>
    <t>UL-23225220</t>
  </si>
  <si>
    <t xml:space="preserve"> Gurnee inventoy had a +6 adj. on 8/27/2015. Please have customer verify the shortage QTY.</t>
  </si>
  <si>
    <t xml:space="preserve"> Gurnee inventory had a +48 adj. on 8/26/2015.</t>
  </si>
  <si>
    <t>573402409160 &amp; 573402409170 &amp; 573402409181</t>
  </si>
  <si>
    <t xml:space="preserve"> Gurnee inventory is inline. No other customers claiming over t this time. POD is signed w/o exception.</t>
  </si>
  <si>
    <t xml:space="preserve"> 2 cases damaged &lt;(&gt;&amp;&lt;)&gt; refused. Please create an RE so product can be destroyed.</t>
  </si>
  <si>
    <t xml:space="preserve"> 6 units ONLY damaged. Call tag was issued to Genco for destruction.</t>
  </si>
  <si>
    <t>087944972417505 &amp; 087944972417512</t>
  </si>
  <si>
    <t xml:space="preserve"> Gurnee Inventory had a +72 adj. on 8/24/2015.</t>
  </si>
  <si>
    <t>UL-2325201</t>
  </si>
  <si>
    <t xml:space="preserve"> 4 units damaged. Customer will destroy and send LOD.</t>
  </si>
  <si>
    <t>MWI VETERINARY SUPPLY CO</t>
  </si>
  <si>
    <t>DAKOTA DRUG INC</t>
  </si>
  <si>
    <t>1019441-6</t>
  </si>
  <si>
    <t xml:space="preserve"> 14 units damaged. Call tag will be issued to Genco for destruction.</t>
  </si>
  <si>
    <t xml:space="preserve"> Gurnee inventory had a +10 adj. on 7/2/2015.</t>
  </si>
  <si>
    <t xml:space="preserve"> Gurnee inventory had a +48 adj. on 8/24/2015.</t>
  </si>
  <si>
    <t xml:space="preserve">  Bill Only completed SO# 859163 D 81560992</t>
  </si>
  <si>
    <t xml:space="preserve"> Gurnee inventory had a +12 adj. on 8/21/2015.</t>
  </si>
  <si>
    <t>C0262333NLC</t>
  </si>
  <si>
    <t>UL-3147468</t>
  </si>
  <si>
    <t>C0262417NLC</t>
  </si>
  <si>
    <t>UL-3147465</t>
  </si>
  <si>
    <t xml:space="preserve"> 62 units damaged. Call tag will be issued to Genco for destruction.</t>
  </si>
  <si>
    <t>636808596765 &amp; 636808596787 &amp; 636808596813 &amp; 636808596824</t>
  </si>
  <si>
    <t xml:space="preserve"> 6 units reported received w/o seals. Info forwarded to Quality.</t>
  </si>
  <si>
    <t xml:space="preserve"> Bill Only Completed So#859166 D 81560990</t>
  </si>
  <si>
    <t>3 Customer Support Authorized Return</t>
  </si>
  <si>
    <t xml:space="preserve"> Customer returned 12 Units to DC on 08/2//8/2015. This is a customer service authorised return. Please create an RE so product</t>
  </si>
  <si>
    <t>O670792-11</t>
  </si>
  <si>
    <t>UL-2325228</t>
  </si>
  <si>
    <t xml:space="preserve"> Bill only completed SO#857949 D 81558985</t>
  </si>
  <si>
    <t>UL-2099107</t>
  </si>
  <si>
    <t xml:space="preserve"> Gurnee inventory is inlin. No other customers claiming over at this time. POD is signed w/o exception.</t>
  </si>
  <si>
    <t xml:space="preserve"> DC overage occurred due to Case sz change of short dated products. Bill Only has been completed. SO#860229 Delivery #'s 8156304</t>
  </si>
  <si>
    <t xml:space="preserve"> DC shortage due to Shortdated material customer ordered 432 units and was sent 9 cases of 30 instead of 9 cases of 48. Gurnee i</t>
  </si>
  <si>
    <t xml:space="preserve"> 1 units damaged. Call tag will be issued to Genco for destruction.</t>
  </si>
  <si>
    <t>UL-2099141</t>
  </si>
  <si>
    <t>C0262432NLC</t>
  </si>
  <si>
    <t xml:space="preserve"> 1 damaged. Call tag will be issued to Genco for destruction.</t>
  </si>
  <si>
    <t xml:space="preserve"> 5 units ONLY damaged. (4 units of NDC 472022041) Call tag will be issued to Genco for destruction.</t>
  </si>
  <si>
    <t>INDEPENDENT PHARMACY COOPERATIVE</t>
  </si>
  <si>
    <t xml:space="preserve"> 5 units damaged.  Call tag will be issued to Genco for destruction.</t>
  </si>
  <si>
    <t xml:space="preserve"> 29 units damaged (8 units ONLY of NDC 472017956) Call tag has been issued to Genco for destruction.</t>
  </si>
  <si>
    <t>UL-2325225</t>
  </si>
  <si>
    <t xml:space="preserve"> Gurnee inventory ahd a +24 adj. on 8/28/2015.</t>
  </si>
  <si>
    <t>UL-2325232</t>
  </si>
  <si>
    <t xml:space="preserve"> 72 units damaged. Call tag will be issued to Genco for destruction.</t>
  </si>
  <si>
    <t>UL-2325235</t>
  </si>
  <si>
    <t xml:space="preserve"> 15 units damaged. Call tag will be issued to Genco for destruction.</t>
  </si>
  <si>
    <t>GENETCO, INC</t>
  </si>
  <si>
    <t xml:space="preserve"> Bill Only completed. SO#860486 D 81563261</t>
  </si>
  <si>
    <t>C0261766NLC</t>
  </si>
  <si>
    <t xml:space="preserve"> 35 units damaged. Call tag will be issued to Genco for destruction.</t>
  </si>
  <si>
    <t xml:space="preserve"> Customer was suppossed to receive 144 units and only received 72. Error occured because this lot 918263A was shortdated materia</t>
  </si>
  <si>
    <t xml:space="preserve"> Bill Only completed. SO# 859164 D 81560991</t>
  </si>
  <si>
    <t>UL-2099112</t>
  </si>
  <si>
    <t xml:space="preserve"> Gurnee inventory had a +  adj. on 8/20/2015.</t>
  </si>
  <si>
    <t>UL-2325209</t>
  </si>
  <si>
    <t xml:space="preserve"> NDC 00591078001 is inline No other customers claiming over at this time. POD is signed w/o exception. NDC 62037056005 Gurnee DC</t>
  </si>
  <si>
    <t>UL-3713011</t>
  </si>
  <si>
    <t xml:space="preserve"> Gurnee inventory had a +12 adj. on 8/31/2015.</t>
  </si>
  <si>
    <t>UL-2325224</t>
  </si>
  <si>
    <t>1024749-582</t>
  </si>
  <si>
    <t>UL-3147493</t>
  </si>
  <si>
    <t>UL-2325243</t>
  </si>
  <si>
    <t xml:space="preserve"> 72 units were left off delivery in error. Please create an RE so product can be restocked in Inv. and customer can receive cred</t>
  </si>
  <si>
    <t>G516055</t>
  </si>
  <si>
    <t xml:space="preserve"> Gurnee inventory ahd a + adj. on 8/28/2015.</t>
  </si>
  <si>
    <t xml:space="preserve"> 3 products damaged and refused. Please create an RE so products can be destroyed.</t>
  </si>
  <si>
    <t xml:space="preserve"> 4 units damaged. Customer will destroy product and send LOD when complete.</t>
  </si>
  <si>
    <t>UL-3147473</t>
  </si>
  <si>
    <t xml:space="preserve"> 3 products with damage. Call tag will be issued to Genco for destruction.</t>
  </si>
  <si>
    <t>C0262354NLC</t>
  </si>
  <si>
    <t xml:space="preserve"> Gurnee DC shorted customer 12 units and sent in error to Humana on SDR 10019100.</t>
  </si>
  <si>
    <t>C0262425NLC</t>
  </si>
  <si>
    <t>UL-3147474</t>
  </si>
  <si>
    <t>C0263010NLC</t>
  </si>
  <si>
    <t>UL-3713204</t>
  </si>
  <si>
    <t>UL-3713042</t>
  </si>
  <si>
    <t xml:space="preserve"> Bill Only completed. SO#860483 D 81563259</t>
  </si>
  <si>
    <t>H. E. BUTT GROCERY COMPANY</t>
  </si>
  <si>
    <t>HEB PHARMACY WAREHOUSE LP</t>
  </si>
  <si>
    <t>H. E. BUTT GROCERY CO.</t>
  </si>
  <si>
    <t>55X395651</t>
  </si>
  <si>
    <t xml:space="preserve"> DC received 2 cases damaged and refused on 08/28/2015. Please create an RE so product can be destroyed / restocked.</t>
  </si>
  <si>
    <t xml:space="preserve"> 194 units damaged. Call tag will be issued to Genco for destruction.</t>
  </si>
  <si>
    <t>GOLDEN STATE MEDICAL SUPPLY INC</t>
  </si>
  <si>
    <t>636808541482 &amp; 636808541493 &amp; 636808541508</t>
  </si>
  <si>
    <t>087944972441852 &amp; 087944972441890</t>
  </si>
  <si>
    <t xml:space="preserve"> Customer reported 3 units missing. Info forwarded to manufactuer for further investigation.</t>
  </si>
  <si>
    <t xml:space="preserve"> Bill Only completed. SO# 862877 D 81567278</t>
  </si>
  <si>
    <t>Z8097340XD</t>
  </si>
  <si>
    <t>UL-2303786</t>
  </si>
  <si>
    <t xml:space="preserve"> Bill Only completed. SO# 860485 D 81563260</t>
  </si>
  <si>
    <t xml:space="preserve"> Multiple units received damaged. Please see attached for exact quantites.  Call tag will be issued to Genco for destruction.</t>
  </si>
  <si>
    <t xml:space="preserve"> Customer reported receiving 12 units they did not order. Product was received damaged and snt to Genco for destruction. No cred</t>
  </si>
  <si>
    <t xml:space="preserve"> Gurnee inventory had a +12 adj. on 9/1/2015.</t>
  </si>
  <si>
    <t>UL-3713034</t>
  </si>
  <si>
    <t xml:space="preserve"> 3 units damaged. Call tag  issued to Genco for destruction.</t>
  </si>
  <si>
    <t xml:space="preserve"> 36 units damaged. Call tag  issued to Genco for destruction.</t>
  </si>
  <si>
    <t xml:space="preserve"> 16 units damaged. Call tag issued to Genco for destruction.</t>
  </si>
  <si>
    <t>087944972440084 &amp; 087944972440091 &amp; 087944972440107 &amp; 087944972440527</t>
  </si>
  <si>
    <t>WAL-MART PHARMACY WAREHOUSE</t>
  </si>
  <si>
    <t xml:space="preserve"> Wal-mart received products meant for another customer(see SDR 10019186) Products were returned to DC on 9/8 and will be returne</t>
  </si>
  <si>
    <t>Form106 Date</t>
  </si>
  <si>
    <t>Claim date</t>
  </si>
  <si>
    <t>Claim amount</t>
  </si>
  <si>
    <t>Check received Date</t>
  </si>
  <si>
    <t>Check Number</t>
  </si>
  <si>
    <t>Amount received</t>
  </si>
  <si>
    <t>Adjusted amount</t>
  </si>
  <si>
    <t>Denied amount</t>
  </si>
  <si>
    <t>UL-2325213</t>
  </si>
  <si>
    <t xml:space="preserve"> Gurnee inventory had a +10 adj. on 8/25/2015.</t>
  </si>
  <si>
    <t>UL-3147485</t>
  </si>
  <si>
    <t>55X413981</t>
  </si>
  <si>
    <t xml:space="preserve"> 4 cartons damaged and refused by Heb Pharmacy returened to DC on 09/08/2015. Please create an RE so product can be destroyed.</t>
  </si>
  <si>
    <t>636808610177 &amp; 636808610199</t>
  </si>
  <si>
    <t xml:space="preserve"> 13 units damaged. Customer will destroy and send LOD when complete.</t>
  </si>
  <si>
    <t>H D SMITH LLC</t>
  </si>
  <si>
    <t>UL-3713045</t>
  </si>
  <si>
    <t xml:space="preserve"> Bill Only completed. So#862792 D 81567145.</t>
  </si>
  <si>
    <t xml:space="preserve"> Bill Only completed SO#862971 D 81567550</t>
  </si>
  <si>
    <t>C0260132NLC</t>
  </si>
  <si>
    <t>636808621510 &amp; 636808621520 &amp; 636808621531 &amp; 636808621542 &amp; 636808621553 &amp; 636808621564 &amp; 636808621575 &amp; 636808621586 &amp; 63680862</t>
  </si>
  <si>
    <t xml:space="preserve"> 59 units damaged. Call tag will be issued to Genco for destruction.</t>
  </si>
  <si>
    <t>UL-3713015</t>
  </si>
  <si>
    <t>BDI PHARMA INC</t>
  </si>
  <si>
    <t xml:space="preserve"> Customer has located product. No issue. SDR rejected.</t>
  </si>
  <si>
    <t xml:space="preserve"> Gurnee DC mis-ship products that were meant to be returned back to inventory to the customer. Customer has returned products to</t>
  </si>
  <si>
    <t>636808623063 &amp; 636808623074</t>
  </si>
  <si>
    <t xml:space="preserve"> Consumer only claiming 2ea. damaged. Customer will destroy and send LOD when complete.</t>
  </si>
  <si>
    <t>087944972442620 &amp; 087944972442637 &amp; 087944972442644 &amp; 087944972442651 &amp; 087944972442668 &amp; 087944972442675 &amp; 087944972442682 &amp; 08</t>
  </si>
  <si>
    <t>087944972450731 &amp; 087944972450748 &amp; 087944972450755 &amp; 087944972450762 &amp; 087944972450779 &amp; 087944972450786 &amp; 087944972450793 &amp; 08</t>
  </si>
  <si>
    <t>DCASSADAY</t>
  </si>
  <si>
    <t>087944972450021 &amp; 087944972450151 &amp; 087944972450168 &amp; 087944972450175 &amp; 087944972450182 &amp; 087944972450199 &amp; 087944972450205</t>
  </si>
  <si>
    <t>RHERNAND</t>
  </si>
  <si>
    <t>DLA TROOP SUPPORT</t>
  </si>
  <si>
    <t>DLA TROOP SUPPORT XDOCK</t>
  </si>
  <si>
    <t>SPM2D010D00010800</t>
  </si>
  <si>
    <t xml:space="preserve"> This order was entered to the wrong ship to address. Please create an RE for "virtual" return so Baltimore can receive create a</t>
  </si>
  <si>
    <t>UL-3713032</t>
  </si>
  <si>
    <t xml:space="preserve"> Bill Only completed. SO#862431 DD 81566251</t>
  </si>
  <si>
    <t>636808622917 &amp; 636808622939</t>
  </si>
  <si>
    <t xml:space="preserve"> 12 units damaged. Customer will destroy damaged goods and will send LOD.</t>
  </si>
  <si>
    <t xml:space="preserve"> Bill Only completed. SO# 862795 D 81567146</t>
  </si>
  <si>
    <t>BRIOVARX OF IN - MAIL</t>
  </si>
  <si>
    <t>082815ACTAVISJ2</t>
  </si>
  <si>
    <t xml:space="preserve"> DC received 57 cases on 09/10/2015. This is a customer support authorised return. Please create an RE so product can be restock</t>
  </si>
  <si>
    <t>1044540-26</t>
  </si>
  <si>
    <t xml:space="preserve"> Bill Only completed. So#862798 D 81567105.</t>
  </si>
  <si>
    <t>WATPA90115M</t>
  </si>
  <si>
    <t xml:space="preserve"> 23 units ONLY damaged. Call tag will be issued to Genco for destruction.</t>
  </si>
  <si>
    <t>SMEYER</t>
  </si>
  <si>
    <t xml:space="preserve"> Customer received 12 units over. Product was returned to the DC. No issue customer was not invoiced for this.</t>
  </si>
  <si>
    <t>N C MUTUAL WHOLESALE DRUG</t>
  </si>
  <si>
    <t>UL-2325226</t>
  </si>
  <si>
    <t xml:space="preserve"> Gurnee DC short shipped 25 units to customer. Please create an RE for virtual return so customer can receive credit for shortag</t>
  </si>
  <si>
    <t xml:space="preserve"> Bill Only completed. SO# 862981 D 81567771</t>
  </si>
  <si>
    <t xml:space="preserve"> Gurnee inventory had a +48 adj. on 9/1/2015.</t>
  </si>
  <si>
    <t>CATAMARAN HOME DELIVERY OF FL INC</t>
  </si>
  <si>
    <t xml:space="preserve"> Gurnee inventory had a +12 adj. on 9/02/2015.</t>
  </si>
  <si>
    <t>ANDA FL - TARGET</t>
  </si>
  <si>
    <t>UL-3147455</t>
  </si>
  <si>
    <t xml:space="preserve"> Gurnee inventory is inline. No other customers claiming over at this time. POD is marked 19 cases short? Possible receiving iss</t>
  </si>
  <si>
    <t>UL-3713009</t>
  </si>
  <si>
    <t xml:space="preserve"> Duplicate SDR this shortage was a damage already resolved on SDR 10019211. Please reject SDR. No issue.</t>
  </si>
  <si>
    <t>UL-1868888</t>
  </si>
  <si>
    <t>O676139-09</t>
  </si>
  <si>
    <t>UL-3147490</t>
  </si>
  <si>
    <t xml:space="preserve"> Gurnee inventory had a +6 adj. on 8/27/2015.</t>
  </si>
  <si>
    <t>UL-1868877</t>
  </si>
  <si>
    <t xml:space="preserve"> 144 units damaged. Call tag will be issued to Genco for destruction.</t>
  </si>
  <si>
    <t xml:space="preserve"> Customer has located product. SDR rejected. No issue.</t>
  </si>
  <si>
    <t>C0262926NLC</t>
  </si>
  <si>
    <t xml:space="preserve"> Bill Only completed. SO# 862988 D 81567572</t>
  </si>
  <si>
    <t>UL-1868855</t>
  </si>
  <si>
    <t xml:space="preserve"> Gurnee inventory had a +24 adj. on 9/1/2015.</t>
  </si>
  <si>
    <t xml:space="preserve"> Gurnee DC shorted customer 12 units. Please create an RE so product can be returned to Inv. and customer can receive credit for</t>
  </si>
  <si>
    <t>UL-3147484</t>
  </si>
  <si>
    <t xml:space="preserve"> Gurnee DC sent 3 units  rather than 3 cases in error. Gurnee inventory had a +141 adj. on 8/31/2015.</t>
  </si>
  <si>
    <t>C0260681NLC</t>
  </si>
  <si>
    <t>087944972358938 &amp; 087944972358952 &amp; 087944972358976 &amp; 087944972358990 &amp; 087944972359010</t>
  </si>
  <si>
    <t xml:space="preserve"> 5 units ONLY damaged. Call tag will be issued to Genco for destruction.</t>
  </si>
  <si>
    <t xml:space="preserve"> Gurnee inventory had a +24 adj. on 8/24/2015.</t>
  </si>
  <si>
    <t xml:space="preserve"> 13 units damaged. Customer will destroy damaged product and send LOD when completed.</t>
  </si>
  <si>
    <t xml:space="preserve"> 2 units damaged. Call tag has been issued to Genco for destruction.</t>
  </si>
  <si>
    <t>BUTLER SCHEIN ANIMAL HEALTH SUPPLY</t>
  </si>
  <si>
    <t>HENRY SCHEIN ANIMAL HEALTH</t>
  </si>
  <si>
    <t>J213083</t>
  </si>
  <si>
    <t xml:space="preserve"> Multiple damages reported. Fed Ex freight pick up damages and forward to Genco.</t>
  </si>
  <si>
    <t>UL-3713004</t>
  </si>
  <si>
    <t xml:space="preserve"> Gurnee DC sent these products in error to Wal-Mart (see SDR 10019092). Please create an RE so customer can receive credit for s</t>
  </si>
  <si>
    <t>UL-1868865</t>
  </si>
  <si>
    <t xml:space="preserve"> Gurnee DC had a +5 adj. on 9/1/2015.</t>
  </si>
  <si>
    <t>UL-1868903</t>
  </si>
  <si>
    <t xml:space="preserve"> Gurnee inventory had a +48 adj. on 9/15/2015.</t>
  </si>
  <si>
    <t>UL-3713037</t>
  </si>
  <si>
    <t xml:space="preserve"> 1 case damaged. Call tag has been issued to Genco for destruction.</t>
  </si>
  <si>
    <t>C0263514NLC</t>
  </si>
  <si>
    <t>087944972482824 &amp; 087944972482831 &amp; 087944972482848 &amp; 087944972482855 &amp; 087944972482862</t>
  </si>
  <si>
    <t>UL-1868910</t>
  </si>
  <si>
    <t>C0263597NLC</t>
  </si>
  <si>
    <t>087944972475048 &amp; 087944972475093 &amp; 087944972475109</t>
  </si>
  <si>
    <t>AUBURN PHARMACEUTICAL COMPANY</t>
  </si>
  <si>
    <t xml:space="preserve"> 19 units damaged (3 ONLY Lidocaine) Call tag has been issued to Genco for destruction.</t>
  </si>
  <si>
    <t>C0264141NLC</t>
  </si>
  <si>
    <t>UL-1868947</t>
  </si>
  <si>
    <t xml:space="preserve"> 12 units daamged. Call tag has been issued to Genco for destruction.</t>
  </si>
  <si>
    <t xml:space="preserve"> 1 case damaged and refused. Please create an RE so product can be destroyed.</t>
  </si>
  <si>
    <t xml:space="preserve"> 1 case damaged. Call tag issued to Genco for destruction.</t>
  </si>
  <si>
    <t>UL-1868902</t>
  </si>
  <si>
    <t>UL-1868937</t>
  </si>
  <si>
    <t>G517253</t>
  </si>
  <si>
    <t xml:space="preserve"> 192 units damaged. Call tag will be issued to Genco for destruction.</t>
  </si>
  <si>
    <t>UL-1868923</t>
  </si>
  <si>
    <t xml:space="preserve"> 4 units damaged. Call tag issued to Genco for destruction.</t>
  </si>
  <si>
    <t xml:space="preserve"> 117 units damaged. Call tag will be issued to Genco for destruction.</t>
  </si>
  <si>
    <t>G517255</t>
  </si>
  <si>
    <t xml:space="preserve"> 36 units damaged. Call tag will be issued to Genco for destruction.</t>
  </si>
  <si>
    <t>MORRIS &amp; DICKSON COMPANY LTD</t>
  </si>
  <si>
    <t>MORRIS &amp; DICKSON CO, LLC</t>
  </si>
  <si>
    <t>MORRIS &amp; DICKSON CO LTD</t>
  </si>
  <si>
    <t>UL-3147492</t>
  </si>
  <si>
    <t xml:space="preserve"> Bill Only completed. SO#864393 D 81570269</t>
  </si>
  <si>
    <t xml:space="preserve"> 21 units ONLY damaged. Customer will destroy and provide LOD.</t>
  </si>
  <si>
    <t>CARDINAL HEALTH PR 120 INC</t>
  </si>
  <si>
    <t>C0100983GUA</t>
  </si>
  <si>
    <t xml:space="preserve"> 2 units damaged. Customer will destroy and provide LOD.</t>
  </si>
  <si>
    <t>OPTUMRX INC</t>
  </si>
  <si>
    <t>PRESCRIPTION SOLUTIONS BY OPTUMRX</t>
  </si>
  <si>
    <t>18-937</t>
  </si>
  <si>
    <t xml:space="preserve"> Gurnee inventory ahd a +1 adj. on 9/10/2015.</t>
  </si>
  <si>
    <t xml:space="preserve"> Bill Only Completed So#864301 D 81570084</t>
  </si>
  <si>
    <t>UL-1868928</t>
  </si>
  <si>
    <t>BURLINGTON DRUG COMPANY</t>
  </si>
  <si>
    <t>O687787-01</t>
  </si>
  <si>
    <t xml:space="preserve"> Customer recevied overage due to a case size change from 24-48. Bill only has been completed. SO#864450 D 81570296</t>
  </si>
  <si>
    <t>1021887-6</t>
  </si>
  <si>
    <t xml:space="preserve"> Due to a case size change Gurnee DC overshipped to customer. Product returned to DC on 9/18/2015. No issue customer was not inv</t>
  </si>
  <si>
    <t>Z8100000XD</t>
  </si>
  <si>
    <t xml:space="preserve"> Due to a case size change from 24- 48 DC overahipped 48 units. Bill Only completed. So#864238 D 81570114.</t>
  </si>
  <si>
    <t>Z8100550XD</t>
  </si>
  <si>
    <t>UL-2099116</t>
  </si>
  <si>
    <t xml:space="preserve"> Bill Only completed. So# 864246 D 81570115</t>
  </si>
  <si>
    <t>C0262427NLC</t>
  </si>
  <si>
    <t>087944972490041 &amp; 087944972490058 &amp; 087944972490072 &amp; 087944972490096 &amp; 087944972490119 &amp; 087944972490133 &amp; 087944972490157 &amp; 08</t>
  </si>
  <si>
    <t xml:space="preserve"> Customer has located missing product. No Issue SDR rejected.</t>
  </si>
  <si>
    <t>DAKOTA DRUG</t>
  </si>
  <si>
    <t>1021870-4</t>
  </si>
  <si>
    <t xml:space="preserve"> Customer was over shipped due to a case size change.Product was returned to DC. No issue customer was not invoiced.</t>
  </si>
  <si>
    <t xml:space="preserve"> Duplicate SDR plese reject already resloved on SDR 10019087.</t>
  </si>
  <si>
    <t>UL-2324978</t>
  </si>
  <si>
    <t xml:space="preserve"> Due to a case size change Gurnee DC overshipped customer. This product was returned. No issue customer was not invoiced for thi</t>
  </si>
  <si>
    <t xml:space="preserve"> 1 unit damaged. Customer will destroy and send LOD.</t>
  </si>
  <si>
    <t>ROCHESTER DRUG COOPERATIVE INC NJ</t>
  </si>
  <si>
    <t>087944972383381 &amp; 087944972383398 &amp; 087944972383404 &amp; 087944972383411 &amp; 087944972383435</t>
  </si>
  <si>
    <t xml:space="preserve"> Gurnee inventory is inline. No other customers claiming short at this time. This PO had a total of 528 units shipped 453 on del</t>
  </si>
  <si>
    <t xml:space="preserve"> Gurnee inventory had a +2 adj. on 9/1/2015.</t>
  </si>
  <si>
    <t xml:space="preserve"> Gurnee inventory is inline. No other customers claiming over at this time. POD is signed w/o exception for shortages. (some dam</t>
  </si>
  <si>
    <t>UL-2324970</t>
  </si>
  <si>
    <t>UL-1868866</t>
  </si>
  <si>
    <t xml:space="preserve"> Bill Only completed So#867209 D 81574249</t>
  </si>
  <si>
    <t>VISTAPHARM INC</t>
  </si>
  <si>
    <t>UL-2238403</t>
  </si>
  <si>
    <t xml:space="preserve"> Product Qaulity issue see attached notes.</t>
  </si>
  <si>
    <t xml:space="preserve"> Product qaulity issue see attached notes.</t>
  </si>
  <si>
    <t>GARRATON</t>
  </si>
  <si>
    <t xml:space="preserve"> Gurnee DC short shipped customer 12 units. Please create an RE so product can be returned to Inv. and customer can receive cred</t>
  </si>
  <si>
    <t xml:space="preserve"> Gurnee inventory is inline. No other customers claiming over at this time. POD is signed w/o exception. There were 4 cases on t</t>
  </si>
  <si>
    <t xml:space="preserve"> 1 case damaged and refused. Please create an RE so product can be restocked (36 ea)/destroyed.(12 ea).</t>
  </si>
  <si>
    <t>UL-1868925</t>
  </si>
  <si>
    <t>CVS TN DISTRIBUTION LLC</t>
  </si>
  <si>
    <t xml:space="preserve"> Gurnee inventory had a +48 adj. on 9/10/2015.</t>
  </si>
  <si>
    <t xml:space="preserve"> Gurnee inventory had a +6 adj. on 9/15/2015.</t>
  </si>
  <si>
    <t>UL-2324991</t>
  </si>
  <si>
    <t xml:space="preserve"> Gurnee inventory had a +48 adj. on 9/18/2015.</t>
  </si>
  <si>
    <t xml:space="preserve"> Gurnee inventory had a +12 adj. on 9/15/2015.</t>
  </si>
  <si>
    <t xml:space="preserve"> 5 units damaged. Call tag issued to Genco for destruction.</t>
  </si>
  <si>
    <t>UL-1868893</t>
  </si>
  <si>
    <t xml:space="preserve"> 3 cases meant for customer were sent in error to Amerisource Valencia. (see SDR 10019347) Please create an RE for virtual retur</t>
  </si>
  <si>
    <t xml:space="preserve"> Gurnee inventory is inline. No other customers caiming over at this time. POD signed w/o exception.</t>
  </si>
  <si>
    <t>WATPA72715BE</t>
  </si>
  <si>
    <t xml:space="preserve"> Customer reported bottle missing pills.</t>
  </si>
  <si>
    <t>VD108643</t>
  </si>
  <si>
    <t xml:space="preserve"> Bill Only completed. So#865196 D 81571460.</t>
  </si>
  <si>
    <t>UL-32324972</t>
  </si>
  <si>
    <t xml:space="preserve"> Gurnee inventory had a +50 adj. on 9/18/2015.</t>
  </si>
  <si>
    <t>636808631370 &amp; 636808631381</t>
  </si>
  <si>
    <t xml:space="preserve"> 1 unit damaged. Returned to DC customer could not destroy. Please create an RE so product can be destroyed.</t>
  </si>
  <si>
    <t>MP94361</t>
  </si>
  <si>
    <t xml:space="preserve"> 4 ONLY damaged. Call tag wil be issued to Genco for destruction.</t>
  </si>
  <si>
    <t>C0262951NLC</t>
  </si>
  <si>
    <t>087944972498627 &amp; 087944972498665 &amp; 087944972498764 &amp; 087944972498771 &amp; 087944972498801 &amp; 087944972498832 &amp; 087944972502638</t>
  </si>
  <si>
    <t xml:space="preserve"> 72 units damaged. Call tag issued to Genco for destruction.</t>
  </si>
  <si>
    <t>AMERISOURCE HEALTH SERVS CORP</t>
  </si>
  <si>
    <t>087944972504120 &amp; 087944972504151</t>
  </si>
  <si>
    <t>087944972504083 &amp; 087944972504120 &amp; 087944972504144</t>
  </si>
  <si>
    <t xml:space="preserve"> Bill only completed. So#868150 D 81575427</t>
  </si>
  <si>
    <t>087944972501082 &amp; 087944972501167 &amp; 087944972501174 &amp; 087944972501181</t>
  </si>
  <si>
    <t xml:space="preserve"> Duplicate SDR. Please reject. already resolved on SDR 10019276</t>
  </si>
  <si>
    <t>C0263594NLC</t>
  </si>
  <si>
    <t>087944972508722 &amp; 087944972508777 &amp; 087944972508791 &amp; 087944972508876</t>
  </si>
  <si>
    <t>C0262362NLC</t>
  </si>
  <si>
    <t>087944972504465 &amp; 087944972504472 &amp; 087944972504489 &amp; 087944972504496</t>
  </si>
  <si>
    <t>C0264640NLC</t>
  </si>
  <si>
    <t>UL-3296287</t>
  </si>
  <si>
    <t xml:space="preserve"> Gurnee inventory had a +36 adj. on 9/25/2015.</t>
  </si>
  <si>
    <t>C0264704NLC</t>
  </si>
  <si>
    <t>UL-3296270</t>
  </si>
  <si>
    <t xml:space="preserve"> 5 units damaged. Customer will destroy product and send LOD when complete.</t>
  </si>
  <si>
    <t>VEDCO, INC</t>
  </si>
  <si>
    <t>087944972511432 &amp; 087944972511470</t>
  </si>
  <si>
    <t xml:space="preserve"> Gurnee inventory had a +1 adj. on 9/18 and a +1 adj. on 9/28 = +2.</t>
  </si>
  <si>
    <t>UL-1868939</t>
  </si>
  <si>
    <t>1022401-6</t>
  </si>
  <si>
    <t xml:space="preserve"> 2 cases damaged &lt;(&gt;&amp;&lt;)&gt; refused. Please create an RE so products can be destroyed.</t>
  </si>
  <si>
    <t>UL-2324996</t>
  </si>
  <si>
    <t>UL-3296255</t>
  </si>
  <si>
    <t xml:space="preserve"> 29 units damaged. Call tag will be issued to Genco for destruction.</t>
  </si>
  <si>
    <t xml:space="preserve"> 12 units damaged. Product will be sent to Genco for destruction.</t>
  </si>
  <si>
    <t xml:space="preserve"> 14 units ONLY damaged. Call tag will be issued to Genco for destruction.</t>
  </si>
  <si>
    <t xml:space="preserve"> 36 units damaged. Customer will destroy and send LOD.</t>
  </si>
  <si>
    <t>C0263583NLC</t>
  </si>
  <si>
    <t xml:space="preserve"> Gurnee inventory had a +72 adj. on 9/10/2015.</t>
  </si>
  <si>
    <t>UL-3296281</t>
  </si>
  <si>
    <t xml:space="preserve"> Customer receiveing error. Customer has located product and they are inline. SDR rejected. No Isssue.</t>
  </si>
  <si>
    <t>C0264695NLC</t>
  </si>
  <si>
    <t>C0264702NLC</t>
  </si>
  <si>
    <t xml:space="preserve"> 70 units damaged. Call tag wll be issued to Genco for destruction.</t>
  </si>
  <si>
    <t>UL-3296290</t>
  </si>
  <si>
    <t xml:space="preserve"> Gurnee inventory had a +36 adj. on 9/23/2015.</t>
  </si>
  <si>
    <t xml:space="preserve"> MONONESSA (ORTH-CYC)(6X28) WAT  52544024728  CT  - 13 units LIDOCAINE PATCH 5% 30/BX ACT 00591352530 EACH – 4 pieces ONLY Damag</t>
  </si>
  <si>
    <t>FRANK W KERR INC</t>
  </si>
  <si>
    <t xml:space="preserve"> Gurnee inventory had a +6 adj. on 9/22/2015.</t>
  </si>
  <si>
    <t xml:space="preserve"> 11 units damaged. Call tag issued to Genco for destruction.</t>
  </si>
  <si>
    <t xml:space="preserve"> 1 case damaged and refused. Will be forwarded to Genco by Fed Ex for destruction.</t>
  </si>
  <si>
    <t>UL-3236856</t>
  </si>
  <si>
    <t xml:space="preserve"> 1 unit ONLY damaged. Call tag issued to Genco for destruction.</t>
  </si>
  <si>
    <t>KAISER PERMANENTE</t>
  </si>
  <si>
    <t>KAISER FOUNDATION/OAKLAND</t>
  </si>
  <si>
    <t>KAISER FOUNDATION HOSPITAL</t>
  </si>
  <si>
    <t>M061 0100</t>
  </si>
  <si>
    <t xml:space="preserve"> This is not an Overage issue. No SDR is needed. The order was entered twice customer was already invoiced twice. SO 864359 plac</t>
  </si>
  <si>
    <t>UL-3904470</t>
  </si>
  <si>
    <t>UL-3296266</t>
  </si>
  <si>
    <t xml:space="preserve"> Multiple damages received . Call tag issued to Genco for destruction.</t>
  </si>
  <si>
    <t>UL-3296256</t>
  </si>
  <si>
    <t>UL-3296294</t>
  </si>
  <si>
    <t>MIAMI-LUKEN INC</t>
  </si>
  <si>
    <t>UL-3296297</t>
  </si>
  <si>
    <t>UL-3904467</t>
  </si>
  <si>
    <t xml:space="preserve"> 64 units damaged. Call tag will be isssued to Genco for destruction.</t>
  </si>
  <si>
    <t>UL-3296258</t>
  </si>
  <si>
    <t xml:space="preserve"> Gurnee DC short shipped 48 units. Please create an RE for virtual return so product can be restocked and customer credited for</t>
  </si>
  <si>
    <t>UL-1868895</t>
  </si>
  <si>
    <t>O698513-01</t>
  </si>
  <si>
    <t>C0262925NLC</t>
  </si>
  <si>
    <t>087944972537777 &amp; 087944972537784 &amp; 087944972537791 &amp; 087944972537814</t>
  </si>
  <si>
    <t xml:space="preserve"> Gurnee inventory had a +27 adj. on 9/28/2015.</t>
  </si>
  <si>
    <t>MYLAN INSTITUTIONAL INC</t>
  </si>
  <si>
    <t>UL-2324994</t>
  </si>
  <si>
    <t>C0265291NLC</t>
  </si>
  <si>
    <t>UL-2205055</t>
  </si>
  <si>
    <t xml:space="preserve"> 12 units damaged. Call tag issued to Genco for destruction.</t>
  </si>
  <si>
    <t xml:space="preserve"> Gurnee inventory had a +12 adj. on 9/25/2015.</t>
  </si>
  <si>
    <t>C0265281NLC</t>
  </si>
  <si>
    <t>UL-2205053</t>
  </si>
  <si>
    <t xml:space="preserve"> Multiple damages reported (1 unit ONLY lidocaine) Call tag will be issued to Genco for destruction.</t>
  </si>
  <si>
    <t>1024749-551</t>
  </si>
  <si>
    <t xml:space="preserve"> Gurnee inventory had a +12 adj. on 9/28/2015.</t>
  </si>
  <si>
    <t>UL-3296276</t>
  </si>
  <si>
    <t>O688234-09</t>
  </si>
  <si>
    <t xml:space="preserve"> Gurnee inventory had a +27 adj. on 9/28/2015</t>
  </si>
  <si>
    <t xml:space="preserve"> Gurnee inventory had a +12 adj. on 9/22/2015.</t>
  </si>
  <si>
    <t>087944972544065 &amp; 087944972544072</t>
  </si>
  <si>
    <t>UL-3275274</t>
  </si>
  <si>
    <t>UL-3296298</t>
  </si>
  <si>
    <t xml:space="preserve"> Gurnee inventory had a +24 adj. on 10/15/2015.</t>
  </si>
  <si>
    <t>UL-3904485</t>
  </si>
  <si>
    <t xml:space="preserve"> Authroized return back to DC. However, we no longer sell this product. Product will be destroyed. Please create an RE.</t>
  </si>
  <si>
    <t>UL-3296260</t>
  </si>
  <si>
    <t xml:space="preserve"> Customer reported missing 2 units from sealed case.</t>
  </si>
  <si>
    <t>EXPRESS SCRIPTS PHARMACY INC</t>
  </si>
  <si>
    <t>1024749-635</t>
  </si>
  <si>
    <t xml:space="preserve"> Customer ordered wrong item. Returned to DC on 10/7/2015. Please create an RE so product can be restocked.</t>
  </si>
  <si>
    <t>C0265196NLC</t>
  </si>
  <si>
    <t>UL-2205059</t>
  </si>
  <si>
    <t xml:space="preserve"> 9 units damaged. No further info provided.</t>
  </si>
  <si>
    <t>C0265286NLC</t>
  </si>
  <si>
    <t>4 Distribution Late, Misroute, Mis-Appointment</t>
  </si>
  <si>
    <t xml:space="preserve"> This package went out to Fed Ex with out a Fed Ex shipping label and may have been lost in transit.</t>
  </si>
  <si>
    <t xml:space="preserve"> Gurnee DC sent 3 cartons of 10 instead of the ordered 3 units. Product was returned to DC. No issue customer was not invoiced f</t>
  </si>
  <si>
    <t xml:space="preserve"> 25 units damaged. Call tag issued to Genco for destruction.</t>
  </si>
  <si>
    <t>UL-2205076</t>
  </si>
  <si>
    <t xml:space="preserve"> 4 units only Damaged. Call tag issued to Genco for destruction.</t>
  </si>
  <si>
    <t>O104555-01</t>
  </si>
  <si>
    <t xml:space="preserve"> Customer ordered 1 case at the time it was 24 per case. This product then got switched to 48 per case, so their order got sent</t>
  </si>
  <si>
    <t>087944972545529 &amp; 087944972545536</t>
  </si>
  <si>
    <t>UL-3904496</t>
  </si>
  <si>
    <t xml:space="preserve"> Gurnee inventory is inline. No other customers claiming short at this time. POD is signed w/o exception.</t>
  </si>
  <si>
    <t xml:space="preserve"> Duplicate SDR. No issue please reject See SDR 10019410.</t>
  </si>
  <si>
    <t xml:space="preserve"> Not on customers ordered delivered in error. Customer returned to DC. No issue customer was not invoiced for this.</t>
  </si>
  <si>
    <t xml:space="preserve"> Customer has reported locating product. No issue. SDR to be rejected.</t>
  </si>
  <si>
    <t xml:space="preserve"> Gurnee DC shorted customer and sent in error to customer on SDR 10019353. Please create an RE so customer can receive credit fo</t>
  </si>
  <si>
    <t xml:space="preserve"> One carton damaged / refused returned to DC on 10/12/2015. Please create an RE so product can be destroyed.</t>
  </si>
  <si>
    <t xml:space="preserve"> 19 units damaged. Call tag will be issued to Genco for destruction.</t>
  </si>
  <si>
    <t>o698513-01</t>
  </si>
  <si>
    <t xml:space="preserve"> Customer claimed products were received in error and returned back to DC. No issue . Customer was not invoiced.</t>
  </si>
  <si>
    <t xml:space="preserve"> Gurnee inventory is inline. No customers claiming over at this time. POD is signed w/o exception.</t>
  </si>
  <si>
    <t>UL-3904491</t>
  </si>
  <si>
    <t xml:space="preserve"> Gurnee inventory had a +48 adj. on 9/25/2015.</t>
  </si>
  <si>
    <t>UL-2205095</t>
  </si>
  <si>
    <t>UL-2205088</t>
  </si>
  <si>
    <t xml:space="preserve"> Gurnee inventory had a +48 adj. on 10/08/2015.</t>
  </si>
  <si>
    <t>UL-2205077</t>
  </si>
  <si>
    <t>UL-2205071</t>
  </si>
  <si>
    <t>UL-2205073</t>
  </si>
  <si>
    <t>UL-2205074</t>
  </si>
  <si>
    <t xml:space="preserve"> 30 units damaged. Call tag will be issued to Genco for destruction.</t>
  </si>
  <si>
    <t>BYLE</t>
  </si>
  <si>
    <t>BOYLE TRANSPORTATION</t>
  </si>
  <si>
    <t>UL-2205072</t>
  </si>
  <si>
    <t xml:space="preserve"> Gurnee inventory is inline. I beleive this claim is due to a case size change. This NDC went from 12 per case to 24 per case on</t>
  </si>
  <si>
    <t>UL-2224377</t>
  </si>
  <si>
    <t>UL-2224365</t>
  </si>
  <si>
    <t xml:space="preserve"> Gurnee inventory is inline. No other customers claiming over at this time. POD is signed w/o exception for shortage. (1 case of</t>
  </si>
  <si>
    <t>UL-2205062</t>
  </si>
  <si>
    <t xml:space="preserve"> Gurnee inventory had a +48 adj. on 10/2/2015.</t>
  </si>
  <si>
    <t>UL-2205083</t>
  </si>
  <si>
    <t xml:space="preserve"> Gurnee inventory had a +48 adj. on 10/9/2015.</t>
  </si>
  <si>
    <t>PKUP</t>
  </si>
  <si>
    <t>CUSTOMER PICKUP</t>
  </si>
  <si>
    <t xml:space="preserve"> Gurnee inventory is inline. No other customers claiming over at this time.</t>
  </si>
  <si>
    <t>UL-3296282</t>
  </si>
  <si>
    <t>UL-2205091</t>
  </si>
  <si>
    <t xml:space="preserve"> 50 units damaged. Call tag will be issued to Genco for destruction.</t>
  </si>
  <si>
    <t>C0265787NLC</t>
  </si>
  <si>
    <t>UL-2224373</t>
  </si>
  <si>
    <t>KPH HEALTHCARE SERVICES INC</t>
  </si>
  <si>
    <t xml:space="preserve"> Customer requested 96 units and additional line for 72 cases was added to order in error. Product was returned to DC. Please cr</t>
  </si>
  <si>
    <t>C0265859NLC</t>
  </si>
  <si>
    <t>UL-2224371</t>
  </si>
  <si>
    <t xml:space="preserve"> 168 units damaged. Call tag will be issued to Genco for destruction.</t>
  </si>
  <si>
    <t>C0265866NLC</t>
  </si>
  <si>
    <t>VD110167</t>
  </si>
  <si>
    <t xml:space="preserve"> 1 cs damaged/refused. Please create an RE so product can be destroyed.</t>
  </si>
  <si>
    <t>UL-2315557A</t>
  </si>
  <si>
    <t xml:space="preserve"> Customer reported 1 unit missing from sealed case.</t>
  </si>
  <si>
    <t>UL-2205063</t>
  </si>
  <si>
    <t>UL-2315561</t>
  </si>
  <si>
    <t xml:space="preserve"> Gurnee inventory had a +48 adj. on 10/27/2015.</t>
  </si>
  <si>
    <t xml:space="preserve"> 17 units reported w/ illegable lot numbers. Info forwarded to quality.</t>
  </si>
  <si>
    <t>087944972586409 &amp; 087944972586423 &amp; 087944972586430 &amp; 087944972586454 &amp; 087944972586478 &amp; 087944972586485 &amp; 087944972586508 &amp; 08</t>
  </si>
  <si>
    <t>1 Carrier Late, Misroute, Mis-Appointment</t>
  </si>
  <si>
    <t xml:space="preserve"> Carrier delivered one carton late was signed for on 10/12 all product has now been recieved in full. SDR has been rejected.</t>
  </si>
  <si>
    <t xml:space="preserve"> 22 units returned to DC . Customer lost DEA license. Please create an RE so product can be restocked.</t>
  </si>
  <si>
    <t>087944972567279 &amp; 087944972567309 &amp; 087944972567323 &amp; 087944972567347 &amp; 087944972567361</t>
  </si>
  <si>
    <t xml:space="preserve"> 54 units damaged. Call tag will be issued to Genco for destruction.</t>
  </si>
  <si>
    <t xml:space="preserve"> 1 unit returned to DC  due to customer lost DEA license. Product is short dated and will be destryoed. Please create an RE.</t>
  </si>
  <si>
    <t xml:space="preserve"> 20 units returned to DC. Customer lost their DEA lisence. Product is short dated and wll be destroyed. Please create an RE.</t>
  </si>
  <si>
    <t xml:space="preserve"> Customer returned 24 units due to lost DEA liscense. Please create an RE so product can be restocked.</t>
  </si>
  <si>
    <t xml:space="preserve"> 24 units returned to DC. Customer lost their DEA lisence. Product is shortdated and will be destroyed. Please create an RE.</t>
  </si>
  <si>
    <t xml:space="preserve"> 11 units returned to DC. Customer lost their DEA lisence. Product is short dated and wll be destroyed. Please create an RE.</t>
  </si>
  <si>
    <t xml:space="preserve"> 1 unit returned to DC. Customer lost their DEA lisence.  Please create an RE so product can be restocked.</t>
  </si>
  <si>
    <t xml:space="preserve"> 16 units returned to DC. Customer lost their DEA lisence. Product is short dated and wll be destroyed. Please create an RE.</t>
  </si>
  <si>
    <t xml:space="preserve"> 16 units returned to DC. Customer lost their DEA lisence. Please create an RE so products can be restocked.</t>
  </si>
  <si>
    <t xml:space="preserve"> 95 units returned to DC . Customer lost their DEA lisence. Please create an RE so product can be restocked.</t>
  </si>
  <si>
    <t xml:space="preserve"> 6 units returned to DC. Customer lost their DEA lisence. Product is short dated and wll be destroyed. Please create an RE.</t>
  </si>
  <si>
    <t xml:space="preserve"> 6 units returned to DC. Customer lost their DEA lisence. Product is short dated will be destroyed. Please create an RE.</t>
  </si>
  <si>
    <t xml:space="preserve"> 8 units returned to DC. customer lost their DEA lisence. Please create an RE so product can be restocked.</t>
  </si>
  <si>
    <t xml:space="preserve"> 2 units returned to DC. Customer lost their DEA lisence. Product is short dated and will be destroyed. Please create an RE.</t>
  </si>
  <si>
    <t xml:space="preserve"> 4 units returned to DC. Customer lost their DEA lisence. Product is short dated and will be destroyed. Please create an RE.</t>
  </si>
  <si>
    <t xml:space="preserve"> 14 units returned to DC. Customer lost their DEA lisence. Product is short dated and will be destroyed. Please create an RE.</t>
  </si>
  <si>
    <t xml:space="preserve"> 6 units returned to DC. Customer lost their DEA lisence. Product is short dated and will be destroyed. Please create an RE.</t>
  </si>
  <si>
    <t xml:space="preserve"> 24 units returned to DC. Customer lost their DEA lisence. Product is short dated and will be destroyed. Please create an RE.</t>
  </si>
  <si>
    <t xml:space="preserve"> 8 units returned to DC. Customer lost their DEA lisence. Product is short dated and will be destroyed. Please create an RE.</t>
  </si>
  <si>
    <t xml:space="preserve"> 20 units returned to DC. Customer lost their DEA lisence. Product is short dated and will be destroyed. Please create an RE.</t>
  </si>
  <si>
    <t xml:space="preserve"> 12 units returned to DC. Customer lost their DEA lisence.  Please create an RE so product can be restocked.</t>
  </si>
  <si>
    <t xml:space="preserve"> 48 units returned to DC. Customer lost their DEA lisence. Product is short dated and will be destroyed. Please create an RE.</t>
  </si>
  <si>
    <t xml:space="preserve"> 21 units returned to DC. Customer lost their DEA lisence. Product is short dated and will be destroyed. Please create an RE.</t>
  </si>
  <si>
    <t xml:space="preserve"> 29 units returned to DC. Customer lost their DEA lisence. Product is short dated and will be destroyed. Please create an RE.</t>
  </si>
  <si>
    <t xml:space="preserve"> 5 units returned to DC. Customer lost their DEA lisence. Product is short dated and will be destroyed. Please create an RE.</t>
  </si>
  <si>
    <t>C0264088NLC</t>
  </si>
  <si>
    <t>087944972565268 &amp; 087944972565282 &amp; 087944972565299 &amp; 087944972565305 &amp; 087944972565312 &amp; 087944972565329</t>
  </si>
  <si>
    <t xml:space="preserve"> 15 units returned to DC. Customer lost their DEA lisence. Product is short dated and will be destroyed. Please create an RE.</t>
  </si>
  <si>
    <t xml:space="preserve"> 12 units returned to DC. Customer lost their DEA lisence. Product is short dated and will be destroyed. Please create an RE.</t>
  </si>
  <si>
    <t xml:space="preserve"> 2 units returned. Customer lost their DEA license. Product is shortdate and will be destroyed. Please create an RE.</t>
  </si>
  <si>
    <t xml:space="preserve"> 9 units returned. Customer lost their DEA license. Product is shortdate and will be destroyed. Please create an RE.</t>
  </si>
  <si>
    <t>C0266432NLC</t>
  </si>
  <si>
    <t>UL-2315587</t>
  </si>
  <si>
    <t xml:space="preserve"> 96 units returned to DC. Customer lost their DEA License. Please create an RE so product can be restocked.</t>
  </si>
  <si>
    <t xml:space="preserve"> 18 units returned. Customer lost their DEA license.  Please create an RE so product can be restocked.</t>
  </si>
  <si>
    <t>087944972480028 &amp; 087944972480035</t>
  </si>
  <si>
    <t xml:space="preserve"> Products returned. Customer lost their DEA license.   Please create an RE so products can be restocked.</t>
  </si>
  <si>
    <t>C0266442NLC</t>
  </si>
  <si>
    <t>UL-2315592</t>
  </si>
  <si>
    <t>087944972458157 &amp; 087944972458164 &amp; 087944972458171</t>
  </si>
  <si>
    <t xml:space="preserve"> Products returned to DC. Customer lost their DEA license. Please create an RE so products can be restocked/destroyed.</t>
  </si>
  <si>
    <t xml:space="preserve"> Products returned to DC. Customer lost their DEA license.  Please create an RE so products can be restocked.</t>
  </si>
  <si>
    <t xml:space="preserve"> 96 units returned to DC. Customer lost their DEA license.  Please create an RE so products can be restocked.</t>
  </si>
  <si>
    <t xml:space="preserve"> 8 units returned. Customer lost their DEA license. Product is short dated and will be destroyed. Please create an RE.</t>
  </si>
  <si>
    <t xml:space="preserve"> Products returned to DC. Customer lost their DEA license.  Please create an RE so products can be destroyed/restocked.</t>
  </si>
  <si>
    <t xml:space="preserve"> Products returned to DC. Customer lost their DEA license.  Please create an RE so products can be restocked/destroyed.</t>
  </si>
  <si>
    <t xml:space="preserve"> Products returned to DC. Customer lost their DEA license.  Please create an RE so products can be destroyed. (short dated)</t>
  </si>
  <si>
    <t xml:space="preserve"> 14 units returned. Customer lost their DEA license.  Please create an RE so products can be restocked.</t>
  </si>
  <si>
    <t xml:space="preserve"> Product returned to DC. Customer lost their DEA license. Please create an RE so product can be restocked/destroyed.</t>
  </si>
  <si>
    <t xml:space="preserve"> Product returned to DC. Customer lost their DEA license. Please create an RE so product can be restocked.</t>
  </si>
  <si>
    <t xml:space="preserve"> 24 units returned. Customer lost their DEA license. Product is shortdate and will be destroyed. Please create an RE.</t>
  </si>
  <si>
    <t xml:space="preserve"> Product returned to DC. Customer lost their DEA license. Please create an RE so product can be destroyed. (short-dated)</t>
  </si>
  <si>
    <t xml:space="preserve"> Products returned to DC. Customer lost their DEA license. Please create an RE so products can be destroyed/restocked.</t>
  </si>
  <si>
    <t xml:space="preserve"> 48 units returned. Customer lost their DEA license. Product is shortdate and will be destroyed. Please create an RE.</t>
  </si>
  <si>
    <t xml:space="preserve"> Product returned to DC. Customer lost their DEA license. Please create an RE so products can be destroyed. (short-dated)</t>
  </si>
  <si>
    <t xml:space="preserve"> Products returned to DC. Customer lost their DEA license. Please create an RE so products can be restocked.</t>
  </si>
  <si>
    <t xml:space="preserve"> Product returned to DC. Customer lost their DEA license. Please create an RE so product can be destroyed.</t>
  </si>
  <si>
    <t xml:space="preserve"> 24 units returned to DC. Customer lost their DEA license. Product is short date and will be destroyed. Please create an RE .</t>
  </si>
  <si>
    <t xml:space="preserve"> 1 unit returned to DC. Customer lost their DEA license. Please create an RE so product can be restocked.</t>
  </si>
  <si>
    <t xml:space="preserve"> 2 units returned to DC. Customer lost their DEA license. Product is short dated and will be destroyed. Please create an RE.</t>
  </si>
  <si>
    <t xml:space="preserve"> 12 units returned to DC. Customer lost their DEA license. Product is short dated and will be destroyed. Please create an RE.</t>
  </si>
  <si>
    <t xml:space="preserve"> 31 units returned to DC. Customer lost their DEA license. Product is short date and will be destroyed. Please create an RE.</t>
  </si>
  <si>
    <t xml:space="preserve"> Gurnee inventory is inlilne. This was the only item on delivery package was signed for on 10/12.</t>
  </si>
  <si>
    <t xml:space="preserve"> 3 units returned to DC. Customer lost their DEA license. Product is short dated and will be destroyed. Please create an RE.</t>
  </si>
  <si>
    <t>ANDA MS - TARGET</t>
  </si>
  <si>
    <t>087944972454555 &amp; 087944972454593 &amp; 087944972454623 &amp; 087944972454661 &amp; 087944972454678</t>
  </si>
  <si>
    <t xml:space="preserve"> Gurnee inventory is inline. All POD's signed w/o exception.  This may have something to do with a case size change this NDC had</t>
  </si>
  <si>
    <t xml:space="preserve"> Gurnee inventory is inline. No other customers claiming over at this time. POD was signed for on 10/12 by an R Hawkins.</t>
  </si>
  <si>
    <t xml:space="preserve"> 1 case damaged and refused.  Fed Ex sent to Genco for destruction.</t>
  </si>
  <si>
    <t>087944970218784 &amp; 087944970218852</t>
  </si>
  <si>
    <t xml:space="preserve"> 4 units returned. Customer lost their DEA license. Product is shortdate &lt;(&gt;&amp;&lt;)&gt; damaged and will be destroyed. Please create an</t>
  </si>
  <si>
    <t xml:space="preserve"> Bill Only completed So#875232 D 81589472</t>
  </si>
  <si>
    <t xml:space="preserve"> Gurnee DC short shipped 144 units. Please create an RE or virtual return so customer can receive credit for their shortage and</t>
  </si>
  <si>
    <t xml:space="preserve"> 1 case entered in error. Product returned to DC. Please create an RE so product can be restocked.</t>
  </si>
  <si>
    <t xml:space="preserve"> Gurnee inventory is inline. This was the only item on delivery. The package was signed for om10/12 by a Danny Volk.</t>
  </si>
  <si>
    <t>UL-2205084</t>
  </si>
  <si>
    <t>55X430658</t>
  </si>
  <si>
    <t>UL-2315572</t>
  </si>
  <si>
    <t xml:space="preserve"> Bill Only completed. SO#877265 D 81592943</t>
  </si>
  <si>
    <t xml:space="preserve"> Duplicate SDR of 10019590. Please reject.</t>
  </si>
  <si>
    <t>55X444855</t>
  </si>
  <si>
    <t>C0265812NLC</t>
  </si>
  <si>
    <t>087944972594688 &amp; 087944972594701 &amp; 087944972594725 &amp; 087944972594763 &amp; 087944972594800 &amp; 087944972594879</t>
  </si>
  <si>
    <t xml:space="preserve"> 28 units damaged. Call tag issued to Genco for destruction.</t>
  </si>
  <si>
    <t>649275060235 &amp; 649275060246 &amp; 649275060257 &amp; 649275060268 &amp; 649275060279 &amp; 649275060280</t>
  </si>
  <si>
    <t xml:space="preserve"> Gurnee DC had a +6 adj. on 10/27/2015.</t>
  </si>
  <si>
    <t>UL-3262532</t>
  </si>
  <si>
    <t xml:space="preserve"> 19 units damaged. Call tag issued to Genco for destruction.</t>
  </si>
  <si>
    <t>4 Distribution, wrong or missing label</t>
  </si>
  <si>
    <t xml:space="preserve"> Gurnee DC sent out carton containing 36 units w/o a Fed Ex tracking label. Package has not yet been returned to DC and no other</t>
  </si>
  <si>
    <t>UL-3904480</t>
  </si>
  <si>
    <t xml:space="preserve"> 1 unit manufactuer concealed shortage.</t>
  </si>
  <si>
    <t>649275068718 &amp; 649275068729</t>
  </si>
  <si>
    <t xml:space="preserve"> 10 units ONLY damaged. Customer will destroy and send LOD.</t>
  </si>
  <si>
    <t>UL-2224390</t>
  </si>
  <si>
    <t>UL-2315563</t>
  </si>
  <si>
    <t xml:space="preserve"> Gurnee inv. had a +24 adj. on 10/9/2015.</t>
  </si>
  <si>
    <t xml:space="preserve"> Customer received product they did not order an returned to the DC. No issue. Customer was not invoiced for this material.</t>
  </si>
  <si>
    <t xml:space="preserve"> Customer recived product they did not order and returned to DC. No issue. Customer not invoiced for this material.</t>
  </si>
  <si>
    <t>CAPITAL WHOLESALE DRUG CO</t>
  </si>
  <si>
    <t>234995CT</t>
  </si>
  <si>
    <t xml:space="preserve"> Customer reported product being to "lumpy". Info forwarded to quality dept.</t>
  </si>
  <si>
    <t>KAISER FOUNDATION/DOWNEY</t>
  </si>
  <si>
    <t>08620-0000016479</t>
  </si>
  <si>
    <t xml:space="preserve"> 6 units damaged. call tag issued to Genco for destruction.</t>
  </si>
  <si>
    <t>236058CT</t>
  </si>
  <si>
    <t xml:space="preserve"> 1 unit reported  with qaulity defect.</t>
  </si>
  <si>
    <t>237619CT</t>
  </si>
  <si>
    <t xml:space="preserve"> 1 unit reported w/ quality defects.</t>
  </si>
  <si>
    <t>UL-2315565</t>
  </si>
  <si>
    <t>1044540-65</t>
  </si>
  <si>
    <t>649275073018 &amp; 649275073030 &amp; 649275073100 &amp; 649275073132 &amp; 649275073165 &amp; 649275073187</t>
  </si>
  <si>
    <t xml:space="preserve"> 3 untis damaged. Call tag will be issued to Genco for destruction.</t>
  </si>
  <si>
    <t xml:space="preserve"> 2 units ONLY damaged. Customer will destroy product and send LOD when complete.</t>
  </si>
  <si>
    <t>C0267020NLC</t>
  </si>
  <si>
    <t>UL-2236610</t>
  </si>
  <si>
    <t xml:space="preserve"> 24 units damaged. Call tag issued to Genco for destruction.</t>
  </si>
  <si>
    <t>087944972608286 &amp; 087944972608293 &amp; 087944972608309</t>
  </si>
  <si>
    <t>C0267018NLC</t>
  </si>
  <si>
    <t>C0266935NLC</t>
  </si>
  <si>
    <t>UL-3262546</t>
  </si>
  <si>
    <t>C0266042NLC</t>
  </si>
  <si>
    <t>C0266961NLC</t>
  </si>
  <si>
    <t xml:space="preserve"> 96 units damaged. Call tag issued to Genco for destruction.</t>
  </si>
  <si>
    <t>C0267013NLC</t>
  </si>
  <si>
    <t xml:space="preserve"> 48 units damaged. Call tag  issued to Genco for destruction.</t>
  </si>
  <si>
    <t>UL-3262505</t>
  </si>
  <si>
    <t>MP4500784110M0041</t>
  </si>
  <si>
    <t>087944972613624 &amp; 087944972613631 &amp; 087944972613655 &amp; 087944972613679</t>
  </si>
  <si>
    <t xml:space="preserve"> DC received 8 units on 10/22/2015. This is a customer support authorised return as we shipped 8 units of different batch. Pleas</t>
  </si>
  <si>
    <t xml:space="preserve"> 4 units damaged. Call tag  issued to Genco for destruction.</t>
  </si>
  <si>
    <t xml:space="preserve"> Package was mis-delivered by Fed Ex to 8313 Polk Lane. See POD attached.</t>
  </si>
  <si>
    <t>UL-3262515</t>
  </si>
  <si>
    <t>UL-3262533</t>
  </si>
  <si>
    <t xml:space="preserve"> 17 units damaged. Call tag will be issued to Genco for destruction.</t>
  </si>
  <si>
    <t>C0266438NLC</t>
  </si>
  <si>
    <t>UL-2315598</t>
  </si>
  <si>
    <t xml:space="preserve"> Gurnee inventory had a +12 adj. on 10/13/2015.</t>
  </si>
  <si>
    <t xml:space="preserve"> 7 units damaged. Call tag issued to Genco for destruction.</t>
  </si>
  <si>
    <t>UL-2236619</t>
  </si>
  <si>
    <t>UL-3262536</t>
  </si>
  <si>
    <t xml:space="preserve"> 1 carton damaged / refused returned to DC on 10/23/2015. Outer case damaged and product dented. Please create an RE so product</t>
  </si>
  <si>
    <t>UL-3262545</t>
  </si>
  <si>
    <t>087944972541330 &amp; 087944972542375</t>
  </si>
  <si>
    <t xml:space="preserve"> Gurnee inventory is inline. No other customers claiming over at this time. ALL POD's signed for on 9/29/2015 by an E. Lopez.</t>
  </si>
  <si>
    <t>UL-3262518</t>
  </si>
  <si>
    <t xml:space="preserve"> Gurnee inventory had a +25 adj. on 10/13/2015.</t>
  </si>
  <si>
    <t>087944972596866 &amp; 087944972596996</t>
  </si>
  <si>
    <t>NORTHWEST GENERICS LLC</t>
  </si>
  <si>
    <t xml:space="preserve"> Customer returned overage back to DC. product restocked. No issue customer was not invoiced.</t>
  </si>
  <si>
    <t>UL-3262521A</t>
  </si>
  <si>
    <t>UL-2236606</t>
  </si>
  <si>
    <t xml:space="preserve"> Bill Only completed. So# 875435 D 81589826</t>
  </si>
  <si>
    <t>UL-3262519</t>
  </si>
  <si>
    <t xml:space="preserve"> 3 cases damaged. Call tag will be issued to Genco for destruction.</t>
  </si>
  <si>
    <t>UL-2224391</t>
  </si>
  <si>
    <t>1024749-670</t>
  </si>
  <si>
    <t>UL-2236622</t>
  </si>
  <si>
    <t xml:space="preserve"> Product sent in error to Orlando Fl. (see SDR's 10019665 &lt;(&gt;&amp;&lt;)&gt; 10019666) Please create an RE so customer can receive credit f</t>
  </si>
  <si>
    <t>UL-2236626</t>
  </si>
  <si>
    <t xml:space="preserve"> Gurnee Dc shipped to Orlando in error product meant for Pelham see SDR 10019662. No issue products were returned to DC customer</t>
  </si>
  <si>
    <t>REPLACE</t>
  </si>
  <si>
    <t>ONE-TIME SHELL FOR REPLACEMENT ORDE</t>
  </si>
  <si>
    <t>3 Customer Support placed duplicate order</t>
  </si>
  <si>
    <t xml:space="preserve"> order for 1 unit was entered twice but customer service in error. No issue this was an FOC order.</t>
  </si>
  <si>
    <t>UL-2224363</t>
  </si>
  <si>
    <t xml:space="preserve"> Customer reproted 2 units missing from full cases. Info forwarded to Quality.</t>
  </si>
  <si>
    <t xml:space="preserve"> Customer reported 4 units with burnt seals. Info forwarded to Quality.</t>
  </si>
  <si>
    <t xml:space="preserve"> Carton was damaged in tranist and Customer reported missing 1 unit out of the carton. Lost in transit during damage.</t>
  </si>
  <si>
    <t>AUBURN PHARMACEUTICAL</t>
  </si>
  <si>
    <t xml:space="preserve"> Bill Only completed So#876847 D 81592690.</t>
  </si>
  <si>
    <t>UL-3262512</t>
  </si>
  <si>
    <t>DISCOUNT DRUG MART, INC</t>
  </si>
  <si>
    <t>DISCOUNT DRUG MART, INC.</t>
  </si>
  <si>
    <t>UL-2236603</t>
  </si>
  <si>
    <t xml:space="preserve"> Gurnee inventory had a +216 adj. on 10/23/2015.</t>
  </si>
  <si>
    <t>UL-2236601</t>
  </si>
  <si>
    <t xml:space="preserve"> Gurnee inventory had a +6 adj. on 10/13/2015.</t>
  </si>
  <si>
    <t xml:space="preserve"> 1 unit ONLY damaged. Customer will destroy and send LOD.</t>
  </si>
  <si>
    <t>APHENA PHARMA SOLUTIONS HLDS</t>
  </si>
  <si>
    <t>M080 3028</t>
  </si>
  <si>
    <t>UL-2236654</t>
  </si>
  <si>
    <t xml:space="preserve"> Customer received in error and returned to the DC on 11/2/2015. No issue. Customer was not invoiced for this product.</t>
  </si>
  <si>
    <t>UL-2236651</t>
  </si>
  <si>
    <t xml:space="preserve"> Gurnee inventory had a +6 adj. on 10/28/2015.</t>
  </si>
  <si>
    <t>UL-2236643</t>
  </si>
  <si>
    <t xml:space="preserve"> Gurnee inventory had a +2 adj. on 11/2/2015.</t>
  </si>
  <si>
    <t>C0267512NLC</t>
  </si>
  <si>
    <t>UL-2236681</t>
  </si>
  <si>
    <t>UL-2236680</t>
  </si>
  <si>
    <t>C0267587NLC</t>
  </si>
  <si>
    <t>C0267578NLC</t>
  </si>
  <si>
    <t>UL-2236672</t>
  </si>
  <si>
    <t xml:space="preserve"> DC received 290 Units returned by Anda Florida on 10/29/2015. This is a authorised return by BND Director Paul Reed to cover up</t>
  </si>
  <si>
    <t>C0267534NLC</t>
  </si>
  <si>
    <t xml:space="preserve"> Gurnee inventory had a +108 adj. on 10/28/2015.</t>
  </si>
  <si>
    <t>UL-2236669</t>
  </si>
  <si>
    <t>UL-2315273</t>
  </si>
  <si>
    <t>UL-2236691</t>
  </si>
  <si>
    <t>UL-2315267</t>
  </si>
  <si>
    <t>UL-2236692</t>
  </si>
  <si>
    <t>649275094494 &amp; 649275094509</t>
  </si>
  <si>
    <t>UL-2236689</t>
  </si>
  <si>
    <t>UL-2236674</t>
  </si>
  <si>
    <t>UL-2315262</t>
  </si>
  <si>
    <t>UL-2236697</t>
  </si>
  <si>
    <t>08620-0000016610</t>
  </si>
  <si>
    <t>C0267585NLC</t>
  </si>
  <si>
    <t>UL-2236696</t>
  </si>
  <si>
    <t>C0268104NLC</t>
  </si>
  <si>
    <t>UL-2315292</t>
  </si>
  <si>
    <t xml:space="preserve"> 48 units damaged.</t>
  </si>
  <si>
    <t>1024749-699</t>
  </si>
  <si>
    <t>087944972639785 &amp; 087944972639822</t>
  </si>
  <si>
    <t xml:space="preserve"> Gurnee inventory is inline. No other customers claiming over at this time. ALL POD's on this delivery were signed for on 10/27</t>
  </si>
  <si>
    <t>HANNAFORD BROTHERS COMPANY</t>
  </si>
  <si>
    <t>DELHAIZE AMERICA DISTRIBUTION LLC</t>
  </si>
  <si>
    <t>PROGRESSIVE DISTRIBUTORS</t>
  </si>
  <si>
    <t xml:space="preserve"> Customer located missing product. SDR rejected. No issue.</t>
  </si>
  <si>
    <t>UL-2236661</t>
  </si>
  <si>
    <t xml:space="preserve"> Gurnee inventory had a +24 dj. on 11/10/2015.</t>
  </si>
  <si>
    <t>UL-2315281</t>
  </si>
  <si>
    <t xml:space="preserve"> Gurnee DC shorted customer due to a receiving error wrong product was sent. Please create an RE for "Virtual Return" so custome</t>
  </si>
  <si>
    <t>101915ACTAVISOH</t>
  </si>
  <si>
    <t xml:space="preserve"> 5 units ONLY damaged. Call tag issued to Genco for destruction.</t>
  </si>
  <si>
    <t xml:space="preserve"> Gurnee inventory had a +21 adj. on 11/20/2015.</t>
  </si>
  <si>
    <t>UL-2315261</t>
  </si>
  <si>
    <t>UL-2236639</t>
  </si>
  <si>
    <t xml:space="preserve"> Customer received product not ordered. Returned to DC. No issue customer was not invoiced.</t>
  </si>
  <si>
    <t xml:space="preserve"> Gurnee inventory had a +24 adj. on 11/12/2015.</t>
  </si>
  <si>
    <t>C0268155NLC</t>
  </si>
  <si>
    <t>UL-3283110</t>
  </si>
  <si>
    <t xml:space="preserve"> Gurnee inventory had a +84 adj. on 8/20/2015.</t>
  </si>
  <si>
    <t>C0268165NLC</t>
  </si>
  <si>
    <t xml:space="preserve"> Product refused by Cardinal due to damage. Returned to DC on 11/12. Upon inspection 306 units were ok. Please create an RE so p</t>
  </si>
  <si>
    <t xml:space="preserve"> overshipment. Customer returned to DC. No issue customer was not invoiced.</t>
  </si>
  <si>
    <t>UL-2236694</t>
  </si>
  <si>
    <t xml:space="preserve"> Gurnee inventory had a + 24 adj. on 11/10/2015. Shortage do to short dated material that went through a case size change from 2</t>
  </si>
  <si>
    <t>UL-2315297</t>
  </si>
  <si>
    <t>UL-3283112</t>
  </si>
  <si>
    <t>087944972666330 &amp; 087944972666354 &amp; 087944972666378 &amp; 087944972666446 &amp; 087944972666460 &amp; 087944972666477 &amp; 087944972666484 &amp; 08</t>
  </si>
  <si>
    <t xml:space="preserve"> 32 units damaged. Call tag will be issued to Genco for destruction.</t>
  </si>
  <si>
    <t>UL-3283108</t>
  </si>
  <si>
    <t>UL-3283114</t>
  </si>
  <si>
    <t xml:space="preserve"> Gurnee inventory is inline. No other customers claiming over at this time. POD is signed w/o exception.(damage to another produ</t>
  </si>
  <si>
    <t>UL-3238145</t>
  </si>
  <si>
    <t>UL-2315274</t>
  </si>
  <si>
    <t xml:space="preserve"> 20 units Only damaged. Call tag will be issued to Genco for destruction.</t>
  </si>
  <si>
    <t>087944972665944 &amp; 087944972665951 &amp; 087944972665968</t>
  </si>
  <si>
    <t>VD111844</t>
  </si>
  <si>
    <t xml:space="preserve"> Overshipment due to case size change. Customer returned to DC. No issue customer not invoiced</t>
  </si>
  <si>
    <t>UL-2205057</t>
  </si>
  <si>
    <t xml:space="preserve"> Bill Only completed. SO#882916 D 81604439</t>
  </si>
  <si>
    <t>UL-3283121</t>
  </si>
  <si>
    <t>087944972625924 &amp; 087944972625931 &amp; 087944972625948 &amp; 087944972625955 &amp; 087944972625962</t>
  </si>
  <si>
    <t xml:space="preserve"> Customer reported product with broken pills. Info forwarded to Quality.</t>
  </si>
  <si>
    <t xml:space="preserve"> 2 units damaged. Customer will destroy product and send LOD when complete.</t>
  </si>
  <si>
    <t>649275103172 &amp; 649275103183 &amp; 649275103194</t>
  </si>
  <si>
    <t>UL-2315277</t>
  </si>
  <si>
    <t xml:space="preserve"> Gurnee inventory is inline. This was the only item on delivery and package was signed for w/o exception on 10/30/2015.</t>
  </si>
  <si>
    <t>C0268724NLC</t>
  </si>
  <si>
    <t>UL-2258520</t>
  </si>
  <si>
    <t>C0268641NLC</t>
  </si>
  <si>
    <t>649275103930 &amp; 649275103941 &amp; 649275104000 &amp; 649275104010 &amp; 649275104021 &amp; 649275104032 &amp; 649275104043 &amp; 649275104054 &amp; 64927510</t>
  </si>
  <si>
    <t xml:space="preserve"> 33 units damaged. Call tag issued to Genco for destruction.</t>
  </si>
  <si>
    <t>UL-2315288</t>
  </si>
  <si>
    <t>UL-2258505</t>
  </si>
  <si>
    <t xml:space="preserve"> 12 units damaged. Customer will destroy and will send LOD.</t>
  </si>
  <si>
    <t>1 POD / Overage Refused &amp; Returned</t>
  </si>
  <si>
    <t xml:space="preserve"> 24 units of overage returned to DC on 11/11/2015. This is a authorised return. Please create an RE so product can be restocked.</t>
  </si>
  <si>
    <t xml:space="preserve"> Overshipped due to a case size change receiving error  . Bill only completed So#882180 D 81602944</t>
  </si>
  <si>
    <t>C0268725NLC</t>
  </si>
  <si>
    <t xml:space="preserve"> 2 units damaged. Customer will destroy and will send LOD.</t>
  </si>
  <si>
    <t xml:space="preserve"> 3 units damaged. Customer will destroy and send LOD.</t>
  </si>
  <si>
    <t xml:space="preserve"> 2 cases damaged and refused. Please create an RE.</t>
  </si>
  <si>
    <t>O130919-07</t>
  </si>
  <si>
    <t xml:space="preserve"> 28 units damaged. Call tag will be issued to Genco for destruction.</t>
  </si>
  <si>
    <t xml:space="preserve"> Gurnee inventory had a +72 adj. on 11/6/2015.</t>
  </si>
  <si>
    <t>649275106252 &amp; 649275106263</t>
  </si>
  <si>
    <t xml:space="preserve"> 20 units damaged. Customer is only claiming 3ea. of NDC# 00591376730. Customer will destroy product and send LOD when complete.</t>
  </si>
  <si>
    <t>087944972668709 &amp; 087944972668723</t>
  </si>
  <si>
    <t xml:space="preserve"> Customer claimed receipving 2 cases they did not order. Products were returned to the DC. No issue customer claims not invoiced</t>
  </si>
  <si>
    <t xml:space="preserve"> Duplicate claim SDR rejected.</t>
  </si>
  <si>
    <t>C0268719NLC</t>
  </si>
  <si>
    <t>UL-2258531</t>
  </si>
  <si>
    <t xml:space="preserve"> Cardinal refused due to damage. Upon return to DC product inspected showed some damage to outer cartons, but actual product ok.</t>
  </si>
  <si>
    <t>UL-2258527</t>
  </si>
  <si>
    <t xml:space="preserve"> Cardinal refused due to damage. Product returned to DC. Some damage to outer carton but product ok. Please create an RE so prod</t>
  </si>
  <si>
    <t>UL-3283138</t>
  </si>
  <si>
    <t>UL-2258503</t>
  </si>
  <si>
    <t xml:space="preserve"> 101 units damaged. Call tag issued to Genco for destruction.</t>
  </si>
  <si>
    <t>UL-2205085</t>
  </si>
  <si>
    <t xml:space="preserve"> Gurnee inventory had a +4 adj. on 10/1/2015</t>
  </si>
  <si>
    <t>C0268631NLC</t>
  </si>
  <si>
    <t xml:space="preserve"> Damaged/refused returned to DC on 11/12/2015. Product crushed. Please create an RE so product can be destroyed.</t>
  </si>
  <si>
    <t>1024749-718</t>
  </si>
  <si>
    <t>UL-3283134</t>
  </si>
  <si>
    <t xml:space="preserve"> Gurnee inventory had a +72 adj. on 11/16/2015.</t>
  </si>
  <si>
    <t>UL-2258509</t>
  </si>
  <si>
    <t xml:space="preserve"> Gurnee inventory had a +6 adj. on 11/16/2015.</t>
  </si>
  <si>
    <t xml:space="preserve"> Duplicate SDR of SDR 10019866. Please reject.</t>
  </si>
  <si>
    <t>UL-2258549</t>
  </si>
  <si>
    <t>VD112368</t>
  </si>
  <si>
    <t>092215ACTAVISOH</t>
  </si>
  <si>
    <t>087944972548087 &amp; 087944972548162</t>
  </si>
  <si>
    <t xml:space="preserve"> Customer reported 1 btl. received w/o seal. Info forwarded to quality.</t>
  </si>
  <si>
    <t>UL-2258552</t>
  </si>
  <si>
    <t>G519109</t>
  </si>
  <si>
    <t>UL-2258521</t>
  </si>
  <si>
    <t>087944972690069 &amp; 087944972690076</t>
  </si>
  <si>
    <t>UL-3283135</t>
  </si>
  <si>
    <t xml:space="preserve"> Gurnee inventory is inline. This was the only item on delivery and carton was signed for on 10/30/2015 by a J levano.</t>
  </si>
  <si>
    <t>UL-3283112A</t>
  </si>
  <si>
    <t>UL-2258572</t>
  </si>
  <si>
    <t xml:space="preserve"> Gurnee inventory is inline. No other customers claiming over at this time. All POD's signed w/o exception.</t>
  </si>
  <si>
    <t>C0269238NLC</t>
  </si>
  <si>
    <t>649275116025 &amp; 649275116036 &amp; 649275116058 &amp; 649275116069 &amp; 649275116070 &amp; 649275116080</t>
  </si>
  <si>
    <t>UL-2258564</t>
  </si>
  <si>
    <t>HOSPITAL OF THE UNIV OF PA</t>
  </si>
  <si>
    <t>UL-3283123</t>
  </si>
  <si>
    <t>UL-2258544</t>
  </si>
  <si>
    <t xml:space="preserve"> Gurnee inventory had a +48 adj. on 11/20/2015.</t>
  </si>
  <si>
    <t>UL-2258519</t>
  </si>
  <si>
    <t>ANDA FL - REMEDI</t>
  </si>
  <si>
    <t>UL-2258543</t>
  </si>
  <si>
    <t xml:space="preserve"> Customer reported 2 units with crushed pills inside. Info forwarded to Qaulity.</t>
  </si>
  <si>
    <t>UL-3283128</t>
  </si>
  <si>
    <t>UL-2258559</t>
  </si>
  <si>
    <t xml:space="preserve"> Customer reproted 1 unit manufactuer concealed shortage. Info forwarded to Quality.</t>
  </si>
  <si>
    <t>C0269316NLC</t>
  </si>
  <si>
    <t>UL-2258598</t>
  </si>
  <si>
    <t>UL-3283148</t>
  </si>
  <si>
    <t xml:space="preserve"> Gurnee DC misshipped to wrong customer in error see SDR 10019826.</t>
  </si>
  <si>
    <t>UL-2258597</t>
  </si>
  <si>
    <t xml:space="preserve"> 2 units Only damaged. Call tag will be issued to Genco for destruction.</t>
  </si>
  <si>
    <t>C0269322NLC</t>
  </si>
  <si>
    <t>C0269325NLC</t>
  </si>
  <si>
    <t>BUTLER ANIMAL HEALTH SUPPLY LLC</t>
  </si>
  <si>
    <t>J253097</t>
  </si>
  <si>
    <t xml:space="preserve"> Gurnee inventory is inline. No other customers claiming over at this time. All POD's on delivery signed for w/o exception.</t>
  </si>
  <si>
    <t xml:space="preserve"> Duplicate SDR of 10019915. Please reject.</t>
  </si>
  <si>
    <t>UL-3283120</t>
  </si>
  <si>
    <t>LOUISIANA WHOLESALE DRUG CO</t>
  </si>
  <si>
    <t xml:space="preserve"> Multiple damages reported. Call tag issued to Genco for destruction.</t>
  </si>
  <si>
    <t>UL-2316105</t>
  </si>
  <si>
    <t>UL-2316106</t>
  </si>
  <si>
    <t xml:space="preserve"> Bill Only completed. SO#884266 D 81607435</t>
  </si>
  <si>
    <t>UL-2316121</t>
  </si>
  <si>
    <t xml:space="preserve"> +24 units located over in inventory on 11/24/2015.</t>
  </si>
  <si>
    <t xml:space="preserve"> Bill Only completed. SO#884273 D 81607281</t>
  </si>
  <si>
    <t xml:space="preserve"> Mulitple damages. Call tags will be issued to Genco for destruction.</t>
  </si>
  <si>
    <t>UL-2258584</t>
  </si>
  <si>
    <t xml:space="preserve"> Gurnee inventory had a +24 adj. on 11/18/2015.</t>
  </si>
  <si>
    <t>NO PO</t>
  </si>
  <si>
    <t xml:space="preserve"> Gurnee inventory had a + 48 adj. on 11/18/2015.</t>
  </si>
  <si>
    <t>UL-2316116</t>
  </si>
  <si>
    <t xml:space="preserve"> Gurnee DC had a +20 adj. on 11/24/2015 and a +4 adj. on 11/25/2015. +24 adj. total.</t>
  </si>
  <si>
    <t xml:space="preserve"> Gurnee DC short shipped customer 2880 units. Please create an RE for virtual return so that product can be returned to Inventor</t>
  </si>
  <si>
    <t>PRIME THERAPEUTICS SPECIALTY</t>
  </si>
  <si>
    <t>10P013862</t>
  </si>
  <si>
    <t>UL-2316135</t>
  </si>
  <si>
    <t>UL-2236633</t>
  </si>
  <si>
    <t>649275116871 &amp; 649275116893</t>
  </si>
  <si>
    <t>C0269921NLC</t>
  </si>
  <si>
    <t>UL-3402209</t>
  </si>
  <si>
    <t xml:space="preserve">  Multiple damages. Call tag will be issued to Genco for destruction.</t>
  </si>
  <si>
    <t>UL-2236630</t>
  </si>
  <si>
    <t>UL-2316141</t>
  </si>
  <si>
    <t xml:space="preserve"> Multiple damages. Call tag will be issued to Genco for destruction.</t>
  </si>
  <si>
    <t>UL-2258558</t>
  </si>
  <si>
    <t>087944972214760 &amp; 087944972214784</t>
  </si>
  <si>
    <t xml:space="preserve"> Gurnee inventory is inline. these 336 units were shipped out in 2 shipping cartons signed for by a Linda Andersen on 7/6/2015.</t>
  </si>
  <si>
    <t xml:space="preserve"> 24 units damaged/refused. Please create an RE so product can be destroyed.</t>
  </si>
  <si>
    <t>HY-VEE</t>
  </si>
  <si>
    <t xml:space="preserve"> Duplicate SDR of 10019965. Please reject.</t>
  </si>
  <si>
    <t>1044540-105</t>
  </si>
  <si>
    <t xml:space="preserve"> Bill Only completed. SO # 885517 D 81610401</t>
  </si>
  <si>
    <t>UL-2316132</t>
  </si>
  <si>
    <t>UL-3402200</t>
  </si>
  <si>
    <t>087944972721893 &amp; 087944972721916 &amp; 087944972721930 &amp; 087944972721954 &amp; 087944972721978 &amp; 087944972721992 &amp; 087944972722012 &amp; 08</t>
  </si>
  <si>
    <t>UL-2316133</t>
  </si>
  <si>
    <t>UL-2258542</t>
  </si>
  <si>
    <t>O141559-01</t>
  </si>
  <si>
    <t xml:space="preserve"> 20 units damaged. Call tag will be issued to Genco for destruction.</t>
  </si>
  <si>
    <t>UL-3402216</t>
  </si>
  <si>
    <t xml:space="preserve"> 7 units damaged. Call tag weill be issued to Genco for destruction.</t>
  </si>
  <si>
    <t>C0269927NLC</t>
  </si>
  <si>
    <t>UL-3402230</t>
  </si>
  <si>
    <t>C0270331NLC</t>
  </si>
  <si>
    <t>UL-2257756</t>
  </si>
  <si>
    <t>C0269830NLC</t>
  </si>
  <si>
    <t>UL-2316138</t>
  </si>
  <si>
    <t xml:space="preserve"> 8 units damaged. Call tag issued to Genco for destruction.</t>
  </si>
  <si>
    <t xml:space="preserve"> 25 units damaged. Call tag will be issued to Genco for destruction.</t>
  </si>
  <si>
    <t>UL-2316127</t>
  </si>
  <si>
    <t>C0270223NLC</t>
  </si>
  <si>
    <t>UL-2257755</t>
  </si>
  <si>
    <t>649275140556 &amp; 649275140578 &amp; 649275140589 &amp; 649275140590 &amp; 649275140604 &amp; 649275140615 &amp; 649275140626 &amp; 649275140648 &amp; 64927514</t>
  </si>
  <si>
    <t>VD110990</t>
  </si>
  <si>
    <t>TOPS MARKETS LLC</t>
  </si>
  <si>
    <t>P369202</t>
  </si>
  <si>
    <t>087944972736989 &amp; 087944972737023</t>
  </si>
  <si>
    <t>UL-3402233</t>
  </si>
  <si>
    <t>UL-3402232</t>
  </si>
  <si>
    <t>626414831288 &amp; 626414831299</t>
  </si>
  <si>
    <t>UL-2141838</t>
  </si>
  <si>
    <t>Item no</t>
  </si>
  <si>
    <t>Item</t>
  </si>
  <si>
    <t>Material</t>
  </si>
  <si>
    <t>Material Description</t>
  </si>
  <si>
    <t>Classification</t>
  </si>
  <si>
    <t>Product Family</t>
  </si>
  <si>
    <t>Schedule</t>
  </si>
  <si>
    <t>Batch</t>
  </si>
  <si>
    <t>Org Qty</t>
  </si>
  <si>
    <t>Adj Qty</t>
  </si>
  <si>
    <t>UOM</t>
  </si>
  <si>
    <t>Alt QTY</t>
  </si>
  <si>
    <t>UOM/CS</t>
  </si>
  <si>
    <t>Net Price</t>
  </si>
  <si>
    <t>Curr</t>
  </si>
  <si>
    <t>Org. Amt</t>
  </si>
  <si>
    <t>Adj. Amt</t>
  </si>
  <si>
    <t>18-994</t>
  </si>
  <si>
    <t>DIAZEPAM 2MG TAB 1000</t>
  </si>
  <si>
    <t>Rx</t>
  </si>
  <si>
    <t>DIAZEPAM</t>
  </si>
  <si>
    <t>BTL</t>
  </si>
  <si>
    <t>BTL/CS</t>
  </si>
  <si>
    <t>RDWY</t>
  </si>
  <si>
    <t>ENCLARA</t>
  </si>
  <si>
    <t>PO0206526</t>
  </si>
  <si>
    <t>LEVETIRACETAM 100MG/ML ORAL SOL 16OZ</t>
  </si>
  <si>
    <t>LEVETIRACETAM SOL</t>
  </si>
  <si>
    <t>RX</t>
  </si>
  <si>
    <t>EA</t>
  </si>
  <si>
    <t>EA/CS</t>
  </si>
  <si>
    <t>FETZIMA 120MG CAP 30</t>
  </si>
  <si>
    <t>Internal Medicinie</t>
  </si>
  <si>
    <t>FETZIMA</t>
  </si>
  <si>
    <t>UL-2257752</t>
  </si>
  <si>
    <t xml:space="preserve"> Customer reported 1 unit short from sealed packaging.</t>
  </si>
  <si>
    <t>ACTONEL 35MG TAB 12</t>
  </si>
  <si>
    <t>Non-Promoted</t>
  </si>
  <si>
    <t>ACTONEL</t>
  </si>
  <si>
    <t xml:space="preserve"> Gurnee inventory had a +48 adj. on 12/1/2015.</t>
  </si>
  <si>
    <t>NORA-BE NORETHINDRONE 0.35MG TB 6X28 168</t>
  </si>
  <si>
    <t>Birth Control</t>
  </si>
  <si>
    <t>NORA-BE</t>
  </si>
  <si>
    <t>533871A</t>
  </si>
  <si>
    <t>PROPAFENONE HCL SR 225MG CAP 60</t>
  </si>
  <si>
    <t>PROPAFENONE HCL SR</t>
  </si>
  <si>
    <t>M040 4383</t>
  </si>
  <si>
    <t>ALENDRONATE SODIUM 70MG TAB 4UD</t>
  </si>
  <si>
    <t>ALENDRONATE SOD</t>
  </si>
  <si>
    <t xml:space="preserve"> 20 units damaged. Call tag issued to Genco for destruction.</t>
  </si>
  <si>
    <t>ATENOLOL/CHLOR 50/25MG TAB 100</t>
  </si>
  <si>
    <t>ATENOLOL CHLOR</t>
  </si>
  <si>
    <t>1032775A</t>
  </si>
  <si>
    <t>UL-2316146</t>
  </si>
  <si>
    <t>IPRATROPIUM/ALBUTEROL INH.5MG/3MG 60X3ML</t>
  </si>
  <si>
    <t>IPRATROPIUM /ALBUT</t>
  </si>
  <si>
    <t>UL-3402237</t>
  </si>
  <si>
    <t xml:space="preserve"> Gurnee inventory had a +12 adj. on 12/3/2015.</t>
  </si>
  <si>
    <t>ENOXAPARIN SOD 80MG/0.8ML INJ 10 x 0.8ml</t>
  </si>
  <si>
    <t>ENOXAPARIN SOD</t>
  </si>
  <si>
    <t>UL-2316136</t>
  </si>
  <si>
    <t xml:space="preserve"> For NDC 00062037086320 Gurnee had a +5 adj. on 11/25/2015. the other NDC on this SDR is inline.</t>
  </si>
  <si>
    <t>ENOXAPARIN SOD 100MG/1ML INJ 10 x 1ml</t>
  </si>
  <si>
    <t>GABAPENTIN 100MG CAP 500</t>
  </si>
  <si>
    <t>GABAPENTIN</t>
  </si>
  <si>
    <t>0720B151</t>
  </si>
  <si>
    <t>CS</t>
  </si>
  <si>
    <t>CS/CS</t>
  </si>
  <si>
    <t>UL-3402239</t>
  </si>
  <si>
    <t xml:space="preserve"> Gurnee inventory had a +6 adj. on 11/25/2015.</t>
  </si>
  <si>
    <t>IPRATROPIUM/ALBUTEROL INH.5MG/3MG 30X3ML</t>
  </si>
  <si>
    <t>5GG1</t>
  </si>
  <si>
    <t xml:space="preserve"> 57 units damaged. Call tag issued to Genco for destruction.</t>
  </si>
  <si>
    <t>C0270332NLC</t>
  </si>
  <si>
    <t>MONUROL 145MCG PWDR 3G SACHET 1X1</t>
  </si>
  <si>
    <t>Monurol</t>
  </si>
  <si>
    <t>UL-2257763</t>
  </si>
  <si>
    <t>ZENPEP-5000 /17000/27000 UNT CAP 100</t>
  </si>
  <si>
    <t>Gastroenterology</t>
  </si>
  <si>
    <t>ZENPEP DR</t>
  </si>
  <si>
    <t>E216</t>
  </si>
  <si>
    <t>CIPROFLOXACIN 0.3% OPTH SOL DRP 10ML</t>
  </si>
  <si>
    <t>CIPROFLOXACIN DRP</t>
  </si>
  <si>
    <t>UL-2316120</t>
  </si>
  <si>
    <t>PROPRANOLOL ER 60MG CAP 100</t>
  </si>
  <si>
    <t>PROPRANOLOL ER</t>
  </si>
  <si>
    <t>3441H151</t>
  </si>
  <si>
    <t>BUSPIRONE HCL 10MG TAB 100</t>
  </si>
  <si>
    <t>BUSPIRONE</t>
  </si>
  <si>
    <t>RIVASTIGMINE TARTRATE 4.5MG CAP 60</t>
  </si>
  <si>
    <t>RIVASTIGMINE TARTRAT</t>
  </si>
  <si>
    <t>GD52575</t>
  </si>
  <si>
    <t>POTASSIUM CHLORIDE ER 20MEQ TAB 100</t>
  </si>
  <si>
    <t>POTASSIUM CHL TAB</t>
  </si>
  <si>
    <t>1049962M</t>
  </si>
  <si>
    <t>UL-3402203</t>
  </si>
  <si>
    <t xml:space="preserve"> Gurnee inventory is inline. No other customers at this time are claiming an overage. POD is signed with out exception.</t>
  </si>
  <si>
    <t>PREDNISOLONE ACETATE</t>
  </si>
  <si>
    <t>MEMANTINE HCL IR AG</t>
  </si>
  <si>
    <t>MONONESSA 0.25 + 0.035MG TAB 6X28</t>
  </si>
  <si>
    <t>MONONESSA</t>
  </si>
  <si>
    <t>15JM486</t>
  </si>
  <si>
    <t>BUTAL/APAP/CAF 50/300/40MG CAP 100</t>
  </si>
  <si>
    <t>BUTAL/APAP/CAF LO</t>
  </si>
  <si>
    <t xml:space="preserve"> Gurnee inventory had a +12 adj. on 12/1/2015.</t>
  </si>
  <si>
    <t>PALIPERIDONE ER 6MG TAB 30</t>
  </si>
  <si>
    <t>PALIPERIDONE</t>
  </si>
  <si>
    <t>1057216A</t>
  </si>
  <si>
    <t>ALBUTEROL SULFATE INH 0.083% 60X3ML 180</t>
  </si>
  <si>
    <t>ALBUTEROL SUL INH</t>
  </si>
  <si>
    <t>55X428885</t>
  </si>
  <si>
    <t>TRIMETHOPRIM 100MG TAB 100</t>
  </si>
  <si>
    <t>TRIMETHOPRIM</t>
  </si>
  <si>
    <t xml:space="preserve"> Gurnee inventory is inline. No other customers claiming over at this time. POD is signed only for damage/refsed to another prod</t>
  </si>
  <si>
    <t>NAMENDA XR 28MG CAP 30</t>
  </si>
  <si>
    <t>NAMENDA XR</t>
  </si>
  <si>
    <t xml:space="preserve"> Gurnee inventory had a +15 adj. on 12/16/2015.</t>
  </si>
  <si>
    <t>15KM526</t>
  </si>
  <si>
    <t>C0271046NLC</t>
  </si>
  <si>
    <t>MICROGESTIN FE1.5MG/30MCG+75MG T6X28 168</t>
  </si>
  <si>
    <t>MICROGESTIN FE</t>
  </si>
  <si>
    <t>531174A</t>
  </si>
  <si>
    <t>UL-2270289</t>
  </si>
  <si>
    <t>O146866-07</t>
  </si>
  <si>
    <t>ENOXAPARIN SOD 30MG/0.3ML INJ 10 x 0.3ml</t>
  </si>
  <si>
    <t>EO003H5</t>
  </si>
  <si>
    <t>UL-2270287</t>
  </si>
  <si>
    <t xml:space="preserve"> 84 units damaged. Call tag issued to Genco for destruction.</t>
  </si>
  <si>
    <t xml:space="preserve"> Gurnee inventory is inline. This was the only item on this delivery and the package was signed for on 12/4 by a T. Devonish. Pl</t>
  </si>
  <si>
    <t>ADAPALENE 0.3% GEL 45G ACTAVIS</t>
  </si>
  <si>
    <t>ADAPALENE</t>
  </si>
  <si>
    <t xml:space="preserve"> Multiple damages received. Call tag will be issued to Genco for destruction.</t>
  </si>
  <si>
    <t>NYSTATIN/TRIAM CR 100K UNT/0.1% 15GM</t>
  </si>
  <si>
    <t>NYSTATIN/TRIAM CREAM</t>
  </si>
  <si>
    <t>CLOBETASOL PROPIONATE 0.05% SPRY 4.25OZ</t>
  </si>
  <si>
    <t>CLOBETASOL PROP SPR</t>
  </si>
  <si>
    <t>NYSTATIN 100K UNT ONT 15G ACT</t>
  </si>
  <si>
    <t>NYSTATIN OT</t>
  </si>
  <si>
    <t>L505077</t>
  </si>
  <si>
    <t>LIDOCAINE TOPICAL 5% PATCH 700MG/12HRx30</t>
  </si>
  <si>
    <t>LIDOCAINE PATCH</t>
  </si>
  <si>
    <t xml:space="preserve"> 13 units ONLY damaged. Call tag issued to Genco for destruction.</t>
  </si>
  <si>
    <t>Z8108630XD</t>
  </si>
  <si>
    <t>ASACOL HD 800MG TAB 180</t>
  </si>
  <si>
    <t>ASACOL</t>
  </si>
  <si>
    <t>UL-2258595</t>
  </si>
  <si>
    <t>MINASTRIN 24 FE 1/20 TAB 5X28 2F</t>
  </si>
  <si>
    <t>Women's Health</t>
  </si>
  <si>
    <t>MINASTRIN 24 FE</t>
  </si>
  <si>
    <t>AEROCHAMBER + FLOW-VU MASK SMALL 1</t>
  </si>
  <si>
    <t>AEROCHAMBER</t>
  </si>
  <si>
    <t>VD113770</t>
  </si>
  <si>
    <t>LINZESS 145MCG CAP 30</t>
  </si>
  <si>
    <t>LINZESS</t>
  </si>
  <si>
    <t>A474235</t>
  </si>
  <si>
    <t xml:space="preserve"> Gurnee inventory had a +12 adj. on 12/8/2015.</t>
  </si>
  <si>
    <t>OTC</t>
  </si>
  <si>
    <t>TRINESSA .180;.215;.250+.035MG TAB 6x28</t>
  </si>
  <si>
    <t>TRINESSA</t>
  </si>
  <si>
    <t>UL-2270268</t>
  </si>
  <si>
    <t>METFORMIN HCL XR 750MG TAB 100</t>
  </si>
  <si>
    <t>METFORMIN XR</t>
  </si>
  <si>
    <t xml:space="preserve"> Gurnee sent in error. Product was returned to DC on 12/11/2015. No issue as customer was not invoiced for this.</t>
  </si>
  <si>
    <t>DESONIDE 0.05% LOTION 2 OZ</t>
  </si>
  <si>
    <t>DESONIDE LT</t>
  </si>
  <si>
    <t>HBBT</t>
  </si>
  <si>
    <t xml:space="preserve"> Gurnee inventory had a +24 adj. on 11/19/2015.</t>
  </si>
  <si>
    <t>GLIPIZIDE ER</t>
  </si>
  <si>
    <t>GENTAMICIN SULFATE 0.3% 5 ML</t>
  </si>
  <si>
    <t>GENTAMICIN SULFATE</t>
  </si>
  <si>
    <t>METOPROLOL SUCCINATE ER 100MG TAB 100</t>
  </si>
  <si>
    <t>METOPROLOL SUCC ER</t>
  </si>
  <si>
    <t>LIDOCAINE/PRILOCAINE 2.5/2.5% CR 30GM</t>
  </si>
  <si>
    <t>LIDOCAIN/PRILOCAINE</t>
  </si>
  <si>
    <t>C0270317NLC</t>
  </si>
  <si>
    <t>ZENPEP-20000 /68000/109000UNT CP 100</t>
  </si>
  <si>
    <t>E168</t>
  </si>
  <si>
    <t>UL-3402234</t>
  </si>
  <si>
    <t xml:space="preserve"> Gurnee inventory had a +2184 adj. on 12/14/2015.</t>
  </si>
  <si>
    <t>HYDROXOCOBALAMIN INJ 1000MCG/ML 1x30ML 1</t>
  </si>
  <si>
    <t>HYDROXOCOBALAMIN</t>
  </si>
  <si>
    <t>ISOSORBIDE MONONITRATE 10MG TAB 100</t>
  </si>
  <si>
    <t>ISOSORBIDE MONO</t>
  </si>
  <si>
    <t>UL-2270251</t>
  </si>
  <si>
    <t xml:space="preserve"> 48 units damaged. Call tag issued to Genco for destruction.</t>
  </si>
  <si>
    <t>FLUVOXAMINE ER 150MG CAP 30</t>
  </si>
  <si>
    <t>FLUVOXAMINE ER</t>
  </si>
  <si>
    <t>DESMOPRESSIN ACETATE 0.2MG TAB 100</t>
  </si>
  <si>
    <t>DESMOPRESSIN ACETATE</t>
  </si>
  <si>
    <t>1030770M</t>
  </si>
  <si>
    <t>UL-2316137</t>
  </si>
  <si>
    <t xml:space="preserve"> Bill Only completed. SO#890078 D 81621332</t>
  </si>
  <si>
    <t>SCANDISHAKE VANILLA 3OZ 4ENV/BX</t>
  </si>
  <si>
    <t>SCANDISHAKE</t>
  </si>
  <si>
    <t>11MAR1722A</t>
  </si>
  <si>
    <t>SCANDISHAKE STRAWBERRY 3OZ 4ENV/BX</t>
  </si>
  <si>
    <t>11JUN1721A</t>
  </si>
  <si>
    <t xml:space="preserve"> 2 cartons of scandishakes received on 12/16/2015. Customer returned besause wrong product was in the carton.Outer label was dif</t>
  </si>
  <si>
    <t>ZARAH 3/0.03MG TAB 3X28</t>
  </si>
  <si>
    <t>ZARAH</t>
  </si>
  <si>
    <t>1031556AA</t>
  </si>
  <si>
    <t xml:space="preserve"> 7 units damaged. Customer will destroy and provide LOD.</t>
  </si>
  <si>
    <t>1024749-769</t>
  </si>
  <si>
    <t>LISINOPRIL 10MG TAB 1000</t>
  </si>
  <si>
    <t>LISINOPRIL</t>
  </si>
  <si>
    <t xml:space="preserve"> 7 units damaged (The customer is only claiming 3 damaged on NDC 00472-1255-94.   ) Call tag will be issued to Genco for destruc</t>
  </si>
  <si>
    <t>IBUPROFEN SUS BERRY 4OZ ACT</t>
  </si>
  <si>
    <t>IBUPROFEN (OTC)</t>
  </si>
  <si>
    <t>PREDNISOLONE ACETATE 1% 5 ML</t>
  </si>
  <si>
    <t xml:space="preserve"> Gurnee inventory had a +72 adj. on 12/3/2015.</t>
  </si>
  <si>
    <t>BENTYL 20MG/2ML INJ 5X2ML AMP</t>
  </si>
  <si>
    <t>BENTYL</t>
  </si>
  <si>
    <t xml:space="preserve"> Gurnee inventoy is inline. No other customers claiming over at this time. POD is signed w/o exception.</t>
  </si>
  <si>
    <t>1062943M</t>
  </si>
  <si>
    <t xml:space="preserve"> Bill Only completed. SO#891277 D 81625463</t>
  </si>
  <si>
    <t>JEVANTIQUE LO 0.5MG/2.5MCG TAB 3X28</t>
  </si>
  <si>
    <t>JEVANTIQUE LO</t>
  </si>
  <si>
    <t>534599A</t>
  </si>
  <si>
    <t>BETAMETH VALERAT 0.1% CR 15G ACT</t>
  </si>
  <si>
    <t>BETAMETH VALERAT</t>
  </si>
  <si>
    <t>L505040</t>
  </si>
  <si>
    <t xml:space="preserve"> Customer reported missing one unit upon opening of sealed case.</t>
  </si>
  <si>
    <t>PROGESTERONE IN OIL INJ 50MG 1X10ML</t>
  </si>
  <si>
    <t>PROGESTERONE INJ</t>
  </si>
  <si>
    <t>C0270967NLC</t>
  </si>
  <si>
    <t>LIDOCAINE 5% PATCH 700MG/12HRX30 NOVA+</t>
  </si>
  <si>
    <t>1049964M</t>
  </si>
  <si>
    <t>UL-2270296</t>
  </si>
  <si>
    <t>CANASA 1000MG SUP 30</t>
  </si>
  <si>
    <t>CANASA</t>
  </si>
  <si>
    <t>UL-2418087</t>
  </si>
  <si>
    <t>VIIBRYD 20MG TAB  30</t>
  </si>
  <si>
    <t>VIIBRYD</t>
  </si>
  <si>
    <t>LO LOESTRIN FE 1MG/10/10MCG T 5X28</t>
  </si>
  <si>
    <t>LO LOESTRIN FE</t>
  </si>
  <si>
    <t>UL-2418078</t>
  </si>
  <si>
    <t xml:space="preserve"> 14 units damaged. Call tag issued to Genco for destruction.</t>
  </si>
  <si>
    <t>GLIPIZIDE 5MG TAB 500</t>
  </si>
  <si>
    <t>GLIPIZIDE</t>
  </si>
  <si>
    <t>303947A</t>
  </si>
  <si>
    <t xml:space="preserve"> Customer service authorized return. Please create an RE so product can be restocked.</t>
  </si>
  <si>
    <t xml:space="preserve"> Gurnee inventory had a +144 adj on 12/7/2015.</t>
  </si>
  <si>
    <t>CLOTRIMAZOLE 45G VAG CR 1 APP ACT</t>
  </si>
  <si>
    <t>CLOTRIMAZOLE</t>
  </si>
  <si>
    <t>E30AB</t>
  </si>
  <si>
    <t>AQUADEKS PED DROPS 60ML</t>
  </si>
  <si>
    <t>AQUADEKS</t>
  </si>
  <si>
    <t>150391A</t>
  </si>
  <si>
    <t>151959A</t>
  </si>
  <si>
    <t>AQUADEKS CHEWTAB 60</t>
  </si>
  <si>
    <t>151835A</t>
  </si>
  <si>
    <t>DELZICOL DR 400MG CAP 180</t>
  </si>
  <si>
    <t>Specialty Products</t>
  </si>
  <si>
    <t>DELZICOL</t>
  </si>
  <si>
    <t xml:space="preserve"> Gurnee inventory had a +24 adj. on 12/16/2015.</t>
  </si>
  <si>
    <t>METFORMIN HCL ER 1000MG TAB 60</t>
  </si>
  <si>
    <t>METFORMIN HCL XT AG</t>
  </si>
  <si>
    <t>1074399M</t>
  </si>
  <si>
    <t xml:space="preserve"> 8 units ONLY damaged. Call tag issued to Genco for destruction.</t>
  </si>
  <si>
    <t>UL-2418064</t>
  </si>
  <si>
    <t>CLONAZEPAM 1.0MG TAB 100</t>
  </si>
  <si>
    <t>CLONAZEPAM</t>
  </si>
  <si>
    <t>1722D151</t>
  </si>
  <si>
    <t xml:space="preserve"> Customer reported 1 unit missing from manucturer sealed case. Info forwarded to Qaulity Dept.</t>
  </si>
  <si>
    <t>HENRY SCHEIN, INC</t>
  </si>
  <si>
    <t>ALBUTEROL SULF 0.63MG/3ML INH SOL 25X3ML</t>
  </si>
  <si>
    <t>ALBUTEROL SULFATE</t>
  </si>
  <si>
    <t>GA50886</t>
  </si>
  <si>
    <t xml:space="preserve"> 102 units ONLY damaged. Call tag issued to Genco for destruction.</t>
  </si>
  <si>
    <t>UL-2418060</t>
  </si>
  <si>
    <t xml:space="preserve"> Gurnee inventory had a +24 adj. on 12/10/2015.</t>
  </si>
  <si>
    <t>C0270615NLC</t>
  </si>
  <si>
    <t>NAMENDA XR 28MG CAP 90</t>
  </si>
  <si>
    <t xml:space="preserve"> Gurnee inventory had a +10 adj. on 12/16/2015.</t>
  </si>
  <si>
    <t>C0271641NLC</t>
  </si>
  <si>
    <t>UL-4142860</t>
  </si>
  <si>
    <t xml:space="preserve"> Multiple damages receieved. Call tag issued to Genco for destruction.</t>
  </si>
  <si>
    <t>IPRATROPIUM BROMIDE 0.02% 60X2.5ML 150</t>
  </si>
  <si>
    <t>IPRATROPIUM BRMD INH</t>
  </si>
  <si>
    <t>UL-2270265</t>
  </si>
  <si>
    <t xml:space="preserve"> Gurnee inventory is inline. Shortage is a result of a case size change. This NDC went from 24 units to 48 units per case on 11/</t>
  </si>
  <si>
    <t>C0271070NLC</t>
  </si>
  <si>
    <t>PYLERA 140/125/125MG CAP 10X12 THERAPY</t>
  </si>
  <si>
    <t>PYLERA</t>
  </si>
  <si>
    <t>149207A</t>
  </si>
  <si>
    <t>L508013</t>
  </si>
  <si>
    <t xml:space="preserve"> Gurnee inventory had a +48 adj. on 11/25/2015.</t>
  </si>
  <si>
    <t>BUDESONIDE 0.5MG/2ML SUSP INH 30 UD</t>
  </si>
  <si>
    <t>BUDESONIDE</t>
  </si>
  <si>
    <t>WA5A006</t>
  </si>
  <si>
    <t xml:space="preserve"> 4 units ONLY damaged. (Customer is only claiming 3ea. of (6830) and 1ea. of (6730)  )     Customer will destroy and provide LOD</t>
  </si>
  <si>
    <t>BUDESONIDE 0.25MG/2ML SUSP INH 30 UD</t>
  </si>
  <si>
    <t>WA4L008</t>
  </si>
  <si>
    <t xml:space="preserve"> Customer reported missing 1 unit ONLY from sealed case.</t>
  </si>
  <si>
    <t>UL-2418076</t>
  </si>
  <si>
    <t>BUPROPION XL 150MG TAB 90</t>
  </si>
  <si>
    <t>BUPROPION XL ACT</t>
  </si>
  <si>
    <t xml:space="preserve"> Gurnee DC short ship error. Please create an RE for virtual return so customer can receive credit for shortage and product can</t>
  </si>
  <si>
    <t>DESONIDE CREAM 0.05% 15GM</t>
  </si>
  <si>
    <t>DESONIDE</t>
  </si>
  <si>
    <t>ALBUTEROL SULF 1.25MG/3ML INH SOL 25X3ML</t>
  </si>
  <si>
    <t>GA50987</t>
  </si>
  <si>
    <t>GUANFACINE ER 1MG TAB 100</t>
  </si>
  <si>
    <t>GUANFACINE ER</t>
  </si>
  <si>
    <t>3077G151</t>
  </si>
  <si>
    <t>UL-2270269</t>
  </si>
  <si>
    <t xml:space="preserve"> Gurnee DC had a +6 adj. on NDC 62037056005 on 12/3/2015. NDC 228285011 is inline w/ no other customers claiming over at this ti</t>
  </si>
  <si>
    <t>POTASSIUM CHLORIDE XR 10MEQ CAP 500</t>
  </si>
  <si>
    <t>POTASSIUM XR</t>
  </si>
  <si>
    <t>1065686M</t>
  </si>
  <si>
    <t>NECON 1/35 1MG+35MCG TAB 6x28 168</t>
  </si>
  <si>
    <t>NECON</t>
  </si>
  <si>
    <t>1068856AA</t>
  </si>
  <si>
    <t>ENOXAPARIN SOD 40MG/0.4ML INJ 10 x 0.4ml</t>
  </si>
  <si>
    <t>POTASSIUM CHLORIDE ER 10MEQ TAB 100</t>
  </si>
  <si>
    <t>1047432M</t>
  </si>
  <si>
    <t>UL-2418093</t>
  </si>
  <si>
    <t xml:space="preserve"> Gurnee inventory had a +48 adj. on 12/21/2015.</t>
  </si>
  <si>
    <t>BOX</t>
  </si>
  <si>
    <t>BOX/CS</t>
  </si>
  <si>
    <t xml:space="preserve"> Customer reurned product to DC. Claims overage no issue was not invoiced for this.</t>
  </si>
  <si>
    <t>CARAFATE  1G/10ML SUS 14FL OZ 414ML</t>
  </si>
  <si>
    <t>Carafate</t>
  </si>
  <si>
    <t xml:space="preserve"> Gurnee inventory had a +2 adj. on 12/2/2015.</t>
  </si>
  <si>
    <t>AEROCHAMBER + FLOW-VU MASK MED 1</t>
  </si>
  <si>
    <t>UL-4142876</t>
  </si>
  <si>
    <t xml:space="preserve"> 34 units damaged. Call tag issued to Genco for destruction.</t>
  </si>
  <si>
    <t>VIIBRYD 40MG TAB  30</t>
  </si>
  <si>
    <t>TILIA FE 1/20;30;35MCG+75FE TAB 3X28</t>
  </si>
  <si>
    <t>TILIA</t>
  </si>
  <si>
    <t>534741A</t>
  </si>
  <si>
    <t>WALGREENS SPECIALTY PHARMACY LLC</t>
  </si>
  <si>
    <t>TRELSTAR 6 MONTH 22.5MG MIXJECT 1 VIAL</t>
  </si>
  <si>
    <t>Urology&amp;Dermatology</t>
  </si>
  <si>
    <t>TRELSTAR US</t>
  </si>
  <si>
    <t>15K140</t>
  </si>
  <si>
    <t>OXYTROL OXYBUT TS(US) 3.9MG/D P8</t>
  </si>
  <si>
    <t>OXYTROL US</t>
  </si>
  <si>
    <t>892919A</t>
  </si>
  <si>
    <t>SPIRONOLACTONE 100MG TAB 100</t>
  </si>
  <si>
    <t>SPIRONOLACTONE</t>
  </si>
  <si>
    <t>4412K141</t>
  </si>
  <si>
    <t>1068855AA</t>
  </si>
  <si>
    <t>ONDANSETRON 4MG TAB 30</t>
  </si>
  <si>
    <t>ONDANSETRON HCL</t>
  </si>
  <si>
    <t>DILTIAZEM CD 360MG CAP 90</t>
  </si>
  <si>
    <t>CARTIA XT</t>
  </si>
  <si>
    <t>4009J151</t>
  </si>
  <si>
    <t>MP4500782785M6045</t>
  </si>
  <si>
    <t>LISINOPRIL 20MG TAB 1000</t>
  </si>
  <si>
    <t>304449A</t>
  </si>
  <si>
    <t xml:space="preserve"> Please create an RE for Virtual return in order to correct billing order entry error.</t>
  </si>
  <si>
    <t>VIBERZI 75MG TAB 60</t>
  </si>
  <si>
    <t>ELUXADOLINE</t>
  </si>
  <si>
    <t>C0271092NLC</t>
  </si>
  <si>
    <t>UL-4142878</t>
  </si>
  <si>
    <t xml:space="preserve"> 56 units damaged. Customer will destroy. LOD attached.</t>
  </si>
  <si>
    <t>FLUOCINONIDE 0.05% CR 15GM</t>
  </si>
  <si>
    <t>FLUOCINONIDE</t>
  </si>
  <si>
    <t>UL-2418099</t>
  </si>
  <si>
    <t>CARBI/LEVO 25/100MG TAB 100</t>
  </si>
  <si>
    <t>CARBIDOPA/LEVODOPA</t>
  </si>
  <si>
    <t xml:space="preserve"> Gurnee inventory had a +2 adj. on 11/23/2015.</t>
  </si>
  <si>
    <t>INFED (IRON DEXTRAN INJ) 50MG 10X2ML</t>
  </si>
  <si>
    <t>INFED</t>
  </si>
  <si>
    <t>TRELSTAR 3.75MG MIXJECT VIAL 1</t>
  </si>
  <si>
    <t>TRELSTAR 11.25MG MIXJECT VIAL 1</t>
  </si>
  <si>
    <t>15W12A</t>
  </si>
  <si>
    <t xml:space="preserve"> Please create an RE for virtual return in order to correct paperwork for wrong ship too customer number used. This customer sho</t>
  </si>
  <si>
    <t>15H080</t>
  </si>
  <si>
    <t>15K111</t>
  </si>
  <si>
    <t>ALBUTEROL SULFATE INH 0.083% 25X3ML 75</t>
  </si>
  <si>
    <t>UL-4142854</t>
  </si>
  <si>
    <t>CLONIDINE 0.3MG TAB 100</t>
  </si>
  <si>
    <t>CLONIDINE</t>
  </si>
  <si>
    <t>3614H151</t>
  </si>
  <si>
    <t xml:space="preserve"> Gurnee inventory had a +24 adj. on 12/7/2015.</t>
  </si>
  <si>
    <t>MINOCYCLINE HCL 100MG CAP 50</t>
  </si>
  <si>
    <t>MINOCYCLINE</t>
  </si>
  <si>
    <t>1023179M</t>
  </si>
  <si>
    <t>UL-2418066</t>
  </si>
  <si>
    <t>SARAFEM 10MG TAB 28</t>
  </si>
  <si>
    <t>SARAFEM</t>
  </si>
  <si>
    <t>2516029A</t>
  </si>
  <si>
    <t>NAMENDA XR 7MG CAP 30</t>
  </si>
  <si>
    <t>S150908</t>
  </si>
  <si>
    <t>NAMENDA XR 14MG CAP 30</t>
  </si>
  <si>
    <t>NAMENDA XR 14MG CAP 90</t>
  </si>
  <si>
    <t>NAMENDA XR 21MG CAP 30</t>
  </si>
  <si>
    <t>FETZIMA 20MG CAP 30</t>
  </si>
  <si>
    <t>S150119</t>
  </si>
  <si>
    <t>FETZIMA 40MG CAP 30</t>
  </si>
  <si>
    <t>FETZIMA 80MG CAP 30</t>
  </si>
  <si>
    <t>BYSTOLIC 20MG TAB 90 FLI</t>
  </si>
  <si>
    <t>BYSTOLIC</t>
  </si>
  <si>
    <t>ZENPEP-3000 /10000/16000 UNT CAP 100</t>
  </si>
  <si>
    <t>E144</t>
  </si>
  <si>
    <t>ZENPEP-15000 /51000/82000UNT CAP 100</t>
  </si>
  <si>
    <t>E166</t>
  </si>
  <si>
    <t>FLUTTER DEVICE 1 EA</t>
  </si>
  <si>
    <t>FLUTTER</t>
  </si>
  <si>
    <t>SAPHRIS 2.5MG TAB 6X10</t>
  </si>
  <si>
    <t>SAPHRIS</t>
  </si>
  <si>
    <t>1510903A</t>
  </si>
  <si>
    <t>ARMOUR THYROID 3G TAB 100</t>
  </si>
  <si>
    <t>ARMOUR</t>
  </si>
  <si>
    <t>ARMOUR THYROID 5G TAB 100</t>
  </si>
  <si>
    <t>RAPAFLO 8MG CAP 30</t>
  </si>
  <si>
    <t>RAPAFLO</t>
  </si>
  <si>
    <t>1066101A</t>
  </si>
  <si>
    <t>SAVELLA 25MG TAB 60</t>
  </si>
  <si>
    <t>SAVELLA</t>
  </si>
  <si>
    <t>A456169</t>
  </si>
  <si>
    <t>SAVELLA 100MG TAB 60</t>
  </si>
  <si>
    <t>A467738</t>
  </si>
  <si>
    <t>SAVELLA TITR12.5MG 5+25MG 8+50MG 42T55</t>
  </si>
  <si>
    <t>ARMOUR THYROID 1.5G TAB 100</t>
  </si>
  <si>
    <t>BYSTOLIC 5MG TAB 30 FLI</t>
  </si>
  <si>
    <t>532774A</t>
  </si>
  <si>
    <t>VIIBRYD 10MG TAB  30</t>
  </si>
  <si>
    <t>MTFT14691</t>
  </si>
  <si>
    <t>CELEXA 20MG TAB 100</t>
  </si>
  <si>
    <t>CELEXA</t>
  </si>
  <si>
    <t>A383064</t>
  </si>
  <si>
    <t>C0271555NLC</t>
  </si>
  <si>
    <t>ORPHENADRINE CITRATE INJ 30MG/ML 2ML A10</t>
  </si>
  <si>
    <t>ORPHENADRINE INJ</t>
  </si>
  <si>
    <t>UL-4142886</t>
  </si>
  <si>
    <t>FENTANYL PATCH 50MCG 5</t>
  </si>
  <si>
    <t>FENTANYL PATCH</t>
  </si>
  <si>
    <t>1039393A</t>
  </si>
  <si>
    <t xml:space="preserve"> Customer reported 1 unit manufacter concealed shortage.</t>
  </si>
  <si>
    <t>GLIPIZIDE ER 5MG TAB 100</t>
  </si>
  <si>
    <t>UL-4142884</t>
  </si>
  <si>
    <t xml:space="preserve"> Gurnee inventory had a +24 adj. on 12/18/2015.</t>
  </si>
  <si>
    <t>METHYLPHENIDATE HCL 10MG TAB 100</t>
  </si>
  <si>
    <t>METHYLPHENIDATE</t>
  </si>
  <si>
    <t>2N</t>
  </si>
  <si>
    <t>1002355A</t>
  </si>
  <si>
    <t>UL-4142867</t>
  </si>
  <si>
    <t xml:space="preserve"> Customer reported 1 unit shortage from manufactuer sealed case.</t>
  </si>
  <si>
    <t xml:space="preserve"> 4 units damaged.Call tag will be issued to Genco for destruction.</t>
  </si>
  <si>
    <t>DESONIDE CREAM 0.05% 60GM</t>
  </si>
  <si>
    <t>HGCS</t>
  </si>
  <si>
    <t>HYDROCORTISONE 2.5% CR 30G ACT</t>
  </si>
  <si>
    <t>HYDROCORTISONE (RX)</t>
  </si>
  <si>
    <t>L508003</t>
  </si>
  <si>
    <t>UL-2276076</t>
  </si>
  <si>
    <t>FLUOROMETHOLONE 0.1% 10 ML</t>
  </si>
  <si>
    <t>FLUOROMETHOLONE SUSP</t>
  </si>
  <si>
    <t>FENTANYL PATCH 75MCG 5</t>
  </si>
  <si>
    <t>1036329A</t>
  </si>
  <si>
    <t>UL-4142896</t>
  </si>
  <si>
    <t xml:space="preserve"> Customer reported 1 unit short manufactuer concealed shortage.</t>
  </si>
  <si>
    <t>C0271667NLC</t>
  </si>
  <si>
    <t>TEFLARO 400MG INJ 10X20CC VIAL</t>
  </si>
  <si>
    <t>Anti-Infectives</t>
  </si>
  <si>
    <t>TEFLARO</t>
  </si>
  <si>
    <t>UL-2276097</t>
  </si>
  <si>
    <t>TEFLARO 600MG INJ 10X20CC VIAL</t>
  </si>
  <si>
    <t>UL-2276066</t>
  </si>
  <si>
    <t xml:space="preserve"> Gurnee inventory had a +72 adj. on 12/23/2015.</t>
  </si>
  <si>
    <t>WA5B008</t>
  </si>
  <si>
    <t xml:space="preserve"> Customer reported 4 unit ONLY manufactuer concealed shortage.</t>
  </si>
  <si>
    <t>LINZESS 290MCG CAP 30</t>
  </si>
  <si>
    <t>BETAMETH DIPROPT 0.05% OINT 15G ACT</t>
  </si>
  <si>
    <t>BETAMETHASONE DIP OT</t>
  </si>
  <si>
    <t>L507036</t>
  </si>
  <si>
    <t xml:space="preserve"> Gurnee inventory had a +144 adj. on 12/10/2015.</t>
  </si>
  <si>
    <t>ESTRADIOL 0.5MG TAB 100</t>
  </si>
  <si>
    <t>ESTRADIOL</t>
  </si>
  <si>
    <t>UL-2316147</t>
  </si>
  <si>
    <t>UL-2418086</t>
  </si>
  <si>
    <t>CARISOPRODOL 350MG TAB 1000</t>
  </si>
  <si>
    <t>CARISOPRODOL</t>
  </si>
  <si>
    <t>1057947M</t>
  </si>
  <si>
    <t>GCP PHARMA LLC</t>
  </si>
  <si>
    <t>121415Act</t>
  </si>
  <si>
    <t>NITROFURANTOIN MONO MACRO 100MG CAP 100</t>
  </si>
  <si>
    <t>NITROFURANTOIN MONOH</t>
  </si>
  <si>
    <t>BETAMETH DIPROPT 0.05% CR 15G ACT</t>
  </si>
  <si>
    <t>BETAMETHASONE DIPROP</t>
  </si>
  <si>
    <t>L509033</t>
  </si>
  <si>
    <t>BETAMETH DIPROPT 0.05% CR 45G ACT</t>
  </si>
  <si>
    <t>L507061</t>
  </si>
  <si>
    <t>ALPRAZOLAM ER 1MG TAB 60</t>
  </si>
  <si>
    <t>ALPRAZOLAM ER</t>
  </si>
  <si>
    <t>3211H151</t>
  </si>
  <si>
    <t>O157243-09</t>
  </si>
  <si>
    <t>GUANFACINE HCL 1MG TAB 100</t>
  </si>
  <si>
    <t>GUANFACINE</t>
  </si>
  <si>
    <t>1076270M</t>
  </si>
  <si>
    <t>WINN DIXIE LOGISTICS, INC.</t>
  </si>
  <si>
    <t>CLOBETASOL 0.05% CRM 30GM</t>
  </si>
  <si>
    <t>CLOBETASOL PROPIONAT</t>
  </si>
  <si>
    <t>RECLIPSEN 0.15+0.3MG 6X28 TAB 168</t>
  </si>
  <si>
    <t>RECLIPSEN</t>
  </si>
  <si>
    <t>ALPRAZOLAM ER 2MG TAB 60</t>
  </si>
  <si>
    <t>2806G151</t>
  </si>
  <si>
    <t>ALPRAZOLAM ER 0.5MG TAB 60</t>
  </si>
  <si>
    <t>3238H151</t>
  </si>
  <si>
    <t>ALPRAZOLAM ER 3MG TAB 60</t>
  </si>
  <si>
    <t>3240H151</t>
  </si>
  <si>
    <t>LORAZEPAM 2MG TAB 100</t>
  </si>
  <si>
    <t>LORAZEPAM</t>
  </si>
  <si>
    <t>306751A</t>
  </si>
  <si>
    <t>DIETHYLPROPION HCL 25MG TAB 100</t>
  </si>
  <si>
    <t>DIETHYLPROPION</t>
  </si>
  <si>
    <t>DIAZEPAM 5MG TAB 1000</t>
  </si>
  <si>
    <t>1060628A</t>
  </si>
  <si>
    <t>CLONAZEPAM 2.0MG TAB 100</t>
  </si>
  <si>
    <t>2309F151</t>
  </si>
  <si>
    <t>1723D151</t>
  </si>
  <si>
    <t>LORAZEPAM 2MG TAB 1000</t>
  </si>
  <si>
    <t>1058689A</t>
  </si>
  <si>
    <t>DIAZEPAM 2MG TAB 100</t>
  </si>
  <si>
    <t>1029253A</t>
  </si>
  <si>
    <t>DIAZEPAM 5MG TAB 500</t>
  </si>
  <si>
    <t>1082772M</t>
  </si>
  <si>
    <t>305454A</t>
  </si>
  <si>
    <t>DIAZEPAM 2MG TAB 500</t>
  </si>
  <si>
    <t>1029252M</t>
  </si>
  <si>
    <t>CLONAZEPAM 2.0MG TAB 500</t>
  </si>
  <si>
    <t>CLONAZEPAM 1.0MG TAB 500</t>
  </si>
  <si>
    <t>CLONAZEPAM 0.5MG TAB 500</t>
  </si>
  <si>
    <t>3158G151</t>
  </si>
  <si>
    <t>BUPRENORPHINE SL 2MG TAB 30</t>
  </si>
  <si>
    <t>BUPRENORPHINE SL</t>
  </si>
  <si>
    <t>3236H151</t>
  </si>
  <si>
    <t>3210H151</t>
  </si>
  <si>
    <t>METOPROLOL SUCCINATE ER 50MG TAB 100</t>
  </si>
  <si>
    <t>1058158A</t>
  </si>
  <si>
    <t xml:space="preserve"> Gurnee inventory had a +72 adj. on 12/21/2015.</t>
  </si>
  <si>
    <t>NORTRIPTYLINE HCL 10MG CAP 100</t>
  </si>
  <si>
    <t>NORTRIPTYLINE</t>
  </si>
  <si>
    <t>GEMCITABINE 1000MG PWDR 1 VIAL</t>
  </si>
  <si>
    <t>GEMCITABINE INJ</t>
  </si>
  <si>
    <t>5CU5041</t>
  </si>
  <si>
    <t>ARMOUR THYROID 1/2G TAB 100</t>
  </si>
  <si>
    <t>UL-2372620</t>
  </si>
  <si>
    <t>ESTRACE 0.1MG VAG CRM 42.5GM</t>
  </si>
  <si>
    <t>ESTRACE CREAM</t>
  </si>
  <si>
    <t>C0271068NLC</t>
  </si>
  <si>
    <t>ARMOUR THYROID 1/4G TAB 100</t>
  </si>
  <si>
    <t xml:space="preserve"> Product short shipped to customer. DC located overage in inventory. Processed for adjustment on 1/5/2016.</t>
  </si>
  <si>
    <t>IPRATROPIUM BROMIDE 0.02% 25X2.5ML 62.5</t>
  </si>
  <si>
    <t>5MC5</t>
  </si>
  <si>
    <t>C0269265NLC</t>
  </si>
  <si>
    <t>CLOTRIMAZOLE 45G VAG CR 7 APP ACT</t>
  </si>
  <si>
    <t>E28AA</t>
  </si>
  <si>
    <t>C0272243NLC</t>
  </si>
  <si>
    <t>UL-2372621</t>
  </si>
  <si>
    <t>LIDOCAINE HCL 2% JELLY 5ML</t>
  </si>
  <si>
    <t>LIDOCAINE HCL JELLY</t>
  </si>
  <si>
    <t>UL-2276075</t>
  </si>
  <si>
    <t>VALSARTAN/HCTZ 320/25MG TAB 90</t>
  </si>
  <si>
    <t>VALSARTAN HCTZ</t>
  </si>
  <si>
    <t>1051700M</t>
  </si>
  <si>
    <t>L-2418077</t>
  </si>
  <si>
    <t>WA4M008</t>
  </si>
  <si>
    <t>UL-2362612</t>
  </si>
  <si>
    <t xml:space="preserve"> Gurnee inventory had a +24 adj. on 12/28/2015.</t>
  </si>
  <si>
    <t>C0272426NLC</t>
  </si>
  <si>
    <t>MEMANTINE HCL 10MG TAB 10X10</t>
  </si>
  <si>
    <t>ESI MAIL PHARMACY SERVICE</t>
  </si>
  <si>
    <t>HR0168553</t>
  </si>
  <si>
    <t>ONDANSETRON 8MG TAB 30</t>
  </si>
  <si>
    <t>FENTANYL PATCH 25MCG 5</t>
  </si>
  <si>
    <t>1048870A</t>
  </si>
  <si>
    <t>CVS INDIANA LLC</t>
  </si>
  <si>
    <t>CYCLOSPORINE 25MG CAP 30 BLISTER</t>
  </si>
  <si>
    <t>CYCLOSPORINE CAP</t>
  </si>
  <si>
    <t>Z8111240XD</t>
  </si>
  <si>
    <t>VIBERZI 100MG TAB 60</t>
  </si>
  <si>
    <t>UL-4142887</t>
  </si>
  <si>
    <t>C0271665NLC</t>
  </si>
  <si>
    <t>CRINONE 8% GEL APLTR 15X1.125G</t>
  </si>
  <si>
    <t>CRINONE</t>
  </si>
  <si>
    <t>UL-2372644</t>
  </si>
  <si>
    <t>C0269859NLC</t>
  </si>
  <si>
    <t>BETAMETH DIPROPT 0.05% OINT 45G ACT</t>
  </si>
  <si>
    <t>L507021</t>
  </si>
  <si>
    <t>SRONYX 0.10/0.02MG TAB 6X28</t>
  </si>
  <si>
    <t>SRONYX</t>
  </si>
  <si>
    <t>UL-2372633</t>
  </si>
  <si>
    <t>BUPREN/NALOX 2/0.5MG TAB 30 BL</t>
  </si>
  <si>
    <t>BUPRENORPHINE/NALOXN</t>
  </si>
  <si>
    <t>67-376</t>
  </si>
  <si>
    <t>C0272509NLC</t>
  </si>
  <si>
    <t>UL-2276158</t>
  </si>
  <si>
    <t>UL-2276065</t>
  </si>
  <si>
    <t xml:space="preserve"> Gurnee inventory had a +144 adj. on 12/28/2015.</t>
  </si>
  <si>
    <t>UL-2418057</t>
  </si>
  <si>
    <t xml:space="preserve"> Gurnee inventory is inline. No other customers claiming over at this time. All POD's on this delivdery were signed for on 12/18</t>
  </si>
  <si>
    <t>BUPREN/NALOX 8/2MG TAB 30 BL</t>
  </si>
  <si>
    <t>17E15AB</t>
  </si>
  <si>
    <t>241594CT</t>
  </si>
  <si>
    <t>2016 Summary</t>
  </si>
  <si>
    <t>M051 6902</t>
  </si>
  <si>
    <t>LEVORA 0.15/0.03MG TAB 6X28 168</t>
  </si>
  <si>
    <t>LEVORA</t>
  </si>
  <si>
    <t>INDAPAMIDE 1.25MG TAB 100</t>
  </si>
  <si>
    <t>INDAPAMIDE</t>
  </si>
  <si>
    <t>3199G151</t>
  </si>
  <si>
    <t>3549H151</t>
  </si>
  <si>
    <t>GABAPENTIN 300MG CAP 100</t>
  </si>
  <si>
    <t>2618F151</t>
  </si>
  <si>
    <t xml:space="preserve"> Gurnee inventory had a +24 adj. on 12/21/2015.</t>
  </si>
  <si>
    <t>PROGESTERONE 200MG CAP 100</t>
  </si>
  <si>
    <t>PROGESTERONE CAP</t>
  </si>
  <si>
    <t xml:space="preserve"> Gurnee inventory is inline. The POD's are all signed w/o exception. Shipping / delivered weight of carton is inline with correc</t>
  </si>
  <si>
    <t>PACLITAXEL 300MG/50ML INJ 50ML VL</t>
  </si>
  <si>
    <t>PACLITAXEL</t>
  </si>
  <si>
    <t xml:space="preserve"> 5 units reported missing from manufactuer case.</t>
  </si>
  <si>
    <t>ALBUTEROL SULFATE INH 0.083% 30X3ML 90</t>
  </si>
  <si>
    <t>N/A</t>
  </si>
  <si>
    <t>BUPROPION XL 300MG TAB 500</t>
  </si>
  <si>
    <t>CJ5D18</t>
  </si>
  <si>
    <t>C0272182NLC</t>
  </si>
  <si>
    <t>PRIMIDONE 250MG TAB 100</t>
  </si>
  <si>
    <t>PRIMIDONE</t>
  </si>
  <si>
    <t>1058018M</t>
  </si>
  <si>
    <t xml:space="preserve"> Gurnee inventory had a +48 adj. on 12/29/2015.</t>
  </si>
  <si>
    <t>1024749-805</t>
  </si>
  <si>
    <t>GALANTAMINE HYDROBROMIDE ER 24MG CAP 30</t>
  </si>
  <si>
    <t>GALANTAMINE</t>
  </si>
  <si>
    <t>914470A</t>
  </si>
  <si>
    <t>CLOBETASOL 0.05% CRM 45GM</t>
  </si>
  <si>
    <t>ZOVIA 1/35E 1/35MCG TAB 6X28</t>
  </si>
  <si>
    <t>ZOVIA</t>
  </si>
  <si>
    <t>1068857AA</t>
  </si>
  <si>
    <t xml:space="preserve"> 15 units damaged. Call tag issued to Genco for destruction.</t>
  </si>
  <si>
    <t>POTASSIUM CHLORIDE XR 10MEQ CAP 90</t>
  </si>
  <si>
    <t>985663A</t>
  </si>
  <si>
    <t xml:space="preserve"> Gurnee inventory had a +48 adj. on 12/24/2015.</t>
  </si>
  <si>
    <t>METOCLOPRAMIDE 5MG TAB 100</t>
  </si>
  <si>
    <t>METOCLOPRAMIDE HCL</t>
  </si>
  <si>
    <t>990656M</t>
  </si>
  <si>
    <t xml:space="preserve"> Customer reported case was damaged in transit and missing 1 unit on arrival.</t>
  </si>
  <si>
    <t xml:space="preserve"> This case was delivered with damage. 1 unit was reported missing from damaged case.</t>
  </si>
  <si>
    <t>ENOXAPARIN SOD 60MG/0.6ML INJ 10 x 0.6ml</t>
  </si>
  <si>
    <t>ENOXAPARIN SOD INJ</t>
  </si>
  <si>
    <t xml:space="preserve"> Several damages reported. Call tag will be issued to Genco for destruction.</t>
  </si>
  <si>
    <t>ENOXAPARIN SOD 150MG/1ML INJ 10 x 1ml</t>
  </si>
  <si>
    <t>1031739B</t>
  </si>
  <si>
    <t xml:space="preserve"> 4 units ONLY damaged. Call tag issued to Genco for destruction.</t>
  </si>
  <si>
    <t>1002354A</t>
  </si>
  <si>
    <t xml:space="preserve"> Customer reported 1 unit missing from manufactuer sealed case.</t>
  </si>
  <si>
    <t>CLONIDINE TDS 0.1MG/D PATCH 4</t>
  </si>
  <si>
    <t>CLONIDINE TDS</t>
  </si>
  <si>
    <t>1064447A</t>
  </si>
  <si>
    <t>BUDESONIDE TAB</t>
  </si>
  <si>
    <t>WA5C004</t>
  </si>
  <si>
    <t>C0272987NLC</t>
  </si>
  <si>
    <t>METOPROLOL SUCCINATE ER 50MG TAB 1000</t>
  </si>
  <si>
    <t>1075706A</t>
  </si>
  <si>
    <t xml:space="preserve"> Customer has located missing product. No issue.</t>
  </si>
  <si>
    <t>MIRTAZAPINE 30MG TAB 1000</t>
  </si>
  <si>
    <t>MIRTAZAPINE</t>
  </si>
  <si>
    <t>3637H151</t>
  </si>
  <si>
    <t xml:space="preserve"> Gurnee inventory had a +48 adj. on 1/8/2016.</t>
  </si>
  <si>
    <t>C0273421NLC</t>
  </si>
  <si>
    <t xml:space="preserve"> Products damaged returned to DC. Please create an RE so products can be destroyed.</t>
  </si>
  <si>
    <t>DICLOFENAC DR 50MG TAB 60</t>
  </si>
  <si>
    <t>DICLOFENAC SODIUM</t>
  </si>
  <si>
    <t>3641H151</t>
  </si>
  <si>
    <t xml:space="preserve"> Gurnee inventory is inline. believe shortage casued by a case size change recevieing error.  Customer had 24 on order claims mi</t>
  </si>
  <si>
    <t xml:space="preserve"> Gurnee DC never shipped this pallet in error. Please create an RE for "virtual return" so products can be restocked.</t>
  </si>
  <si>
    <t>MICROGESTIN FE 1MG/20MCG+75MG T 6X28 168</t>
  </si>
  <si>
    <t>532154A</t>
  </si>
  <si>
    <t>LUTERA 0.1MG/0.02MG TAB 6X28 168</t>
  </si>
  <si>
    <t>LUTERA</t>
  </si>
  <si>
    <t>METRONIDAZOLE 500MG TAB 500 USP</t>
  </si>
  <si>
    <t>METRONIDAZOLE</t>
  </si>
  <si>
    <t>1049998M</t>
  </si>
  <si>
    <t xml:space="preserve"> Gurnee inventory had a +6 adj. on 1/6/2016.</t>
  </si>
  <si>
    <t>3159G151</t>
  </si>
  <si>
    <t xml:space="preserve"> This case fell off the orginal pallet was found over in our DC. The case was sent out to the customer next day air on Fed Ex tr</t>
  </si>
  <si>
    <t>AMETHIA 0.15/0.03MG +0.01MG TAB 2X91</t>
  </si>
  <si>
    <t>AMETHIA</t>
  </si>
  <si>
    <t>TVBK</t>
  </si>
  <si>
    <t>CICLOPIROX 1% SHAMPOO 120ML</t>
  </si>
  <si>
    <t>CICLOPIROX SHAMPOO</t>
  </si>
  <si>
    <t>L511021</t>
  </si>
  <si>
    <t xml:space="preserve"> 10 untis damaged. Call tag issued to Genco for destruction.</t>
  </si>
  <si>
    <t>NORTRIPTYLINE HCL 50MG CAP 100</t>
  </si>
  <si>
    <t>1058016M</t>
  </si>
  <si>
    <t>VESTURA 3/0.02MG TAB 3X28</t>
  </si>
  <si>
    <t>VESTURA</t>
  </si>
  <si>
    <t xml:space="preserve"> Gurnee DC had a 168 units adj. on 1/12/2016. Please have customer reverify shortage qty.</t>
  </si>
  <si>
    <t>EO004I5</t>
  </si>
  <si>
    <t xml:space="preserve"> Bill Only completed. So# 897427 D 81645455</t>
  </si>
  <si>
    <t xml:space="preserve"> 3 units ONLY damaged. Call tag issued to Genco for destruction.</t>
  </si>
  <si>
    <t>JOLIVETTE 0.35MG TAB 6X28</t>
  </si>
  <si>
    <t>JOLIVETTE</t>
  </si>
  <si>
    <t>15HM467</t>
  </si>
  <si>
    <t>METHYLPHENIDATE HCL LA 30MG CAP 100</t>
  </si>
  <si>
    <t>METHYLPHENIDATE LA</t>
  </si>
  <si>
    <t>M040 4467</t>
  </si>
  <si>
    <t xml:space="preserve"> 4 cases damaged/refused. Carrier sent product to Genco for destruction.</t>
  </si>
  <si>
    <t>HYDROXYZINE PAMOATE 25MG CAP 100</t>
  </si>
  <si>
    <t>HYDROXYZINE PAMOATE</t>
  </si>
  <si>
    <t xml:space="preserve"> Gurnee DC had a +48 adj. on 1/12/2016.</t>
  </si>
  <si>
    <t>DUTASTERIDE 0.5MG SGL CAP 90</t>
  </si>
  <si>
    <t>DUTASTERIDE SOFTGEL</t>
  </si>
  <si>
    <t xml:space="preserve"> 27 units returned to DC due to qaulity issue.  sent email to Eduardo Perez on how to proceed. Please create an RE.</t>
  </si>
  <si>
    <t>TAMOXIFEN CITRATE 20MG TAB 30</t>
  </si>
  <si>
    <t>TAMOXIFEN CITRATE</t>
  </si>
  <si>
    <t xml:space="preserve"> Bill Only completed. So#897427 D 81645455</t>
  </si>
  <si>
    <t>5N84</t>
  </si>
  <si>
    <t xml:space="preserve"> 9 units damaged. Customer will destroy and provide LOD.</t>
  </si>
  <si>
    <t xml:space="preserve"> Customer states they were overshipped 48 units. Product returned to DC on 1/15/2016. No issue as customer was not invoiced.</t>
  </si>
  <si>
    <t xml:space="preserve"> 1 case damaged/refused. Carrier forwarded to Genco for destruction.</t>
  </si>
  <si>
    <t>903226B</t>
  </si>
  <si>
    <t xml:space="preserve"> Product was shortdated and returned to the DC. Product was damaged in transit on return due to this and the dating issue produc</t>
  </si>
  <si>
    <t>DOXYCYCLINE HYCLATE 50MG CAP 50</t>
  </si>
  <si>
    <t>DOXYCYCLINE HYCL</t>
  </si>
  <si>
    <t>ALPRAZOLAM 1MG TAB 100</t>
  </si>
  <si>
    <t>ALPRAZOLAM</t>
  </si>
  <si>
    <t>Others</t>
  </si>
  <si>
    <t xml:space="preserve"> 3 units were missing from an unmarked partial case that appeared as if it were a full case. (see details in security comments)</t>
  </si>
  <si>
    <t xml:space="preserve"> Duplicate order placed in error. Please create an RE so products can be restocked.</t>
  </si>
  <si>
    <t>CLOBETASOL 0.05% CRM 60GM</t>
  </si>
  <si>
    <t>ISOSORBIDE MONONITRATE 20MG TAB 100</t>
  </si>
  <si>
    <t>3578H151</t>
  </si>
  <si>
    <t>C0273844NLC</t>
  </si>
  <si>
    <t xml:space="preserve"> Customer refused products due to damage. Please create an RE so products can be destroyed. NOTE* 1 unit Only of NDC 00591352530</t>
  </si>
  <si>
    <t>ROPINIROLE ER 2MG TAB 30</t>
  </si>
  <si>
    <t>ROPINIROLE HCL ER</t>
  </si>
  <si>
    <t>3728J151</t>
  </si>
  <si>
    <t xml:space="preserve"> PO was suppossed to be closed and product shipped. Product returned to DC on 1/15/2016. Please create an RE so product can be r</t>
  </si>
  <si>
    <t xml:space="preserve"> 312 untis damaged. Call tag issued to Genco for destruction.</t>
  </si>
  <si>
    <t>POTASSIUM CHLORIDE XR 8MEQ CAP 100</t>
  </si>
  <si>
    <t>1021701A</t>
  </si>
  <si>
    <t xml:space="preserve"> Customer located missing product. SDR has been rejected.</t>
  </si>
  <si>
    <t>1036541B</t>
  </si>
  <si>
    <t>DICLOFENAC SOD 1.5% TOPICAL SOL 150ML</t>
  </si>
  <si>
    <t>DICLOFENAC SOD TOPSL</t>
  </si>
  <si>
    <t>ROPINIROLE ER 8MG TAB 30</t>
  </si>
  <si>
    <t>3793J151</t>
  </si>
  <si>
    <t xml:space="preserve"> 12 units ordered in error authorized return back to DC. Please create an RE so product can be restocked.</t>
  </si>
  <si>
    <t>1050015A</t>
  </si>
  <si>
    <t xml:space="preserve"> Gurnee inventory had a +48 adj. on all 3 NDC's on 1/8/2016.</t>
  </si>
  <si>
    <t>1049277M</t>
  </si>
  <si>
    <t>LISINOPRIL 40MG TAB 500</t>
  </si>
  <si>
    <t>1063990M</t>
  </si>
  <si>
    <t>FLUOROMETHOLONE 0.1% 5 ML</t>
  </si>
  <si>
    <t>APACE KY LLC</t>
  </si>
  <si>
    <t>1072301M</t>
  </si>
  <si>
    <t xml:space="preserve"> 2 units reported w/ quality defect.</t>
  </si>
  <si>
    <t>PROPRANOLOL ER 120MG CAP 100</t>
  </si>
  <si>
    <t>4063J151</t>
  </si>
  <si>
    <t xml:space="preserve"> Gurnee inventory is inline. No other customer claiming over at this time. POD is signed w/o exception.</t>
  </si>
  <si>
    <t>CVS VERO FL DISTRIBUTION LLC</t>
  </si>
  <si>
    <t>CVS-1142016</t>
  </si>
  <si>
    <t>BUTAL/APAP/CAFF 50/325/40MG TAB 100</t>
  </si>
  <si>
    <t>BUTAL/APAP/CAF</t>
  </si>
  <si>
    <t>1058152A</t>
  </si>
  <si>
    <t xml:space="preserve"> 24 units shipped in error. Product returned to DC. No issue customer was not invoiced for this.</t>
  </si>
  <si>
    <t>C0273787NLC</t>
  </si>
  <si>
    <t>FEXOFENADINE 30MG/5ML ORL SUS 4 OZ</t>
  </si>
  <si>
    <t>FEXOFENADINE</t>
  </si>
  <si>
    <t>L501091</t>
  </si>
  <si>
    <t>BUPROPION HCL ER (SR DEP) 150MG TAB 250</t>
  </si>
  <si>
    <t>BUPROPION Wellbutrin</t>
  </si>
  <si>
    <t>1073101M</t>
  </si>
  <si>
    <t xml:space="preserve"> Customer claims 24 units over. Product was returned to DC. No issue customer not invoiced.</t>
  </si>
  <si>
    <t>CARISOPRODOL 350MG TAB 500</t>
  </si>
  <si>
    <t>1051490M</t>
  </si>
  <si>
    <t xml:space="preserve"> Customer reported 1 unit short from manufactuer sealed case.</t>
  </si>
  <si>
    <t>1045600M</t>
  </si>
  <si>
    <t>GLIPIZIDE ER 2.5MG TAB 30</t>
  </si>
  <si>
    <t xml:space="preserve"> Bill Only completed. So# 905069 D 81664491</t>
  </si>
  <si>
    <t>1036304-4</t>
  </si>
  <si>
    <t>TAMSULOSIN HCL 0.4MG 500 CAP</t>
  </si>
  <si>
    <t>TAMSULOSIN HCL</t>
  </si>
  <si>
    <t>1502063A</t>
  </si>
  <si>
    <t>POTASSIUM CHLORIDE XR 10MEQ CAP 100</t>
  </si>
  <si>
    <t>1048273M</t>
  </si>
  <si>
    <t>Rejected</t>
  </si>
  <si>
    <t>Reject SDR</t>
  </si>
  <si>
    <t xml:space="preserve"> Duplicate SDR  of SDR 10020451.</t>
  </si>
  <si>
    <t>5N85</t>
  </si>
  <si>
    <t xml:space="preserve"> Gurnee inventory is inline. No other customers claiming over at this time. POD's signed for w/o exception.</t>
  </si>
  <si>
    <t>DICYCLOMINE HCL 10MG CAP 100</t>
  </si>
  <si>
    <t>DICYCLOMINE HCL</t>
  </si>
  <si>
    <t xml:space="preserve"> Gurnee inventory had a +48 adj. on 1/25/2016.</t>
  </si>
  <si>
    <t>TAMSULOSIN HCL 0.4MG 100 CAP</t>
  </si>
  <si>
    <t>WA5D003</t>
  </si>
  <si>
    <t xml:space="preserve"> Customer reported 4 units ONLY missing from manufacter sealed case.</t>
  </si>
  <si>
    <t>EN079J5</t>
  </si>
  <si>
    <t>TERCONAZOLE CREAM 0.8% 20 GM</t>
  </si>
  <si>
    <t>TERCONAZOLE</t>
  </si>
  <si>
    <t>15BM313</t>
  </si>
  <si>
    <t>NECON 1/50 1+50MCG TAB 3x28</t>
  </si>
  <si>
    <t>TZZB</t>
  </si>
  <si>
    <t>C0273765NLC</t>
  </si>
  <si>
    <t xml:space="preserve"> 64 units damaged. Call tag issued to Genco for destruction.</t>
  </si>
  <si>
    <t>C0274346NLC</t>
  </si>
  <si>
    <t xml:space="preserve"> Customer authorized to return due to dating. Please create an RE so product can be restocked.</t>
  </si>
  <si>
    <t>TXDY</t>
  </si>
  <si>
    <t xml:space="preserve"> Gurnee inventory is inline. I believe this is a recieveing issue as customers notes state 1 case over then claim 72 units over.</t>
  </si>
  <si>
    <t>PROPYLTHIOURACIL 50MGTAB 100</t>
  </si>
  <si>
    <t>PROPYLTHIOURACIL</t>
  </si>
  <si>
    <t>2676F151</t>
  </si>
  <si>
    <t>LEENA .5;1;.5/.035MG TAB 6X28</t>
  </si>
  <si>
    <t>LEENA</t>
  </si>
  <si>
    <t>VFHC</t>
  </si>
  <si>
    <t>CLOBETASOL 0.05% CRM 15GM</t>
  </si>
  <si>
    <t>CLONIDINE TDS 0.2MG/D PATCH 4</t>
  </si>
  <si>
    <t>1055537A</t>
  </si>
  <si>
    <t xml:space="preserve"> Customer claims received overage. 72 units ONLY were returned back to DC from customer. No issue as customer states not invoice</t>
  </si>
  <si>
    <t>C0274370NLC</t>
  </si>
  <si>
    <t>HYDROCORTISONE 1% OTC OINT 1 OZ ACT</t>
  </si>
  <si>
    <t>HYDROCORTISONE (OTC)</t>
  </si>
  <si>
    <t>L508072</t>
  </si>
  <si>
    <t>DRONABINOL 2.5MG CAP 60</t>
  </si>
  <si>
    <t>DRONABINOL</t>
  </si>
  <si>
    <t>3N</t>
  </si>
  <si>
    <t>468287G</t>
  </si>
  <si>
    <t xml:space="preserve"> Gurnee inventory is inline. No other customers claiming over at this time. POD is signed for w/o exception.</t>
  </si>
  <si>
    <t>2619F151</t>
  </si>
  <si>
    <t xml:space="preserve"> Product returned due to dating. Product has 11/16 exp. will be placed into US8A HOLD. Please create an RE.</t>
  </si>
  <si>
    <t>C0274423NLC</t>
  </si>
  <si>
    <t>KETOROLAC TROMETHAMINE 0.4% 5 ML</t>
  </si>
  <si>
    <t>KETOROLAC TROMETHAMN</t>
  </si>
  <si>
    <t>C0273862NLC</t>
  </si>
  <si>
    <t>VERAPAMIL HCL 80MG TAB 500</t>
  </si>
  <si>
    <t>VERAPAMIL</t>
  </si>
  <si>
    <t>1051827A</t>
  </si>
  <si>
    <t xml:space="preserve"> Shortage claim due to case size change. No issue. Gurnee inventory is inline. This NDC and lot had a case size of 48 per case b</t>
  </si>
  <si>
    <t>NYSTATIN 100K UNT CRM 30G ACT</t>
  </si>
  <si>
    <t>NYSTATIN</t>
  </si>
  <si>
    <t>PODOFILOX TOP 0.5% SOLN 3.5ML 3.5</t>
  </si>
  <si>
    <t>PODOFILOX</t>
  </si>
  <si>
    <t>HHEN</t>
  </si>
  <si>
    <t>ALENDRONATE SODIUM 35MG TAB 4UD</t>
  </si>
  <si>
    <t>84338A</t>
  </si>
  <si>
    <t>ES072I5</t>
  </si>
  <si>
    <t xml:space="preserve"> 110 units damaged. Call tag will be issued to Genco for destruction.</t>
  </si>
  <si>
    <t>EN080J5</t>
  </si>
  <si>
    <t xml:space="preserve"> 1 unit damaged. Customer will destroy. LOD attached.</t>
  </si>
  <si>
    <t>VD116183</t>
  </si>
  <si>
    <t>WA5E001</t>
  </si>
  <si>
    <t xml:space="preserve"> 4 units ONLY damaged. Call tag will be issued to Genco for destruction.</t>
  </si>
  <si>
    <t>C0273384NLC</t>
  </si>
  <si>
    <t>KADIAN ER 40MG CAP 60</t>
  </si>
  <si>
    <t>KADIAN MORPHINE</t>
  </si>
  <si>
    <t>2678F151</t>
  </si>
  <si>
    <t>1 Tampered</t>
  </si>
  <si>
    <t xml:space="preserve"> 6 units reported short. Tampering investagation is ongoing.</t>
  </si>
  <si>
    <t>PROPAFENONE HCL 150MG TAB 100</t>
  </si>
  <si>
    <t>PROPAFENONE</t>
  </si>
  <si>
    <t>1049494A</t>
  </si>
  <si>
    <t xml:space="preserve"> Gurnee inventory is inline. Shortage claim due to case size change. This NDC went from 24 per case to 48 per case on 1/7/2016.</t>
  </si>
  <si>
    <t>ENULOSE/LACTULOSE 10G/15ML SOL 16 OZ</t>
  </si>
  <si>
    <t>LACTULOSE</t>
  </si>
  <si>
    <t xml:space="preserve"> Gurnee inventory had a +36 adj. on 1/27/2016.</t>
  </si>
  <si>
    <t>PREDNISONE 20MG TAB 100</t>
  </si>
  <si>
    <t>PREDNISONE</t>
  </si>
  <si>
    <t xml:space="preserve"> Bill Only completed SO# 905015 D 81664485.</t>
  </si>
  <si>
    <t>PROPAFENONE HCL 225MG TAB 100</t>
  </si>
  <si>
    <t>305306A</t>
  </si>
  <si>
    <t xml:space="preserve"> Gurnee inventory had a +1 adj. on 12/3/2015.</t>
  </si>
  <si>
    <t xml:space="preserve"> 104 units damaged. Call tag issued to Genco for destruction.</t>
  </si>
  <si>
    <t>1037183-6</t>
  </si>
  <si>
    <t>POTASSIUM CHLORIDE ER 20MEQ TAB 500</t>
  </si>
  <si>
    <t xml:space="preserve"> 1 units damaged. Customer will destroy. LOD attached.</t>
  </si>
  <si>
    <t>HYDROCORTISONE 1% OTC CR 1 OZ ACT</t>
  </si>
  <si>
    <t xml:space="preserve"> Gurnee inventory had a +96 adj. on 1/20/2016.</t>
  </si>
  <si>
    <t>CK5D09</t>
  </si>
  <si>
    <t xml:space="preserve"> Gurnee inventory had a +312 adj. on 2/1/2016.</t>
  </si>
  <si>
    <t>15LM553</t>
  </si>
  <si>
    <t>DOXYCYCLINE HYCL CAP</t>
  </si>
  <si>
    <t>1038571M</t>
  </si>
  <si>
    <t xml:space="preserve"> Gurnee inventory had a +48 adj. on 1/20/2016.</t>
  </si>
  <si>
    <t>1068739M</t>
  </si>
  <si>
    <t xml:space="preserve"> Shortage is a result of a case size change this NDC and Lot should have had 312 units in it rather then the previous case size</t>
  </si>
  <si>
    <t>C0274991NLC</t>
  </si>
  <si>
    <t xml:space="preserve"> Products returned to DC due to damage. Please create an RE so products can be restocked/destroyed.</t>
  </si>
  <si>
    <t xml:space="preserve"> Bill Only completed. SO#902686 D 81658726</t>
  </si>
  <si>
    <t>AZURETTE 0.15/0.02+0.01MG TAB 6X28 168</t>
  </si>
  <si>
    <t>AZURETTE</t>
  </si>
  <si>
    <t xml:space="preserve"> Gurnee inventory had a +72 adj. on 1/12/2016.</t>
  </si>
  <si>
    <t>POLYMYXIN B SULFATE/TRIMETHOPRIM 10 ML</t>
  </si>
  <si>
    <t>POLYMYXIN B/TRIMTHRM</t>
  </si>
  <si>
    <t xml:space="preserve"> Customer Claims received 1 case over in error. Product was returned to DC. No issue customer not invoiced.</t>
  </si>
  <si>
    <t>GABAPENTIN CAP</t>
  </si>
  <si>
    <t>2742F151</t>
  </si>
  <si>
    <t>GABAPENTIN 300MG CAP 500</t>
  </si>
  <si>
    <t>BETAMETH VALERAT CR</t>
  </si>
  <si>
    <t>PREFERRED MEDSURG INC</t>
  </si>
  <si>
    <t>PROPOFOL EMULSION 10MG/ML 20X50ML VL</t>
  </si>
  <si>
    <t>PROPOFOL EMULS INJ</t>
  </si>
  <si>
    <t>15B014</t>
  </si>
  <si>
    <t>PROPOFOL EMULSION 10MG/ML 10X100ML VL</t>
  </si>
  <si>
    <t>15C136</t>
  </si>
  <si>
    <t>METFORMIN HCL XR 500MG TAB 100</t>
  </si>
  <si>
    <t>1010376A</t>
  </si>
  <si>
    <t xml:space="preserve"> Gurnee inventory had a +46 adj. on 1/15/2016 &lt;(&gt;&amp;&lt;)&gt; aa +48 adj. on 2/2/2016.</t>
  </si>
  <si>
    <t>EPIRUBICIN HCL INJ 50MG/25ML 1X25ML VIAL</t>
  </si>
  <si>
    <t>EPIRUBICIN HCL INJ</t>
  </si>
  <si>
    <t>AL14011B</t>
  </si>
  <si>
    <t xml:space="preserve"> due to tempature controlled product arriving late product will be sent to Genco for destruction.</t>
  </si>
  <si>
    <t xml:space="preserve"> Gurnee inventory had a +144 adj. on 1/12/2016.</t>
  </si>
  <si>
    <t>EU051J5</t>
  </si>
  <si>
    <t>METOPROLOL TARTRATE 50MG TAB 100</t>
  </si>
  <si>
    <t>METOPROLOL</t>
  </si>
  <si>
    <t>1084031A</t>
  </si>
  <si>
    <t xml:space="preserve"> Shortage claim caused by case size change. Customer notes state short 1 case of 24 however, this NDC had a case size change on</t>
  </si>
  <si>
    <t>DICLOFENAC DR 75MG TAB 1000</t>
  </si>
  <si>
    <t xml:space="preserve"> Gurnee inventory had a +6 adj. on 12/16/20015.</t>
  </si>
  <si>
    <t xml:space="preserve"> Gurnee inventory is inline. No other customers claiming over at this time. All POD's signed for w/o exception.</t>
  </si>
  <si>
    <t>1051751A</t>
  </si>
  <si>
    <t xml:space="preserve"> 1 unit reproted missing from manufactuer sealed case.</t>
  </si>
  <si>
    <t>HYDRO/ACETIC ACID 1%/2% SOL 10ML</t>
  </si>
  <si>
    <t>HYDRO/ACETIC ACID</t>
  </si>
  <si>
    <t>L510062</t>
  </si>
  <si>
    <t>IBANDRONATE SODIUM 150MG TAB 3</t>
  </si>
  <si>
    <t>IBANDRONATE SOD</t>
  </si>
  <si>
    <t>03810AB</t>
  </si>
  <si>
    <t>FLUOCINONIDE 0.05% CR 60GM</t>
  </si>
  <si>
    <t>FLUOCINONIDE CR</t>
  </si>
  <si>
    <t>EO006K5</t>
  </si>
  <si>
    <t>NYSTATIN/TRIAM CR 100K UNT/0.1% 30GM</t>
  </si>
  <si>
    <t>TPBN</t>
  </si>
  <si>
    <t>C0274926NLC</t>
  </si>
  <si>
    <t>C0271623NLC</t>
  </si>
  <si>
    <t>SOD FERRIC GLUC 62.5MG INJ 10X5ML10NOVA+</t>
  </si>
  <si>
    <t>SOD FERRIC GLUC INJ</t>
  </si>
  <si>
    <t>1032879A</t>
  </si>
  <si>
    <t>C0275582NLC</t>
  </si>
  <si>
    <t>VERAPAMIL HCL SR PELLET 360MG CAP 100</t>
  </si>
  <si>
    <t>VERAPAMIL SR</t>
  </si>
  <si>
    <t xml:space="preserve"> Gurnee DC left behind 480 units from delivery in error. Please create an RE for virtual return so customer can recevie credit f</t>
  </si>
  <si>
    <t>OGESTREL 0.5/0.05MG TAB 3X28 84</t>
  </si>
  <si>
    <t>OGESTREL</t>
  </si>
  <si>
    <t>VDXF</t>
  </si>
  <si>
    <t>TPBY</t>
  </si>
  <si>
    <t>3275H151</t>
  </si>
  <si>
    <t xml:space="preserve"> Gurnee inventory had a +24adj. on 2/5/2016.</t>
  </si>
  <si>
    <t xml:space="preserve"> Gurnee inventory had a +2 adj. on 1/25/2016.</t>
  </si>
  <si>
    <t>O192775-01</t>
  </si>
  <si>
    <t>BUTAL/APAP/CAF/COD 50/300/40/30MG CAP100</t>
  </si>
  <si>
    <t>BUTAL/APAP/CAF/CD LO</t>
  </si>
  <si>
    <t xml:space="preserve"> Customer reported this NDC over then returned to the DC 12 units of NDC 00228308706.They realized they had made an error and di</t>
  </si>
  <si>
    <t>C0275522NLC</t>
  </si>
  <si>
    <t>C0275498NLC</t>
  </si>
  <si>
    <t>SOD FERRIC GLUC 62.5MG INJ 10X5 ML 10 VL</t>
  </si>
  <si>
    <t>WATPA12716M</t>
  </si>
  <si>
    <t>LOVASTATIN 10MG TAB 500</t>
  </si>
  <si>
    <t>LOVASTATIN</t>
  </si>
  <si>
    <t>3358H151</t>
  </si>
  <si>
    <t xml:space="preserve"> 10 units damaged. Call tag issued to Genco for destruction.</t>
  </si>
  <si>
    <t xml:space="preserve"> upon delivery pallet was damaged 1 unit was found to be missing lost in transit.</t>
  </si>
  <si>
    <t xml:space="preserve"> Delivery refused due to damage. Please create an RE so products can be restocked/destroyed.</t>
  </si>
  <si>
    <t>IPRATROPIUM BROMIDE 0.02% 30X2.5ML 75</t>
  </si>
  <si>
    <t>5M11</t>
  </si>
  <si>
    <t>LOW-OGESTREL 0.3/0.03MG 6x28 TAB 168</t>
  </si>
  <si>
    <t>LOW-OGESTREL</t>
  </si>
  <si>
    <t>TZYY</t>
  </si>
  <si>
    <t>CLOTRIMAZOLE/BMD 1%/0.05% CR 15G ACT</t>
  </si>
  <si>
    <t>CLOTRIMAZOLE/BMD</t>
  </si>
  <si>
    <t>L507059</t>
  </si>
  <si>
    <t xml:space="preserve"> Customer reported these products damaged with 1 unit of ea missing from damaged cases. Lost in transit by carrier.</t>
  </si>
  <si>
    <t>METRONIDAZOLE 500MG TAB 50 USP</t>
  </si>
  <si>
    <t>1058001M</t>
  </si>
  <si>
    <t xml:space="preserve"> HU 10305912003181011 Meant for Smith Drug Spartanburg SC was mis-routed in error. (SDR 10020668) Customer returned this product</t>
  </si>
  <si>
    <t>FENTANYL PATCH 100MCG 5</t>
  </si>
  <si>
    <t>1064027M</t>
  </si>
  <si>
    <t xml:space="preserve"> Gurnee iveventory had a +48 adj. on 1/11/2016.</t>
  </si>
  <si>
    <t>5M09</t>
  </si>
  <si>
    <t>BACITRACIN ZINC OINT 1 OZ ACT</t>
  </si>
  <si>
    <t>BACITRACIN ZINC</t>
  </si>
  <si>
    <t xml:space="preserve"> Duplicate SDR of 10020619. Please reject.</t>
  </si>
  <si>
    <t>CONSTULOSE/LACTULOSE SOL 10G/15ML 32 OZ</t>
  </si>
  <si>
    <t>1060536M</t>
  </si>
  <si>
    <t xml:space="preserve"> Gurnee inventory is inline. Shortage claim is result of case size change. on 12/28/2015 NDC went from 6 per case to 12. Custome</t>
  </si>
  <si>
    <t>BUPROPION HCL ER (SR DEP) 100MG TAB 60</t>
  </si>
  <si>
    <t>1075334M</t>
  </si>
  <si>
    <t>BUDESONIDE INH</t>
  </si>
  <si>
    <t xml:space="preserve"> Gurnee inventory had a +144 adj. on 1/25/2016.</t>
  </si>
  <si>
    <t>CLOBETASOL PROP CR</t>
  </si>
  <si>
    <t xml:space="preserve"> Authorized return Customer wanted better dating. Please create an RE so product can be restocked.</t>
  </si>
  <si>
    <t xml:space="preserve"> Customer wanted better dating. Please create an RE so product can be restocked.</t>
  </si>
  <si>
    <t>1083183M</t>
  </si>
  <si>
    <t>O193792-01</t>
  </si>
  <si>
    <t>BETAMETHASONE DIP CR</t>
  </si>
  <si>
    <t>L509035</t>
  </si>
  <si>
    <t xml:space="preserve"> No issue case size change. Customer ordered in cases. This delivery was for 10 cases. His system was set up for 72 per case how</t>
  </si>
  <si>
    <t>VERAPAMIL HCL 40MG TAB 100</t>
  </si>
  <si>
    <t>1058670A</t>
  </si>
  <si>
    <t>FLUOCINONIDE 0.05% TOP SOL 60ML</t>
  </si>
  <si>
    <t>FLUOCINONIDE SOL</t>
  </si>
  <si>
    <t>TAZTIA XT 360MG CAP 30</t>
  </si>
  <si>
    <t>TAZTIA XT</t>
  </si>
  <si>
    <t>1075702A</t>
  </si>
  <si>
    <t xml:space="preserve"> Bill Only completed. SO# 905065 D 81664581</t>
  </si>
  <si>
    <t>METOPROLOL SUCCINATE ER 25MG TAB 100</t>
  </si>
  <si>
    <t>1075707M</t>
  </si>
  <si>
    <t>AMPHETAMINE COMBO 5MG TAB 100</t>
  </si>
  <si>
    <t>MIXED AMPHETAMINE</t>
  </si>
  <si>
    <t xml:space="preserve"> Customer reported 1 units missing from manufacter sealed case. Info forwarded to Quality.</t>
  </si>
  <si>
    <t>15MM560</t>
  </si>
  <si>
    <t xml:space="preserve"> 4 units damaged.Call tag issued to Genco for destruction.</t>
  </si>
  <si>
    <t xml:space="preserve"> Customer reported missing 1 unit from manufacter sealed case.</t>
  </si>
  <si>
    <t>MORPHINE SULFATE ER 100MG TAB 100</t>
  </si>
  <si>
    <t>MORPHINE ER MSCONTIN</t>
  </si>
  <si>
    <t xml:space="preserve"> an extra case not ordered went out in error. Product was returned to DC on 2/12/2016. No issue customer was not invoiced.</t>
  </si>
  <si>
    <t>CVS CAREMARK</t>
  </si>
  <si>
    <t>MIXED AMPHETAMINE SALTS ER 5MG CAP 100</t>
  </si>
  <si>
    <t>MIXED AMPHETAMINE ER</t>
  </si>
  <si>
    <t>3060G151</t>
  </si>
  <si>
    <t xml:space="preserve"> incorrect PO was entered on delivery. Customer excepted a manual update correction to the PO and products will not be returned.</t>
  </si>
  <si>
    <t>METHYLPHENIDATE HCL ER 54MG TAB 100</t>
  </si>
  <si>
    <t>METHYLPHENIDATE AG</t>
  </si>
  <si>
    <t>15NG975</t>
  </si>
  <si>
    <t xml:space="preserve"> 12 units of 591267930 lidocaine shortdated and 2 units of 591081046 damaged. Call tag issued to Genco for destruction.</t>
  </si>
  <si>
    <t>SILVER SULFADIAZINE CREAM 1%JAR 400GM</t>
  </si>
  <si>
    <t>SILVER SULFADIAZINE</t>
  </si>
  <si>
    <t>L400752</t>
  </si>
  <si>
    <t>GATIFLOXACIN 0.5% OPH SOL 2.5ML</t>
  </si>
  <si>
    <t>GATIFLOXACIN</t>
  </si>
  <si>
    <t>MICROGESTIN 1.5MG/30MCG TAB 6X21 126</t>
  </si>
  <si>
    <t>MICROGESTIN</t>
  </si>
  <si>
    <t>529914A</t>
  </si>
  <si>
    <t>532155A</t>
  </si>
  <si>
    <t>VALSARTAN 320MG TAB 90</t>
  </si>
  <si>
    <t>VALSARTAN</t>
  </si>
  <si>
    <t xml:space="preserve"> Bill Only completed. SO#903249 D 81659974</t>
  </si>
  <si>
    <t xml:space="preserve"> Gurnee DC has conformed the shortage of 225 units of NDC 6203786220 Please create an RE so product can be restocked and custome</t>
  </si>
  <si>
    <t>DESONIDE CR</t>
  </si>
  <si>
    <t>HGCU</t>
  </si>
  <si>
    <t>RAMIPRIL 2.5MG CAP 100</t>
  </si>
  <si>
    <t>RAMIPRIL Capsules</t>
  </si>
  <si>
    <t>1042768M</t>
  </si>
  <si>
    <t xml:space="preserve"> Gurnee inventory had a +35 adj. on 2/15/2016.</t>
  </si>
  <si>
    <t>C0276193NLC</t>
  </si>
  <si>
    <t xml:space="preserve"> products refused and returned to DC on 2/15. Please create an RE so products can be restocked/destroyed.</t>
  </si>
  <si>
    <t>5S95</t>
  </si>
  <si>
    <t>DOXYCYCLINE HYCLATE 100MG CAP 500</t>
  </si>
  <si>
    <t>5NB2</t>
  </si>
  <si>
    <t>LABETALOL HCL 200MG TAB 100</t>
  </si>
  <si>
    <t>LABETALOL</t>
  </si>
  <si>
    <t>1091636M</t>
  </si>
  <si>
    <t>534247A</t>
  </si>
  <si>
    <t>1077495M</t>
  </si>
  <si>
    <t xml:space="preserve"> Customer claimed 5 cases over. Call tag was issued to Genco for destruction. No issue customer claims overage not invoiced.</t>
  </si>
  <si>
    <t>NYSTATIN CR</t>
  </si>
  <si>
    <t>L504108</t>
  </si>
  <si>
    <t>BUPRENORPHINE SL 8MG TAB 30</t>
  </si>
  <si>
    <t>2563F151</t>
  </si>
  <si>
    <t xml:space="preserve"> Gurnee inventory is inline. Carrier Loss Investegation is ongoing.</t>
  </si>
  <si>
    <t>5CU5091</t>
  </si>
  <si>
    <t xml:space="preserve"> 100 units damaged. Call tag issued to Genco for destruction.</t>
  </si>
  <si>
    <t>SPIRONOLACTONE 50MG TAB 100</t>
  </si>
  <si>
    <t>0002A151</t>
  </si>
  <si>
    <t xml:space="preserve"> Gurnee inventory is inline. Both POD's on this delivery signed for w/o exception.</t>
  </si>
  <si>
    <t>ZENCHENT 0.4/0.035MG 6X28 TAB 168</t>
  </si>
  <si>
    <t>ZENCHENT</t>
  </si>
  <si>
    <t>1005560AA</t>
  </si>
  <si>
    <t>L511024</t>
  </si>
  <si>
    <t>C0608900NJB</t>
  </si>
  <si>
    <t>LIDOCAINE HCL 2% JELLY 30ML</t>
  </si>
  <si>
    <t>5H70A</t>
  </si>
  <si>
    <t xml:space="preserve"> Gurnee inventory is inline. No other customersclaiming over at this time. POD is signed w/o exception.</t>
  </si>
  <si>
    <t>C0276101NLC</t>
  </si>
  <si>
    <t>PACLITAXEL INJ</t>
  </si>
  <si>
    <t>58J5271</t>
  </si>
  <si>
    <t>O203566-05</t>
  </si>
  <si>
    <t>3276H151</t>
  </si>
  <si>
    <t xml:space="preserve"> Gurnee inventory had a +24 adj. on 2/12/2016 for Lot: 3275H151. Believe this shortage may have occured on PO 279553. rather tha</t>
  </si>
  <si>
    <t>15GM420</t>
  </si>
  <si>
    <t>DOXORUBICIN HCL 200MG/100ML INJ 100ML VL</t>
  </si>
  <si>
    <t>DOXORUBICIN HCL INJ</t>
  </si>
  <si>
    <t>DR15002A</t>
  </si>
  <si>
    <t>ENOXAPARIN SOD120MG/0.8ML INJ 10 x 0.8ML</t>
  </si>
  <si>
    <t>ET050I5</t>
  </si>
  <si>
    <t>C0276125NLC</t>
  </si>
  <si>
    <t>L503005</t>
  </si>
  <si>
    <t xml:space="preserve"> 6 units ONLY damaged. Call tag issued to Genco for destruction.</t>
  </si>
  <si>
    <t>WA5G001</t>
  </si>
  <si>
    <t xml:space="preserve"> 4 units ONLY damaged. Customer will destroy product and send LOD.</t>
  </si>
  <si>
    <t>METFORMIN HCL ER 500MG TAB 60</t>
  </si>
  <si>
    <t>1064325A</t>
  </si>
  <si>
    <t xml:space="preserve"> 1 unit reported with cotton hanging outside of the bottle. Info forwarded to QA. Call tag issued for destruction.</t>
  </si>
  <si>
    <t xml:space="preserve"> Gurnee inventory had a +12 adj. on 12/29/2015.</t>
  </si>
  <si>
    <t>ROPINIROLE ER 6MG TAB 30</t>
  </si>
  <si>
    <t>3713J151</t>
  </si>
  <si>
    <t xml:space="preserve"> Gurnee inventory had a +12 adj. on 2/4/2016.</t>
  </si>
  <si>
    <t>CIPROFLOXACIN 500MG TAB 100</t>
  </si>
  <si>
    <t>CIPROFLOXACIN</t>
  </si>
  <si>
    <t>1075893M</t>
  </si>
  <si>
    <t xml:space="preserve"> Gurnee inventory had a +48 adj. on 2/12/2016.</t>
  </si>
  <si>
    <t xml:space="preserve"> Customer reported 2 bottles missing label. Info forwarded to QA.</t>
  </si>
  <si>
    <t>SULFASALAZINE 500MG TAB 100</t>
  </si>
  <si>
    <t>SULFASALAZINE</t>
  </si>
  <si>
    <t>GUANFACINE HCL 2MG TAB 100</t>
  </si>
  <si>
    <t>1049996A</t>
  </si>
  <si>
    <t xml:space="preserve"> 591045301 Gurnee inventory had a + 48 adj. on 2/19/2016 591350904 Gurnee inventory had a + 48 adj. on 2/16/2016 228285011 Gurne</t>
  </si>
  <si>
    <t>CYCLOBENZAPRINE HCL 10MG TAB 1000</t>
  </si>
  <si>
    <t>CYCLOBENZAPRINE</t>
  </si>
  <si>
    <t>C0276768NLC</t>
  </si>
  <si>
    <t xml:space="preserve"> Pallet refused due to damage. NDC's 00591381730 &lt;(&gt;&amp;&lt;)&gt; 00591381760 are also now inactive NDC's Please create an RE so products</t>
  </si>
  <si>
    <t xml:space="preserve"> DC received damaged 48 units returned by customer. Please create an RE so product can be destroyed.</t>
  </si>
  <si>
    <t>CLOTRIMAZOLE/BMD 1%/0.05% CR 45G ACT</t>
  </si>
  <si>
    <t>L502028</t>
  </si>
  <si>
    <t xml:space="preserve"> 24 units damaged Call tag issued to Genco for destruction.</t>
  </si>
  <si>
    <t>URSODIOL 300MG CAP 100</t>
  </si>
  <si>
    <t>URSODIOL CAP</t>
  </si>
  <si>
    <t>1067704M</t>
  </si>
  <si>
    <t xml:space="preserve"> Gurnee inventory had a +2 adj. on 2/5/2016.</t>
  </si>
  <si>
    <t xml:space="preserve"> Gurnee inventory had a +48 adj. on 2/16/2016.</t>
  </si>
  <si>
    <t>ALBUTEROL SULF SOL</t>
  </si>
  <si>
    <t>GA51553</t>
  </si>
  <si>
    <t>HHBZ</t>
  </si>
  <si>
    <t>WATPA20816M</t>
  </si>
  <si>
    <t>5M10</t>
  </si>
  <si>
    <t xml:space="preserve"> 96 uits damaged. Call tag will be issued to Genco for destruction.</t>
  </si>
  <si>
    <t>TILIA FE</t>
  </si>
  <si>
    <t>CLONIDINE TDS 0.3MG/D PATCH 4</t>
  </si>
  <si>
    <t>1068246A</t>
  </si>
  <si>
    <t xml:space="preserve"> 27 units damaged. Call tag will be issued to Genco for destruction.</t>
  </si>
  <si>
    <t>MIRTAZAPINE 30MG ORAL DIS TAB 30 BLISTE</t>
  </si>
  <si>
    <t>MIRTAZAPINE ODT</t>
  </si>
  <si>
    <t>1024680A</t>
  </si>
  <si>
    <t>NECON 7/7/7 0.5;0.75;1+0.035MG TB 6X28</t>
  </si>
  <si>
    <t>NECON 777</t>
  </si>
  <si>
    <t>15HM466</t>
  </si>
  <si>
    <t>BUPROPION HCL ER (SR DEP) 200MG TAB 60</t>
  </si>
  <si>
    <t xml:space="preserve"> Gurnee inventory had a +1 adj. on 1/26/2016.</t>
  </si>
  <si>
    <t>15MG933</t>
  </si>
  <si>
    <t xml:space="preserve"> Customer reported in unit missing from Sealed case.</t>
  </si>
  <si>
    <t>EP056J5</t>
  </si>
  <si>
    <t xml:space="preserve"> Bill Only completed. So# 905830 D 81666709</t>
  </si>
  <si>
    <t>MINOXIDIL 5% TSOL MN 2X60ML ACTA</t>
  </si>
  <si>
    <t>MINOXIDIL TOPICL SOL</t>
  </si>
  <si>
    <t>CLINDAMYCIN SOLN 1% 60ML</t>
  </si>
  <si>
    <t>CLINDAMYCIN SOL</t>
  </si>
  <si>
    <t>CLOBETASOL PROPIONATE 0.05% SPRY 2OZ</t>
  </si>
  <si>
    <t>126654-2A</t>
  </si>
  <si>
    <t>1081123M</t>
  </si>
  <si>
    <t>PERMETHRIN 5% CRM 60G ACT</t>
  </si>
  <si>
    <t>PERMETHRIN CREAM</t>
  </si>
  <si>
    <t>L508030</t>
  </si>
  <si>
    <t xml:space="preserve"> Carrier lost this pallet in transit. Pallet was fianlly located and returned to Gurnee DC on 2/29/2016. Please create an RE so</t>
  </si>
  <si>
    <t>ESTRADIOL 2MG TAB 100</t>
  </si>
  <si>
    <t>1043337A</t>
  </si>
  <si>
    <t>LANSOPRAZOLE DR 30MG CAP 100</t>
  </si>
  <si>
    <t>LANSOPRAZOLE</t>
  </si>
  <si>
    <t>POTASSIUM CHLORIDE ER 20MEQ TAB 1000</t>
  </si>
  <si>
    <t>MATZIM LA 180MG TAB 90</t>
  </si>
  <si>
    <t>MATZIM LA</t>
  </si>
  <si>
    <t>1066090A</t>
  </si>
  <si>
    <t>NORTRIPTYLINE HCL 10MG CAP 500</t>
  </si>
  <si>
    <t>1058010M</t>
  </si>
  <si>
    <t>TRIHEXYPHENIDYL HCL 5MG TAB 100</t>
  </si>
  <si>
    <t>TRIHEXYPHENIDYL</t>
  </si>
  <si>
    <t>1058635M</t>
  </si>
  <si>
    <t>LABETALOL HCL 100MG TAB 100</t>
  </si>
  <si>
    <t>1087046M</t>
  </si>
  <si>
    <t>SPIRONOLACTONE 25MG TAB 100</t>
  </si>
  <si>
    <t>0751B151</t>
  </si>
  <si>
    <t>1056165AA</t>
  </si>
  <si>
    <t>DICLOFENAC DR 75MG TAB 100</t>
  </si>
  <si>
    <t>3682J151</t>
  </si>
  <si>
    <t>1067499A</t>
  </si>
  <si>
    <t>1073350M</t>
  </si>
  <si>
    <t>ESTRADIOL 1MG TAB 100</t>
  </si>
  <si>
    <t>1051799A</t>
  </si>
  <si>
    <t>ATENOLOL/CHLOR 100/25MG TAB 100</t>
  </si>
  <si>
    <t>1013054M</t>
  </si>
  <si>
    <t>SILVER SULFADIAZINE CREAM 1%JAR 50GM</t>
  </si>
  <si>
    <t>L400734</t>
  </si>
  <si>
    <t>LEVOBUNOLOL HCL 0.5% 10 ML</t>
  </si>
  <si>
    <t>LEVOBUNOLOL HCL OPTH</t>
  </si>
  <si>
    <t>5F43</t>
  </si>
  <si>
    <t>1058640A</t>
  </si>
  <si>
    <t>5N96</t>
  </si>
  <si>
    <t>TROSPIUM CHL ER 60MG CAP 30</t>
  </si>
  <si>
    <t>TROSPIUM CHLORIDE ER</t>
  </si>
  <si>
    <t>1056038M</t>
  </si>
  <si>
    <t>CARBI/LEVO 25/100MG TAB 500</t>
  </si>
  <si>
    <t>3001G151</t>
  </si>
  <si>
    <t>PROMETHAZINE HCL 25MG TAB 100</t>
  </si>
  <si>
    <t>PROMETHAZINE</t>
  </si>
  <si>
    <t>1058022M</t>
  </si>
  <si>
    <t>5M28</t>
  </si>
  <si>
    <t>SULINDAC 150MG TAB 100</t>
  </si>
  <si>
    <t>SULINDAC</t>
  </si>
  <si>
    <t>1050039M</t>
  </si>
  <si>
    <t>GA51264</t>
  </si>
  <si>
    <t>3575H152</t>
  </si>
  <si>
    <t>SULFASALAZINE 500MG TAB 500</t>
  </si>
  <si>
    <t>PIOGLITAZONE HCL 30MG TAB 30</t>
  </si>
  <si>
    <t>PIOGLITAZONE HCL</t>
  </si>
  <si>
    <t>GC50127</t>
  </si>
  <si>
    <t>SILVER SULFADIAZINE CREAM 1% TUB 25GM</t>
  </si>
  <si>
    <t>L400479</t>
  </si>
  <si>
    <t>LABETALOL HCL 300MG TAB 100</t>
  </si>
  <si>
    <t>303946A</t>
  </si>
  <si>
    <t>DICLOFENAC SODIUM ER 100MG TAB 100</t>
  </si>
  <si>
    <t>DICLOFENAC SODIUM ER</t>
  </si>
  <si>
    <t xml:space="preserve"> Gurnee inventory had a +2 adj. on 2/18/2016.</t>
  </si>
  <si>
    <t>VD117720</t>
  </si>
  <si>
    <t>15LM547</t>
  </si>
  <si>
    <t xml:space="preserve"> Gurnee inventory had a +1 adj. on 2/18/2016.</t>
  </si>
  <si>
    <t xml:space="preserve"> Gurnee inventory is inline. No other customers claiming over at this time. Perhaps they mixed this one up or did not remove fro</t>
  </si>
  <si>
    <t>CYCLOSPORINE 100MG CAP 30 BLISTER</t>
  </si>
  <si>
    <t xml:space="preserve"> 27 units damaged. Call tag issued to Genco for destruction.</t>
  </si>
  <si>
    <t>OXYCODONE HCL 30MG TAB 100</t>
  </si>
  <si>
    <t>OXYCODONE HCL</t>
  </si>
  <si>
    <t>L510008</t>
  </si>
  <si>
    <t xml:space="preserve"> 4 units damaged/refused. Product will be sent to Genco for destruction.</t>
  </si>
  <si>
    <t>HYDROXOCOBALAMIN INJ</t>
  </si>
  <si>
    <t xml:space="preserve"> Incorrect Lot shipped. Please create an RE for "virtual return"  so customer can receive credit for shortage and we can complet</t>
  </si>
  <si>
    <t>EQ060K5</t>
  </si>
  <si>
    <t xml:space="preserve"> Gurnee inventory had a +5 adj. on 2/16/2016.</t>
  </si>
  <si>
    <t>DOXYCYCLINE HYCLATE 100MG TAB 50</t>
  </si>
  <si>
    <t>DOXYCYCLINE HYCL TAB</t>
  </si>
  <si>
    <t>C0277364NLC</t>
  </si>
  <si>
    <t xml:space="preserve"> Pallet damage/refused.  NDC 00591381730 blocked inactive. Please create an RE so products can be destroyted.</t>
  </si>
  <si>
    <t xml:space="preserve"> Pallet damaged/refused/ NDC 00591381760 is blocked inactive and will be destroyed. Please create an RE.</t>
  </si>
  <si>
    <t>C0277486NLC</t>
  </si>
  <si>
    <t>GABAPENTIN 600MG TAB 500</t>
  </si>
  <si>
    <t>GABAPENTIN TAB</t>
  </si>
  <si>
    <t>3931J151</t>
  </si>
  <si>
    <t>3617H151</t>
  </si>
  <si>
    <t>NATEGLINIDE 60MG TAB 100</t>
  </si>
  <si>
    <t>NATEGLINIDE</t>
  </si>
  <si>
    <t>GD53638</t>
  </si>
  <si>
    <t xml:space="preserve"> 96 units damaged. Call tag will be issued to Genco for destruction.</t>
  </si>
  <si>
    <t xml:space="preserve"> Customer reported damage to case (see SDR 10020766) case also missing 7 units. possibly lost in transit by carrier.</t>
  </si>
  <si>
    <t xml:space="preserve"> Gurnee inventory had a +4 adj. on 2/25/2016.</t>
  </si>
  <si>
    <t xml:space="preserve"> 88 units damaged. Call tag will be issued to Genco for destruction.</t>
  </si>
  <si>
    <t>MODAFINIL 200MG TAB 100</t>
  </si>
  <si>
    <t>MODAFINIL</t>
  </si>
  <si>
    <t>MFT2EG018</t>
  </si>
  <si>
    <t xml:space="preserve"> Customer reported 2 bottles containing crushed pills. Info forwarded to Quality.</t>
  </si>
  <si>
    <t xml:space="preserve"> Customer service authorized to return due to a case size change from 300-312. Please create an RE so product can be restocked.</t>
  </si>
  <si>
    <t>C0277273NLC</t>
  </si>
  <si>
    <t>HYDROCODONE/APAP 10/325MG TAB 500</t>
  </si>
  <si>
    <t>HYDROCODONE/APAP</t>
  </si>
  <si>
    <t xml:space="preserve"> Pallet meant for Denver (SDR 10020790) was unloaded in Error in MN. Products were returned to DC in full on 3/1/2016. No issue</t>
  </si>
  <si>
    <t>HYDROCODONE/APAP 5/325MG TAB 500</t>
  </si>
  <si>
    <t>J150661A</t>
  </si>
  <si>
    <t>HYDROCODONE/APAP 7.5/325MG TAB 500</t>
  </si>
  <si>
    <t>533967A</t>
  </si>
  <si>
    <t>HYDROCODONE/IBUPROFEN 7.5/200MG TAB 100</t>
  </si>
  <si>
    <t>HYDROCODONE/IBUP</t>
  </si>
  <si>
    <t>1077484A</t>
  </si>
  <si>
    <t>HYDROCORTISONE/ALOE 1% CR 1 OZ ACT</t>
  </si>
  <si>
    <t>HYDROCORTISONE/ALOE</t>
  </si>
  <si>
    <t>L505042</t>
  </si>
  <si>
    <t xml:space="preserve"> DC received 69 Units back on 02/29/2016 as requested. The lot was not supposed to be shipped. Please create an RE so product ca</t>
  </si>
  <si>
    <t>4483K151</t>
  </si>
  <si>
    <t>ANDRODERM 4MG/DY P 30</t>
  </si>
  <si>
    <t>ANDRODERM US</t>
  </si>
  <si>
    <t>M061 0487</t>
  </si>
  <si>
    <t xml:space="preserve"> Please create an RE and we will then complete the Bill Only for rebill in order to transmit through tracelink for an incorrect</t>
  </si>
  <si>
    <t>1042170M</t>
  </si>
  <si>
    <t>L508019</t>
  </si>
  <si>
    <t>1 POD / Short</t>
  </si>
  <si>
    <t xml:space="preserve"> Pallet arrived damaged and rewrapped by Fed Ex 55 units missing from delivert. Lost in transit by carrier.</t>
  </si>
  <si>
    <t xml:space="preserve"> 55 units damaged. Unsure if this is a duplicate of SDR 10020787 (shortage) or if customer was both short 55 units and received</t>
  </si>
  <si>
    <t xml:space="preserve"> Case size went from 300-312 receiving error. Have customer reverify their case size. 1800 on order is 5 cases of 312 and 240 ea</t>
  </si>
  <si>
    <t xml:space="preserve"> Pallet was unloaded in error in MN ( SDR 10020775) Products were returned to DC on 3/1/2016. Please create an RE so customer ca</t>
  </si>
  <si>
    <t>J150660A</t>
  </si>
  <si>
    <t>4735-865</t>
  </si>
  <si>
    <t>DORZOLAMIDE HCL 2% OPH SOL 10ML</t>
  </si>
  <si>
    <t>DORZOLAMIDE HCL</t>
  </si>
  <si>
    <t>DAS2F52</t>
  </si>
  <si>
    <t>CLONIDINE 0.1MG TAB 500</t>
  </si>
  <si>
    <t>3724J151</t>
  </si>
  <si>
    <t>1091583M</t>
  </si>
  <si>
    <t xml:space="preserve"> Gurnee inventory had a +6 adj. on 2/26/2016.</t>
  </si>
  <si>
    <t xml:space="preserve"> Duplicate SDR . of SDR 10020764 please reject.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</si>
</sst>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8"/>
      <name val="Arial"/>
      <family val="2"/>
    </font>
    <font>
      <sz val="10"/>
      <name val="Arial"/>
      <family val="2"/>
    </font>
    <font>
      <b/>
      <sz val="9"/>
      <color indexed="81"/>
      <name val="Tahoma"/>
      <family val="2"/>
    </font>
  </fonts>
  <fills count="6">
    <fill>
      <patternFill patternType="none"/>
    </fill>
    <fill>
      <patternFill patternType="gray125"/>
    </fill>
    <fill>
      <patternFill patternType="solid">
        <fgColor theme="3" tint="0.39997558519241921"/>
        <bgColor indexed="64"/>
      </patternFill>
    </fill>
    <fill>
      <patternFill patternType="solid">
        <fgColor indexed="27"/>
        <bgColor indexed="64"/>
      </patternFill>
    </fill>
    <fill>
      <patternFill patternType="solid">
        <fgColor indexed="23"/>
        <bgColor indexed="64"/>
      </patternFill>
    </fill>
    <fill>
      <patternFill patternType="solid">
        <fgColor theme="3"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s>
  <cellStyleXfs count="7">
    <xf numFmtId="0" fontId="0" fillId="0" borderId="0"/>
    <xf numFmtId="9" fontId="6" fillId="0" borderId="0" applyFont="0" applyFill="0" applyBorder="0" applyAlignment="0" applyProtection="0"/>
    <xf numFmtId="0" fontId="4" fillId="0" borderId="0"/>
    <xf numFmtId="0" fontId="3" fillId="0" borderId="0"/>
    <xf numFmtId="0" fontId="2" fillId="0" borderId="0"/>
    <xf numFmtId="0" fontId="8" fillId="0" borderId="0"/>
    <xf numFmtId="0" fontId="1" fillId="0" borderId="0"/>
  </cellStyleXfs>
  <cellXfs count="60">
    <xf numFmtId="0" fontId="0" fillId="0" borderId="0" xfId="0"/>
    <xf numFmtId="0" fontId="5" fillId="2" borderId="0" xfId="0" applyFont="1" applyFill="1"/>
    <xf numFmtId="0" fontId="5" fillId="2" borderId="1" xfId="0" applyFont="1" applyFill="1" applyBorder="1"/>
    <xf numFmtId="0" fontId="0" fillId="2" borderId="1" xfId="0" applyFill="1" applyBorder="1"/>
    <xf numFmtId="0" fontId="5" fillId="2" borderId="2" xfId="0" applyFont="1" applyFill="1" applyBorder="1"/>
    <xf numFmtId="0" fontId="5" fillId="0" borderId="1" xfId="0" applyFont="1" applyBorder="1"/>
    <xf numFmtId="0" fontId="5" fillId="0" borderId="3" xfId="0" applyFont="1" applyBorder="1"/>
    <xf numFmtId="0" fontId="5" fillId="0" borderId="0" xfId="0" applyFont="1"/>
    <xf numFmtId="0" fontId="0" fillId="0" borderId="1" xfId="0" applyBorder="1"/>
    <xf numFmtId="0" fontId="0" fillId="0" borderId="3" xfId="0" applyBorder="1"/>
    <xf numFmtId="0" fontId="6" fillId="0" borderId="1" xfId="0" applyFont="1" applyBorder="1"/>
    <xf numFmtId="9" fontId="0" fillId="0" borderId="1" xfId="1" applyFont="1" applyBorder="1"/>
    <xf numFmtId="0" fontId="5" fillId="2" borderId="3" xfId="0" applyFont="1" applyFill="1" applyBorder="1"/>
    <xf numFmtId="9" fontId="5" fillId="2" borderId="1" xfId="1" applyFont="1" applyFill="1" applyBorder="1"/>
    <xf numFmtId="0" fontId="5" fillId="2" borderId="4" xfId="0" applyFont="1" applyFill="1" applyBorder="1"/>
    <xf numFmtId="0" fontId="0" fillId="0" borderId="0" xfId="0" pivotButton="1"/>
    <xf numFmtId="0" fontId="0" fillId="0" borderId="0" xfId="0" applyNumberFormat="1"/>
    <xf numFmtId="164" fontId="5" fillId="0" borderId="0" xfId="0" applyNumberFormat="1" applyFont="1" applyAlignment="1">
      <alignment wrapText="1"/>
    </xf>
    <xf numFmtId="164" fontId="5" fillId="0" borderId="0" xfId="0" applyNumberFormat="1" applyFont="1"/>
    <xf numFmtId="164" fontId="0" fillId="0" borderId="0" xfId="0" applyNumberFormat="1"/>
    <xf numFmtId="164" fontId="0" fillId="0" borderId="1" xfId="0" applyNumberFormat="1" applyBorder="1"/>
    <xf numFmtId="0" fontId="5" fillId="0" borderId="1" xfId="0" applyFont="1" applyFill="1" applyBorder="1"/>
    <xf numFmtId="164" fontId="5" fillId="0" borderId="0" xfId="0" applyNumberFormat="1" applyFont="1" applyFill="1" applyAlignment="1">
      <alignment wrapText="1"/>
    </xf>
    <xf numFmtId="164" fontId="5" fillId="2" borderId="1" xfId="0" applyNumberFormat="1" applyFont="1" applyFill="1" applyBorder="1"/>
    <xf numFmtId="0" fontId="6" fillId="2" borderId="1" xfId="0" applyFont="1" applyFill="1" applyBorder="1"/>
    <xf numFmtId="0" fontId="7" fillId="4" borderId="5" xfId="2" applyFont="1" applyFill="1" applyBorder="1" applyAlignment="1">
      <alignment horizontal="center"/>
    </xf>
    <xf numFmtId="0" fontId="0" fillId="0" borderId="0" xfId="0" applyAlignment="1">
      <alignment horizontal="center"/>
    </xf>
    <xf numFmtId="0" fontId="7" fillId="3" borderId="5" xfId="2" applyFont="1" applyFill="1" applyBorder="1" applyAlignment="1">
      <alignment horizontal="center"/>
    </xf>
    <xf numFmtId="14" fontId="7" fillId="3" borderId="5" xfId="2" applyNumberFormat="1" applyFont="1" applyFill="1" applyBorder="1" applyAlignment="1">
      <alignment horizontal="center"/>
    </xf>
    <xf numFmtId="0" fontId="7" fillId="4" borderId="5" xfId="5" applyFont="1" applyFill="1" applyBorder="1"/>
    <xf numFmtId="0" fontId="7" fillId="3" borderId="6" xfId="5" applyFont="1" applyFill="1" applyBorder="1"/>
    <xf numFmtId="0" fontId="7" fillId="3" borderId="5" xfId="5" applyFont="1" applyFill="1" applyBorder="1"/>
    <xf numFmtId="14" fontId="7" fillId="3" borderId="6" xfId="5" applyNumberFormat="1" applyFont="1" applyFill="1" applyBorder="1"/>
    <xf numFmtId="14" fontId="7" fillId="3" borderId="5" xfId="5" applyNumberFormat="1" applyFont="1" applyFill="1" applyBorder="1"/>
    <xf numFmtId="0" fontId="7" fillId="0" borderId="5" xfId="5" applyFont="1" applyFill="1" applyBorder="1" applyAlignment="1">
      <alignment horizontal="center"/>
    </xf>
    <xf numFmtId="0" fontId="7" fillId="0" borderId="6" xfId="5" applyFont="1" applyFill="1" applyBorder="1" applyAlignment="1">
      <alignment horizontal="center"/>
    </xf>
    <xf numFmtId="14" fontId="7" fillId="0" borderId="6" xfId="5" applyNumberFormat="1" applyFont="1" applyFill="1" applyBorder="1" applyAlignment="1">
      <alignment horizontal="center"/>
    </xf>
    <xf numFmtId="14" fontId="7" fillId="0" borderId="5" xfId="5" applyNumberFormat="1" applyFont="1" applyFill="1" applyBorder="1" applyAlignment="1">
      <alignment horizontal="center"/>
    </xf>
    <xf numFmtId="0" fontId="7" fillId="5" borderId="5" xfId="5" applyFont="1" applyFill="1" applyBorder="1" applyAlignment="1">
      <alignment horizontal="center"/>
    </xf>
    <xf numFmtId="0" fontId="7" fillId="3" borderId="6" xfId="0" applyFont="1" applyFill="1" applyBorder="1" applyAlignment="1">
      <alignment horizontal="center"/>
    </xf>
    <xf numFmtId="14" fontId="7" fillId="3" borderId="6" xfId="0" applyNumberFormat="1" applyFont="1" applyFill="1" applyBorder="1" applyAlignment="1">
      <alignment horizontal="center"/>
    </xf>
    <xf numFmtId="0" fontId="7" fillId="3" borderId="5" xfId="0" applyFont="1" applyFill="1" applyBorder="1" applyAlignment="1">
      <alignment horizontal="center"/>
    </xf>
    <xf numFmtId="14" fontId="7" fillId="3" borderId="5" xfId="0" applyNumberFormat="1" applyFont="1" applyFill="1" applyBorder="1" applyAlignment="1">
      <alignment horizontal="center"/>
    </xf>
    <xf numFmtId="0" fontId="7" fillId="2" borderId="5" xfId="0" applyFont="1" applyFill="1" applyBorder="1" applyAlignment="1">
      <alignment horizontal="center"/>
    </xf>
    <xf numFmtId="0" fontId="7" fillId="4" borderId="5" xfId="0" applyFont="1" applyFill="1" applyBorder="1"/>
    <xf numFmtId="0" fontId="7" fillId="3" borderId="6" xfId="0" applyFont="1" applyFill="1" applyBorder="1"/>
    <xf numFmtId="14" fontId="7" fillId="3" borderId="6" xfId="0" applyNumberFormat="1" applyFont="1" applyFill="1" applyBorder="1"/>
    <xf numFmtId="0" fontId="7" fillId="3" borderId="5" xfId="0" applyFont="1" applyFill="1" applyBorder="1"/>
    <xf numFmtId="14" fontId="7" fillId="3" borderId="5" xfId="0" applyNumberFormat="1" applyFont="1" applyFill="1" applyBorder="1"/>
    <xf numFmtId="4" fontId="7" fillId="3" borderId="5" xfId="0" applyNumberFormat="1" applyFont="1" applyFill="1" applyBorder="1"/>
    <xf numFmtId="11" fontId="7" fillId="3" borderId="5" xfId="0" applyNumberFormat="1" applyFont="1" applyFill="1" applyBorder="1"/>
    <xf numFmtId="0" fontId="7" fillId="0" borderId="5" xfId="0" applyFont="1" applyFill="1" applyBorder="1" applyAlignment="1">
      <alignment horizontal="center"/>
    </xf>
    <xf numFmtId="0" fontId="0" fillId="0" borderId="0" xfId="0" applyFill="1" applyAlignment="1">
      <alignment horizontal="center"/>
    </xf>
    <xf numFmtId="14" fontId="7" fillId="0" borderId="5" xfId="0" applyNumberFormat="1" applyFont="1" applyFill="1" applyBorder="1" applyAlignment="1">
      <alignment horizontal="center"/>
    </xf>
    <xf numFmtId="4" fontId="7" fillId="0" borderId="5" xfId="0" applyNumberFormat="1" applyFont="1" applyFill="1" applyBorder="1" applyAlignment="1">
      <alignment horizontal="center"/>
    </xf>
    <xf numFmtId="11" fontId="7" fillId="0" borderId="5" xfId="0" applyNumberFormat="1" applyFont="1" applyFill="1" applyBorder="1" applyAlignment="1">
      <alignment horizontal="center"/>
    </xf>
    <xf numFmtId="0" fontId="7" fillId="0" borderId="6" xfId="0" applyFont="1" applyFill="1" applyBorder="1" applyAlignment="1">
      <alignment horizontal="center"/>
    </xf>
    <xf numFmtId="14" fontId="7" fillId="0" borderId="6" xfId="0" applyNumberFormat="1" applyFont="1" applyFill="1" applyBorder="1" applyAlignment="1">
      <alignment horizontal="center"/>
    </xf>
    <xf numFmtId="4" fontId="7" fillId="0" borderId="6" xfId="0" applyNumberFormat="1" applyFont="1" applyFill="1" applyBorder="1" applyAlignment="1">
      <alignment horizontal="center"/>
    </xf>
    <xf numFmtId="0" fontId="6" fillId="0" borderId="0" xfId="0" applyFont="1" applyAlignment="1">
      <alignment horizontal="left" wrapText="1"/>
    </xf>
  </cellXfs>
  <cellStyles count="7">
    <cellStyle name="Normal" xfId="0" builtinId="0"/>
    <cellStyle name="Normal 2" xfId="2"/>
    <cellStyle name="Normal 2 2" xfId="5"/>
    <cellStyle name="Normal 3" xfId="3"/>
    <cellStyle name="Normal 4" xfId="4"/>
    <cellStyle name="Normal 5" xfId="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SDR%20Trending%20Report%2020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evin M Foley" refreshedDate="42038.684719212964" createdVersion="4" refreshedVersion="4" minRefreshableVersion="3" recordCount="201">
  <cacheSource type="worksheet">
    <worksheetSource ref="A1:AB1048576" sheet="CR SDR-Detail Jan" r:id="rId2"/>
  </cacheSource>
  <cacheFields count="28">
    <cacheField name="Number" numFmtId="0">
      <sharedItems containsString="0" containsBlank="1" containsNumber="1" containsInteger="1" minValue="10016692" maxValue="10016891" count="137">
        <n v="10016761"/>
        <n v="10016704"/>
        <n v="10016742"/>
        <n v="10016743"/>
        <n v="10016744"/>
        <n v="10016746"/>
        <n v="10016751"/>
        <n v="10016762"/>
        <n v="10016771"/>
        <n v="10016777"/>
        <n v="10016785"/>
        <n v="10016786"/>
        <n v="10016788"/>
        <n v="10016791"/>
        <n v="10016793"/>
        <n v="10016794"/>
        <n v="10016795"/>
        <n v="10016796"/>
        <n v="10016797"/>
        <n v="10016798"/>
        <n v="10016804"/>
        <n v="10016807"/>
        <n v="10016818"/>
        <n v="10016827"/>
        <n v="10016831"/>
        <n v="10016834"/>
        <n v="10016839"/>
        <n v="10016842"/>
        <n v="10016865"/>
        <n v="10016868"/>
        <n v="10016874"/>
        <n v="10016876"/>
        <n v="10016877"/>
        <n v="10016776"/>
        <n v="10016824"/>
        <n v="10016887"/>
        <n v="10016891"/>
        <n v="10016880"/>
        <n v="10016809"/>
        <n v="10016810"/>
        <n v="10016718"/>
        <n v="10016733"/>
        <n v="10016879"/>
        <n v="10016843"/>
        <n v="10016700"/>
        <n v="10016701"/>
        <n v="10016714"/>
        <n v="10016756"/>
        <n v="10016768"/>
        <n v="10016769"/>
        <n v="10016770"/>
        <n v="10016772"/>
        <n v="10016773"/>
        <n v="10016774"/>
        <n v="10016800"/>
        <n v="10016801"/>
        <n v="10016821"/>
        <n v="10016867"/>
        <n v="10016883"/>
        <n v="10016823"/>
        <n v="10016866"/>
        <n v="10016764"/>
        <n v="10016765"/>
        <n v="10016766"/>
        <n v="10016778"/>
        <n v="10016781"/>
        <n v="10016832"/>
        <n v="10016833"/>
        <n v="10016763"/>
        <n v="10016816"/>
        <n v="10016779"/>
        <n v="10016753"/>
        <n v="10016878"/>
        <n v="10016889"/>
        <n v="10016829"/>
        <n v="10016759"/>
        <n v="10016790"/>
        <n v="10016838"/>
        <n v="10016802"/>
        <n v="10016732"/>
        <n v="10016729"/>
        <n v="10016835"/>
        <n v="10016855"/>
        <n v="10016702"/>
        <n v="10016703"/>
        <n v="10016750"/>
        <n v="10016775"/>
        <n v="10016811"/>
        <n v="10016853"/>
        <n v="10016869"/>
        <n v="10016749"/>
        <n v="10016789"/>
        <n v="10016836"/>
        <n v="10016808"/>
        <n v="10016699"/>
        <n v="10016822"/>
        <n v="10016886"/>
        <n v="10016885"/>
        <n v="10016727"/>
        <n v="10016728"/>
        <n v="10016837"/>
        <n v="10016741"/>
        <n v="10016792"/>
        <n v="10016812"/>
        <n v="10016825"/>
        <n v="10016828"/>
        <n v="10016870"/>
        <n v="10016871"/>
        <n v="10016820"/>
        <n v="10016872"/>
        <n v="10016826"/>
        <n v="10016875"/>
        <n v="10016806"/>
        <n v="10016815"/>
        <n v="10016873"/>
        <n v="10016841"/>
        <n v="10016884"/>
        <n v="10016747"/>
        <n v="10016803"/>
        <n v="10016805"/>
        <n v="10016864"/>
        <n v="10016694"/>
        <n v="10016757"/>
        <n v="10016692"/>
        <n v="10016693"/>
        <n v="10016698"/>
        <n v="10016745"/>
        <n v="10016784"/>
        <n v="10016819"/>
        <n v="10016748"/>
        <n v="10016787"/>
        <n v="10016830"/>
        <n v="10016697"/>
        <n v="10016767"/>
        <n v="10016782"/>
        <n v="10016695"/>
        <m/>
      </sharedItems>
    </cacheField>
    <cacheField name="Type" numFmtId="0">
      <sharedItems containsBlank="1" count="8">
        <s v="Damage"/>
        <s v="Shortage"/>
        <s v="Refused"/>
        <s v="Overage"/>
        <s v="Return"/>
        <s v="Quality Return"/>
        <s v="Shortdate"/>
        <m/>
      </sharedItems>
    </cacheField>
    <cacheField name="Created by" numFmtId="0">
      <sharedItems containsBlank="1"/>
    </cacheField>
    <cacheField name="Created on" numFmtId="0">
      <sharedItems containsNonDate="0" containsDate="1" containsString="0" containsBlank="1" minDate="2015-01-02T00:00:00" maxDate="2015-01-31T00:00:00"/>
    </cacheField>
    <cacheField name="Ship.Date" numFmtId="0">
      <sharedItems containsNonDate="0" containsDate="1" containsString="0" containsBlank="1" minDate="2014-10-10T00:00:00" maxDate="2015-01-29T00:00:00"/>
    </cacheField>
    <cacheField name="Sold-to" numFmtId="0">
      <sharedItems containsString="0" containsBlank="1" containsNumber="1" containsInteger="1" minValue="1016311" maxValue="1338966"/>
    </cacheField>
    <cacheField name="Sold-to Name" numFmtId="0">
      <sharedItems containsBlank="1"/>
    </cacheField>
    <cacheField name="Ship-to" numFmtId="0">
      <sharedItems containsString="0" containsBlank="1" containsNumber="1" containsInteger="1" minValue="1000687" maxValue="1338648"/>
    </cacheField>
    <cacheField name="Ship-to Name" numFmtId="0">
      <sharedItems containsBlank="1"/>
    </cacheField>
    <cacheField name="Payer" numFmtId="0">
      <sharedItems containsString="0" containsBlank="1" containsNumber="1" containsInteger="1" minValue="1016311" maxValue="1338966"/>
    </cacheField>
    <cacheField name="Payer Name" numFmtId="0">
      <sharedItems containsBlank="1"/>
    </cacheField>
    <cacheField name="PO Number" numFmtId="0">
      <sharedItems containsBlank="1" containsMixedTypes="1" containsNumber="1" containsInteger="1" minValue="1068" maxValue="8106654027"/>
    </cacheField>
    <cacheField name="Deduction #" numFmtId="0">
      <sharedItems containsNonDate="0" containsString="0" containsBlank="1"/>
    </cacheField>
    <cacheField name="Carrier" numFmtId="0">
      <sharedItems containsBlank="1"/>
    </cacheField>
    <cacheField name="Name" numFmtId="0">
      <sharedItems containsBlank="1"/>
    </cacheField>
    <cacheField name="Adj Amt" numFmtId="0">
      <sharedItems containsString="0" containsBlank="1" containsNumber="1" minValue="0" maxValue="27929.52"/>
    </cacheField>
    <cacheField name="Status" numFmtId="0">
      <sharedItems containsBlank="1"/>
    </cacheField>
    <cacheField name="DC - Cause" numFmtId="0">
      <sharedItems containsBlank="1"/>
    </cacheField>
    <cacheField name="DC - Recommend" numFmtId="0">
      <sharedItems containsBlank="1"/>
    </cacheField>
    <cacheField name="DC - Completed on" numFmtId="0">
      <sharedItems containsNonDate="0" containsDate="1" containsString="0" containsBlank="1" minDate="2015-01-07T00:00:00" maxDate="2015-01-31T00:00:00"/>
    </cacheField>
    <cacheField name="SEC - Disposition" numFmtId="0">
      <sharedItems containsBlank="1"/>
    </cacheField>
    <cacheField name="SEC - Completed on" numFmtId="0">
      <sharedItems containsNonDate="0" containsDate="1" containsString="0" containsBlank="1" minDate="2015-01-02T00:00:00" maxDate="2015-01-31T00:00:00"/>
    </cacheField>
    <cacheField name="ADJ - Type" numFmtId="0">
      <sharedItems containsBlank="1"/>
    </cacheField>
    <cacheField name="ADJ - Number" numFmtId="0">
      <sharedItems containsString="0" containsBlank="1" containsNumber="1" containsInteger="1" minValue="61770321" maxValue="70025946"/>
    </cacheField>
    <cacheField name="ADJ - Completed on" numFmtId="0">
      <sharedItems containsNonDate="0" containsDate="1" containsString="0" containsBlank="1" minDate="2015-01-07T00:00:00" maxDate="2015-01-30T00:00:00"/>
    </cacheField>
    <cacheField name="Tracking Number" numFmtId="0">
      <sharedItems containsBlank="1" containsMixedTypes="1" containsNumber="1" containsInteger="1" minValue="327716875" maxValue="87944971557202"/>
    </cacheField>
    <cacheField name="DC Discrepancy Type" numFmtId="0">
      <sharedItems containsBlank="1"/>
    </cacheField>
    <cacheField name="DC Additional Inf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1">
  <r>
    <x v="0"/>
    <x v="0"/>
    <s v="CGRZESKO"/>
    <d v="2015-01-09T00:00:00"/>
    <d v="2014-12-23T00:00:00"/>
    <n v="1201483"/>
    <s v="PHARMACY BUYING ASSOC"/>
    <n v="1001169"/>
    <s v="PHARMACY BUYING ASSOCIATION"/>
    <n v="1201483"/>
    <s v="PHARMACY BUYING ASSOC"/>
    <n v="88169"/>
    <m/>
    <s v="FXFE"/>
    <s v="FEDEX FREIGHT LTL PRIORITY"/>
    <n v="76.239999999999995"/>
    <s v="In Process"/>
    <s v="1 Carrier"/>
    <s v="Stericycle / Destructions"/>
    <d v="2015-01-15T00:00:00"/>
    <s v="Not Applicable"/>
    <d v="2015-01-09T00:00:00"/>
    <m/>
    <m/>
    <m/>
    <n v="2795611593"/>
    <s v="1 Concealed / Damage"/>
    <s v=" 4 units damaged. Customer has destroyed and sent in LOD."/>
  </r>
  <r>
    <x v="1"/>
    <x v="1"/>
    <s v="KFOLEY"/>
    <d v="2015-01-05T00:00:00"/>
    <d v="2014-12-22T00:00:00"/>
    <n v="1201047"/>
    <s v="AMERISOURCEBERGEN CORP"/>
    <n v="1038994"/>
    <s v="AMERISOURCEBERGEN DRUG"/>
    <n v="1171089"/>
    <s v="AMERISOURCE CORPORATION"/>
    <n v="40415638"/>
    <m/>
    <s v="ABFS"/>
    <s v="ABF FREIGHT SYSTEM"/>
    <n v="0"/>
    <s v="In Process"/>
    <s v="2 Customer"/>
    <s v="Explanation Cell (allows added comments)"/>
    <d v="2015-01-12T00:00:00"/>
    <s v="Resolved"/>
    <d v="2015-01-08T00:00:00"/>
    <m/>
    <m/>
    <m/>
    <n v="327727304"/>
    <s v="6 No Issue"/>
    <s v=" Customer has located missing product. SDR has been rejected."/>
  </r>
  <r>
    <x v="2"/>
    <x v="2"/>
    <s v="KFOLEY"/>
    <d v="2015-01-07T00:00:00"/>
    <d v="2014-12-09T00:00:00"/>
    <n v="1201047"/>
    <s v="AMERISOURCEBERGEN CORP"/>
    <n v="1317086"/>
    <s v="AMERISOURCEBERGEN DRUG CORP"/>
    <n v="1171089"/>
    <s v="AMERISOURCE CORPORATION"/>
    <n v="23577883"/>
    <m/>
    <s v="IMRK"/>
    <s v="INTERMARK TRANSPORT INC"/>
    <n v="2200"/>
    <s v="Complete"/>
    <s v="2 Customer"/>
    <s v="POD Free &amp; Clear / Inventory In Line"/>
    <d v="2015-01-16T00:00:00"/>
    <s v="Not Applicable"/>
    <d v="2015-01-07T00:00:00"/>
    <s v="Credit Memo"/>
    <n v="61782724"/>
    <d v="2015-01-16T00:00:00"/>
    <s v="UL-3397032"/>
    <s v="5 Concealed / Short"/>
    <s v=" Gurnee inventory is inline. No other customers claiming over at this time. Customer is also claiming 10 over of the 60 mg on SD"/>
  </r>
  <r>
    <x v="3"/>
    <x v="3"/>
    <s v="KFOLEY"/>
    <d v="2015-01-07T00:00:00"/>
    <d v="2014-12-09T00:00:00"/>
    <n v="1201047"/>
    <s v="AMERISOURCEBERGEN CORP"/>
    <n v="1317086"/>
    <s v="AMERISOURCEBERGEN DRUG CORP"/>
    <n v="1171089"/>
    <s v="AMERISOURCE CORPORATION"/>
    <n v="23577883"/>
    <m/>
    <s v="IMRK"/>
    <s v="INTERMARK TRANSPORT INC"/>
    <n v="3300"/>
    <s v="Complete"/>
    <s v="1 Carrier"/>
    <s v="POD Free &amp; Clear / Inventory In Line"/>
    <d v="2015-01-16T00:00:00"/>
    <s v="Not Applicable"/>
    <d v="2015-01-07T00:00:00"/>
    <s v="Debit Memo"/>
    <n v="70025946"/>
    <d v="2015-01-16T00:00:00"/>
    <s v="UL-3397032"/>
    <s v="6 No Issue"/>
    <s v=" Gurnee inventory is inline. No other customers claiming short at this time. Customer is also claiming 10 short of the 40 mg on"/>
  </r>
  <r>
    <x v="4"/>
    <x v="3"/>
    <s v="KFOLEY"/>
    <d v="2015-01-07T00:00:00"/>
    <d v="2015-01-06T00:00:00"/>
    <n v="1201047"/>
    <s v="AMERISOURCEBERGEN CORP"/>
    <n v="1019056"/>
    <s v="AMERISOURCEBERGEN DRUG"/>
    <n v="1171089"/>
    <s v="AMERISOURCE CORPORATION"/>
    <n v="41367573"/>
    <m/>
    <s v="IMRK"/>
    <s v="INTERMARK TRANSPORT INC"/>
    <n v="0"/>
    <s v="In Process"/>
    <s v="2 Customer"/>
    <s v="Explanation Cell (allows added comments)"/>
    <d v="2015-01-09T00:00:00"/>
    <s v="Not Applicable"/>
    <d v="2015-01-07T00:00:00"/>
    <m/>
    <m/>
    <m/>
    <s v="UL-3733068"/>
    <s v="6 No Issue"/>
    <s v=" Customer has found their error and this is no longer an issue. SDR has been rejected."/>
  </r>
  <r>
    <x v="5"/>
    <x v="1"/>
    <s v="KFOLEY"/>
    <d v="2015-01-07T00:00:00"/>
    <d v="2015-01-02T00:00:00"/>
    <n v="1201047"/>
    <s v="AMERISOURCEBERGEN CORP"/>
    <n v="1030704"/>
    <s v="JM BLANCO"/>
    <n v="1171089"/>
    <s v="AMERISOURCE CORPORATION"/>
    <n v="3490390"/>
    <m/>
    <s v="FDE"/>
    <s v="FEDEX"/>
    <n v="2357.2800000000002"/>
    <s v="In Process"/>
    <s v="4 Distribution"/>
    <s v="Error Confirmed"/>
    <d v="2015-01-12T00:00:00"/>
    <s v="Resolved"/>
    <d v="2015-01-14T00:00:00"/>
    <m/>
    <m/>
    <m/>
    <n v="626414824448"/>
    <s v="4 DC Shortage"/>
    <s v=" Gurnee inventory had a +12 adj. on 1/5/2015."/>
  </r>
  <r>
    <x v="6"/>
    <x v="1"/>
    <s v="KFOLEY"/>
    <d v="2015-01-08T00:00:00"/>
    <d v="2015-01-05T00:00:00"/>
    <n v="1201047"/>
    <s v="AMERISOURCEBERGEN CORP"/>
    <n v="1038994"/>
    <s v="AMERISOURCEBERGEN DRUG"/>
    <n v="1171089"/>
    <s v="AMERISOURCE CORPORATION"/>
    <n v="40415654"/>
    <m/>
    <s v="IMRK"/>
    <s v="INTERMARK TRANSPORT INC"/>
    <n v="0"/>
    <s v="In Process"/>
    <m/>
    <m/>
    <m/>
    <s v="Resolved"/>
    <d v="2015-01-14T00:00:00"/>
    <m/>
    <m/>
    <m/>
    <s v="UL-3433057"/>
    <m/>
    <m/>
  </r>
  <r>
    <x v="7"/>
    <x v="3"/>
    <s v="KFOLEY"/>
    <d v="2015-01-09T00:00:00"/>
    <d v="2015-01-05T00:00:00"/>
    <n v="1201047"/>
    <s v="AMERISOURCEBERGEN CORP"/>
    <n v="1042228"/>
    <s v="AMERISOURCEBERGEN DRUG"/>
    <n v="1171089"/>
    <s v="AMERISOURCE CORPORATION"/>
    <n v="37929187"/>
    <m/>
    <s v="PRIJ"/>
    <s v="PRIME INC"/>
    <n v="98.6"/>
    <s v="In Process"/>
    <m/>
    <m/>
    <m/>
    <s v="Not Applicable"/>
    <d v="2015-01-09T00:00:00"/>
    <m/>
    <m/>
    <m/>
    <s v="UL-3433059"/>
    <m/>
    <m/>
  </r>
  <r>
    <x v="8"/>
    <x v="0"/>
    <s v="KFOLEY"/>
    <d v="2015-01-12T00:00:00"/>
    <d v="2014-11-25T00:00:00"/>
    <n v="1201047"/>
    <s v="AMERISOURCEBERGEN CORP"/>
    <n v="1022214"/>
    <s v="AMERISOURCEBERGEN DRUG"/>
    <n v="1171089"/>
    <s v="AMERISOURCE CORPORATION"/>
    <n v="4714638"/>
    <m/>
    <s v="ABFS"/>
    <s v="ABF FREIGHT SYSTEM"/>
    <n v="2695.8"/>
    <s v="In Process"/>
    <s v="1 Carrier"/>
    <s v="Stericycle / Destructions"/>
    <d v="2015-01-15T00:00:00"/>
    <s v="Not Applicable"/>
    <d v="2015-01-12T00:00:00"/>
    <m/>
    <m/>
    <m/>
    <n v="327716875"/>
    <s v="1 Concealed / Damage"/>
    <s v=" 2 units ONLY damaged. Call tag issued to Genco for destruction."/>
  </r>
  <r>
    <x v="9"/>
    <x v="0"/>
    <s v="KFOLEY"/>
    <d v="2015-01-12T00:00:00"/>
    <d v="2015-01-08T00:00:00"/>
    <n v="1201047"/>
    <s v="AMERISOURCEBERGEN CORP"/>
    <n v="1051671"/>
    <s v="AMERISOURCEBERGEN DRUG"/>
    <n v="1171089"/>
    <s v="AMERISOURCE CORPORATION"/>
    <n v="49735893"/>
    <m/>
    <s v="PRIJ"/>
    <s v="PRIME INC"/>
    <n v="440"/>
    <s v="In Process"/>
    <s v="1 Carrier"/>
    <s v="Stericycle / Destructions"/>
    <d v="2015-01-15T00:00:00"/>
    <s v="Not Applicable"/>
    <d v="2015-01-12T00:00:00"/>
    <m/>
    <m/>
    <m/>
    <s v="UL-2857553"/>
    <s v="1 Concealed / Damage"/>
    <s v=" 2 units damaged."/>
  </r>
  <r>
    <x v="10"/>
    <x v="0"/>
    <s v="KFOLEY"/>
    <d v="2015-01-14T00:00:00"/>
    <d v="2014-12-16T00:00:00"/>
    <n v="1201047"/>
    <s v="AMERISOURCEBERGEN CORP"/>
    <n v="1338648"/>
    <s v="AMERISOURCEBERGEN DRUG CORPORATION"/>
    <n v="1171089"/>
    <s v="AMERISOURCE CORPORATION"/>
    <n v="63112033"/>
    <m/>
    <s v="FXFE"/>
    <s v="FEDEX FREIGHT LTL PRIORITY"/>
    <n v="82.5"/>
    <s v="In Process"/>
    <s v="1 Carrier"/>
    <s v="Stericycle / Destructions"/>
    <d v="2015-01-15T00:00:00"/>
    <s v="Not Applicable"/>
    <d v="2015-01-14T00:00:00"/>
    <m/>
    <m/>
    <m/>
    <n v="2795610322"/>
    <s v="1 Concealed / Damage"/>
    <s v=" 11 units damaged."/>
  </r>
  <r>
    <x v="11"/>
    <x v="1"/>
    <s v="KFOLEY"/>
    <d v="2015-01-15T00:00:00"/>
    <d v="2015-01-02T00:00:00"/>
    <n v="1201047"/>
    <s v="AMERISOURCEBERGEN CORP"/>
    <n v="1030704"/>
    <s v="JM BLANCO"/>
    <n v="1171089"/>
    <s v="AMERISOURCE CORPORATION"/>
    <n v="3490390"/>
    <m/>
    <s v="FDE"/>
    <s v="FEDEX"/>
    <n v="2357.2800000000002"/>
    <s v="In Process"/>
    <m/>
    <m/>
    <m/>
    <s v="Resolved"/>
    <d v="2015-01-16T00:00:00"/>
    <m/>
    <m/>
    <m/>
    <n v="626414824448"/>
    <m/>
    <m/>
  </r>
  <r>
    <x v="12"/>
    <x v="4"/>
    <s v="KFOLEY"/>
    <d v="2015-01-15T00:00:00"/>
    <d v="2015-01-14T00:00:00"/>
    <n v="1201047"/>
    <s v="AMERISOURCEBERGEN CORP"/>
    <n v="1051671"/>
    <s v="AMERISOURCEBERGEN DRUG"/>
    <n v="1171089"/>
    <s v="AMERISOURCE CORPORATION"/>
    <n v="3490621"/>
    <m/>
    <s v="FDG"/>
    <s v="FEDEX GROUND"/>
    <n v="1660.08"/>
    <s v="Complete"/>
    <s v="3 Customer Service"/>
    <s v="Return/ Request RE"/>
    <d v="2015-01-26T00:00:00"/>
    <s v="Not Applicable"/>
    <d v="2015-01-15T00:00:00"/>
    <s v="Returns"/>
    <n v="61794075"/>
    <d v="2015-01-28T00:00:00"/>
    <n v="87944971525447"/>
    <s v="2 Wrong PO or Customer # Used"/>
    <s v=" This delievery was meant for PR location entered in error for Williamston. Returned to DC on 1/26/2015. Please create an RE so"/>
  </r>
  <r>
    <x v="13"/>
    <x v="0"/>
    <s v="KFOLEY"/>
    <d v="2015-01-15T00:00:00"/>
    <d v="2015-01-13T00:00:00"/>
    <n v="1201047"/>
    <s v="AMERISOURCEBERGEN CORP"/>
    <n v="1064887"/>
    <s v="AMERISOURCEBERGEN DRUG"/>
    <n v="1171089"/>
    <s v="AMERISOURCE CORPORATION"/>
    <n v="26969216"/>
    <m/>
    <s v="FDE"/>
    <s v="FEDEX"/>
    <n v="658.17"/>
    <s v="In Process"/>
    <s v="1 Carrier"/>
    <s v="Stericycle / Destructions"/>
    <d v="2015-01-29T00:00:00"/>
    <s v="Resolved"/>
    <d v="2015-01-16T00:00:00"/>
    <m/>
    <m/>
    <m/>
    <n v="626414855951"/>
    <s v="1 Concealed / Damage"/>
    <s v=" 3 units damaged. Product will be sent to Genco for destruction."/>
  </r>
  <r>
    <x v="14"/>
    <x v="1"/>
    <s v="KFOLEY"/>
    <d v="2015-01-16T00:00:00"/>
    <d v="2015-01-08T00:00:00"/>
    <n v="1201047"/>
    <s v="AMERISOURCEBERGEN CORP"/>
    <n v="1003713"/>
    <s v="AMERISOURCEBERGEN DRUG"/>
    <n v="1171089"/>
    <s v="AMERISOURCE CORPORATION"/>
    <n v="32735436"/>
    <m/>
    <s v="FDE"/>
    <s v="FEDEX"/>
    <n v="1130.6400000000001"/>
    <s v="In Process"/>
    <s v="4 Distribution"/>
    <s v="Error Confirmed"/>
    <d v="2015-01-22T00:00:00"/>
    <s v="Resolved"/>
    <d v="2015-01-16T00:00:00"/>
    <m/>
    <m/>
    <m/>
    <s v="626414841602 &amp; 626414841635 &amp; 626414841668"/>
    <s v="4 DC Shortage"/>
    <s v=" Gurnee inventory had a +6 adj. on 1/12/2015."/>
  </r>
  <r>
    <x v="15"/>
    <x v="5"/>
    <s v="KFOLEY"/>
    <d v="2015-01-16T00:00:00"/>
    <d v="2014-12-16T00:00:00"/>
    <n v="1201047"/>
    <s v="AMERISOURCEBERGEN CORP"/>
    <n v="1317086"/>
    <s v="AMERISOURCEBERGEN DRUG CORP"/>
    <n v="1171089"/>
    <s v="AMERISOURCE CORPORATION"/>
    <n v="23578919"/>
    <m/>
    <s v="IMRK"/>
    <s v="INTERMARK TRANSPORT INC"/>
    <n v="107.92"/>
    <s v="In Process"/>
    <s v="5 Manufacture"/>
    <s v="Explanation Cell (allows added comments)"/>
    <d v="2015-01-29T00:00:00"/>
    <s v="Not Applicable"/>
    <d v="2015-01-16T00:00:00"/>
    <m/>
    <m/>
    <m/>
    <s v="UL-2855097"/>
    <s v="5 Product Quality -Missing Pills, Labels etc"/>
    <s v=" Customer reported receiving a manufactuer sealed bottle that was empty. Info forwarded to PV."/>
  </r>
  <r>
    <x v="16"/>
    <x v="1"/>
    <s v="KFOLEY"/>
    <d v="2015-01-16T00:00:00"/>
    <d v="2015-01-14T00:00:00"/>
    <n v="1201047"/>
    <s v="AMERISOURCEBERGEN CORP"/>
    <n v="1321618"/>
    <s v="AMERISOURCEBERGEN DRUG CORP"/>
    <n v="1171089"/>
    <s v="AMERISOURCE CORPORATION"/>
    <n v="55500059"/>
    <m/>
    <s v="PRIJ"/>
    <s v="PRIME INC"/>
    <n v="0"/>
    <s v="In Process"/>
    <m/>
    <m/>
    <m/>
    <s v="Resolved"/>
    <d v="2015-01-20T00:00:00"/>
    <m/>
    <m/>
    <m/>
    <s v="UL-2141827"/>
    <m/>
    <m/>
  </r>
  <r>
    <x v="17"/>
    <x v="1"/>
    <s v="KFOLEY"/>
    <d v="2015-01-16T00:00:00"/>
    <d v="2015-01-07T00:00:00"/>
    <n v="1201047"/>
    <s v="AMERISOURCEBERGEN CORP"/>
    <n v="1022214"/>
    <s v="AMERISOURCEBERGEN DRUG"/>
    <n v="1171089"/>
    <s v="AMERISOURCE CORPORATION"/>
    <n v="4716757"/>
    <m/>
    <s v="PRIJ"/>
    <s v="PRIME INC"/>
    <n v="189.6"/>
    <s v="In Process"/>
    <m/>
    <m/>
    <m/>
    <s v="Not Applicable"/>
    <d v="2015-01-16T00:00:00"/>
    <m/>
    <m/>
    <m/>
    <s v="UL-3433094"/>
    <m/>
    <m/>
  </r>
  <r>
    <x v="18"/>
    <x v="1"/>
    <s v="KFOLEY"/>
    <d v="2015-01-16T00:00:00"/>
    <d v="2015-01-07T00:00:00"/>
    <n v="1201047"/>
    <s v="AMERISOURCEBERGEN CORP"/>
    <n v="1022214"/>
    <s v="AMERISOURCEBERGEN DRUG"/>
    <n v="1171089"/>
    <s v="AMERISOURCE CORPORATION"/>
    <n v="4716757"/>
    <m/>
    <s v="PRIJ"/>
    <s v="PRIME INC"/>
    <n v="139.19999999999999"/>
    <s v="In Process"/>
    <m/>
    <m/>
    <m/>
    <s v="Not Applicable"/>
    <d v="2015-01-16T00:00:00"/>
    <m/>
    <m/>
    <m/>
    <s v="UL-3433094"/>
    <m/>
    <m/>
  </r>
  <r>
    <x v="19"/>
    <x v="3"/>
    <s v="KFOLEY"/>
    <d v="2015-01-16T00:00:00"/>
    <d v="2015-01-13T00:00:00"/>
    <n v="1201047"/>
    <s v="AMERISOURCEBERGEN CORP"/>
    <n v="1311671"/>
    <s v="AMERISOURCE BERGEN DRUG CORPORATION"/>
    <n v="1171089"/>
    <s v="AMERISOURCE CORPORATION"/>
    <n v="21433204"/>
    <m/>
    <s v="PRIJ"/>
    <s v="PRIME INC"/>
    <n v="63.33"/>
    <s v="In Process"/>
    <s v="5 Manufacture"/>
    <s v="Return/ Request RE"/>
    <d v="2015-01-30T00:00:00"/>
    <s v="Not Applicable"/>
    <d v="2015-01-16T00:00:00"/>
    <m/>
    <m/>
    <m/>
    <s v="UL-2141821"/>
    <s v="7 Other"/>
    <s v=" 1 unit manufactuer concealed overage. Product was returned to DC However it was crushed and customer placed a sticker on it . P"/>
  </r>
  <r>
    <x v="20"/>
    <x v="0"/>
    <s v="KFOLEY"/>
    <d v="2015-01-20T00:00:00"/>
    <d v="2014-10-15T00:00:00"/>
    <n v="1201047"/>
    <s v="AMERISOURCEBERGEN CORP"/>
    <n v="1321618"/>
    <s v="AMERISOURCEBERGEN DRUG CORP"/>
    <n v="1171089"/>
    <s v="AMERISOURCE CORPORATION"/>
    <n v="55492734"/>
    <m/>
    <s v="PRIJ"/>
    <s v="PRIME INC"/>
    <n v="3537.36"/>
    <s v="In Process"/>
    <s v="1 Carrier"/>
    <s v="Stericycle / Destructions"/>
    <d v="2015-01-29T00:00:00"/>
    <s v="Not Applicable"/>
    <d v="2015-01-20T00:00:00"/>
    <m/>
    <m/>
    <m/>
    <s v="UL-2098291"/>
    <s v="1 Concealed / Damage"/>
    <s v=" 24 units reported damaged."/>
  </r>
  <r>
    <x v="21"/>
    <x v="0"/>
    <s v="KFOLEY"/>
    <d v="2015-01-20T00:00:00"/>
    <d v="2015-01-06T00:00:00"/>
    <n v="1201047"/>
    <s v="AMERISOURCEBERGEN CORP"/>
    <n v="1309880"/>
    <s v="AMERISOURCE BERGEN DRUG"/>
    <n v="1171089"/>
    <s v="AMERISOURCE CORPORATION"/>
    <n v="18721473"/>
    <m/>
    <s v="FDE"/>
    <s v="FEDEX"/>
    <n v="534.24"/>
    <s v="In Process"/>
    <s v="1 Carrier"/>
    <s v="Stericycle / Destructions"/>
    <d v="2015-01-29T00:00:00"/>
    <s v="Not Applicable"/>
    <d v="2015-01-20T00:00:00"/>
    <m/>
    <m/>
    <m/>
    <n v="626414837838"/>
    <s v="1 Concealed / Damage"/>
    <s v=" 12 units damaged."/>
  </r>
  <r>
    <x v="22"/>
    <x v="0"/>
    <s v="KFOLEY"/>
    <d v="2015-01-22T00:00:00"/>
    <d v="2015-01-20T00:00:00"/>
    <n v="1201047"/>
    <s v="AMERISOURCEBERGEN CORP"/>
    <n v="1317086"/>
    <s v="AMERISOURCEBERGEN DRUG CORP"/>
    <n v="1171089"/>
    <s v="AMERISOURCE CORPORATION"/>
    <n v="23581879"/>
    <m/>
    <s v="IMRK"/>
    <s v="INTERMARK TRANSPORT INC"/>
    <n v="128.94999999999999"/>
    <s v="In Process"/>
    <s v="1 Carrier"/>
    <s v="Stericycle / Destructions"/>
    <d v="2015-01-29T00:00:00"/>
    <s v="Not Applicable"/>
    <d v="2015-01-22T00:00:00"/>
    <m/>
    <m/>
    <m/>
    <s v="UL-2019346"/>
    <s v="1 Concealed / Damage"/>
    <s v=" 1 unit damaged. Call tag requested to Genco."/>
  </r>
  <r>
    <x v="23"/>
    <x v="1"/>
    <s v="KFOLEY"/>
    <d v="2015-01-23T00:00:00"/>
    <d v="2015-01-13T00:00:00"/>
    <n v="1201047"/>
    <s v="AMERISOURCEBERGEN CORP"/>
    <n v="1003718"/>
    <s v="AMERISOURCEBERGEN DRUG"/>
    <n v="1171089"/>
    <s v="AMERISOURCE CORPORATION"/>
    <n v="17377950"/>
    <m/>
    <s v="PRIJ"/>
    <s v="PRIME INC"/>
    <n v="3597.12"/>
    <s v="In Process"/>
    <m/>
    <m/>
    <m/>
    <m/>
    <m/>
    <m/>
    <m/>
    <m/>
    <s v="UL-2141819A"/>
    <m/>
    <m/>
  </r>
  <r>
    <x v="24"/>
    <x v="1"/>
    <s v="KFOLEY"/>
    <d v="2015-01-23T00:00:00"/>
    <d v="2015-01-21T00:00:00"/>
    <n v="1201047"/>
    <s v="AMERISOURCEBERGEN CORP"/>
    <n v="1321618"/>
    <s v="AMERISOURCEBERGEN DRUG CORP"/>
    <n v="1171089"/>
    <s v="AMERISOURCE CORPORATION"/>
    <n v="55500610"/>
    <m/>
    <s v="PRIJ"/>
    <s v="PRIME INC"/>
    <n v="0"/>
    <s v="In Process"/>
    <s v="2 Customer"/>
    <s v="Explanation Cell (allows added comments)"/>
    <d v="2015-01-26T00:00:00"/>
    <s v="Resolved"/>
    <d v="2015-01-28T00:00:00"/>
    <m/>
    <m/>
    <m/>
    <s v="UL-2019354"/>
    <s v="6 No Issue"/>
    <s v=" Customer has confirmed product has been received. This is a case size change issue."/>
  </r>
  <r>
    <x v="25"/>
    <x v="1"/>
    <s v="KFOLEY"/>
    <d v="2015-01-26T00:00:00"/>
    <d v="2015-01-15T00:00:00"/>
    <n v="1201047"/>
    <s v="AMERISOURCEBERGEN CORP"/>
    <n v="1022214"/>
    <s v="AMERISOURCEBERGEN DRUG"/>
    <n v="1171089"/>
    <s v="AMERISOURCE CORPORATION"/>
    <n v="4718762"/>
    <m/>
    <s v="FXFE"/>
    <s v="FEDEX FREIGHT LTL PRIORITY"/>
    <n v="1629.52"/>
    <s v="In Process"/>
    <m/>
    <m/>
    <m/>
    <m/>
    <m/>
    <m/>
    <m/>
    <m/>
    <n v="2795613483"/>
    <m/>
    <m/>
  </r>
  <r>
    <x v="26"/>
    <x v="1"/>
    <s v="KFOLEY"/>
    <d v="2015-01-26T00:00:00"/>
    <d v="2015-01-20T00:00:00"/>
    <n v="1201047"/>
    <s v="AMERISOURCEBERGEN CORP"/>
    <n v="1317086"/>
    <s v="AMERISOURCEBERGEN DRUG CORP"/>
    <n v="1171089"/>
    <s v="AMERISOURCE CORPORATION"/>
    <n v="23581879"/>
    <m/>
    <s v="IMRK"/>
    <s v="INTERMARK TRANSPORT INC"/>
    <n v="5500"/>
    <s v="In Process"/>
    <m/>
    <m/>
    <m/>
    <m/>
    <m/>
    <m/>
    <m/>
    <m/>
    <s v="UL-2019346"/>
    <m/>
    <m/>
  </r>
  <r>
    <x v="27"/>
    <x v="1"/>
    <s v="KFOLEY"/>
    <d v="2015-01-27T00:00:00"/>
    <d v="2015-01-20T00:00:00"/>
    <n v="1201047"/>
    <s v="AMERISOURCEBERGEN CORP"/>
    <n v="1317086"/>
    <s v="AMERISOURCEBERGEN DRUG CORP"/>
    <n v="1171089"/>
    <s v="AMERISOURCE CORPORATION"/>
    <n v="23581879"/>
    <m/>
    <s v="IMRK"/>
    <s v="INTERMARK TRANSPORT INC"/>
    <n v="1490.4"/>
    <s v="In Process"/>
    <m/>
    <m/>
    <m/>
    <m/>
    <m/>
    <m/>
    <m/>
    <m/>
    <s v="UL-2019346"/>
    <m/>
    <m/>
  </r>
  <r>
    <x v="28"/>
    <x v="0"/>
    <s v="KFOLEY"/>
    <d v="2015-01-28T00:00:00"/>
    <d v="2015-01-21T00:00:00"/>
    <n v="1201047"/>
    <s v="AMERISOURCEBERGEN CORP"/>
    <n v="1064887"/>
    <s v="AMERISOURCEBERGEN DRUG"/>
    <n v="1171089"/>
    <s v="AMERISOURCE CORPORATION"/>
    <n v="26969616"/>
    <m/>
    <s v="FDE"/>
    <s v="FEDEX"/>
    <n v="1092.47"/>
    <s v="In Process"/>
    <s v="1 Carrier"/>
    <s v="Stericycle / Destructions"/>
    <d v="2015-01-29T00:00:00"/>
    <s v="Resolved"/>
    <d v="2015-01-28T00:00:00"/>
    <m/>
    <m/>
    <m/>
    <n v="626414867212"/>
    <s v="1 Concealed / Damage"/>
    <s v=" 5 units damaged. Customer will destroy and provide LOD."/>
  </r>
  <r>
    <x v="29"/>
    <x v="1"/>
    <s v="KFOLEY"/>
    <d v="2015-01-28T00:00:00"/>
    <d v="2015-01-08T00:00:00"/>
    <n v="1201047"/>
    <s v="AMERISOURCEBERGEN CORP"/>
    <n v="1307128"/>
    <s v="AMERISOURCEBERGEN DRUG CORP"/>
    <n v="1171089"/>
    <s v="AMERISOURCE CORPORATION"/>
    <n v="10458660"/>
    <m/>
    <s v="IMRK"/>
    <s v="INTERMARK TRANSPORT INC"/>
    <n v="830"/>
    <s v="In Process"/>
    <m/>
    <m/>
    <m/>
    <s v="Not Applicable"/>
    <d v="2015-01-28T00:00:00"/>
    <m/>
    <m/>
    <m/>
    <s v="UL-2857554"/>
    <m/>
    <m/>
  </r>
  <r>
    <x v="30"/>
    <x v="1"/>
    <s v="KFOLEY"/>
    <d v="2015-01-29T00:00:00"/>
    <d v="2015-01-23T00:00:00"/>
    <n v="1201047"/>
    <s v="AMERISOURCEBERGEN CORP"/>
    <n v="1300235"/>
    <s v="AMERISOURCE SACRAMENTO"/>
    <n v="1171089"/>
    <s v="AMERISOURCE CORPORATION"/>
    <n v="8345199"/>
    <m/>
    <s v="PRIJ"/>
    <s v="PRIME INC"/>
    <n v="6693.12"/>
    <s v="In Process"/>
    <m/>
    <m/>
    <m/>
    <s v="Resolved"/>
    <d v="2015-01-30T00:00:00"/>
    <m/>
    <m/>
    <m/>
    <s v="UL-2019387"/>
    <m/>
    <m/>
  </r>
  <r>
    <x v="31"/>
    <x v="1"/>
    <s v="KFOLEY"/>
    <d v="2015-01-29T00:00:00"/>
    <d v="2015-01-14T00:00:00"/>
    <n v="1201047"/>
    <s v="AMERISOURCEBERGEN CORP"/>
    <n v="1003713"/>
    <s v="AMERISOURCEBERGEN DRUG"/>
    <n v="1171089"/>
    <s v="AMERISOURCE CORPORATION"/>
    <n v="32735868"/>
    <m/>
    <s v="FDG"/>
    <s v="FEDEX GROUND"/>
    <n v="3228.12"/>
    <s v="In Process"/>
    <m/>
    <m/>
    <m/>
    <m/>
    <m/>
    <m/>
    <m/>
    <m/>
    <n v="87944971523474"/>
    <m/>
    <m/>
  </r>
  <r>
    <x v="32"/>
    <x v="3"/>
    <s v="KFOLEY"/>
    <d v="2015-01-29T00:00:00"/>
    <d v="2015-01-14T00:00:00"/>
    <n v="1201047"/>
    <s v="AMERISOURCEBERGEN CORP"/>
    <n v="1003713"/>
    <s v="AMERISOURCEBERGEN DRUG"/>
    <n v="1171089"/>
    <s v="AMERISOURCE CORPORATION"/>
    <n v="32735868"/>
    <m/>
    <s v="FDG"/>
    <s v="FEDEX GROUND"/>
    <n v="1504.8"/>
    <s v="In Process"/>
    <m/>
    <m/>
    <m/>
    <s v="Not Applicable"/>
    <d v="2015-01-29T00:00:00"/>
    <m/>
    <m/>
    <m/>
    <n v="87944971523498"/>
    <m/>
    <m/>
  </r>
  <r>
    <x v="33"/>
    <x v="0"/>
    <s v="KFOLEY"/>
    <d v="2015-01-12T00:00:00"/>
    <d v="2015-01-07T00:00:00"/>
    <n v="1318826"/>
    <s v="ANDA GENERICS INC"/>
    <n v="1337268"/>
    <s v="ANDA MS - TARGET"/>
    <n v="1318826"/>
    <s v="ANDA GENERICS INC"/>
    <n v="2038020"/>
    <m/>
    <s v="PRIJ"/>
    <s v="PRIME INC"/>
    <n v="30.48"/>
    <s v="In Process"/>
    <s v="1 Carrier"/>
    <s v="Stericycle / Destructions"/>
    <d v="2015-01-15T00:00:00"/>
    <s v="Not Applicable"/>
    <d v="2015-01-12T00:00:00"/>
    <m/>
    <m/>
    <m/>
    <s v="UL-3433085A"/>
    <s v="1 Concealed / Damage"/>
    <s v=" 12 units damaged."/>
  </r>
  <r>
    <x v="34"/>
    <x v="3"/>
    <s v="KFOLEY"/>
    <d v="2015-01-22T00:00:00"/>
    <d v="2015-01-16T00:00:00"/>
    <n v="1318826"/>
    <s v="ANDA GENERICS INC"/>
    <n v="1334311"/>
    <s v="ANDA PHARMACEUTICALS INC"/>
    <n v="1318826"/>
    <s v="ANDA GENERICS INC"/>
    <n v="2038395"/>
    <m/>
    <s v="FDG"/>
    <s v="FEDEX GROUND"/>
    <n v="122.76"/>
    <s v="In Process"/>
    <m/>
    <m/>
    <m/>
    <s v="Not Applicable"/>
    <d v="2015-01-22T00:00:00"/>
    <m/>
    <m/>
    <m/>
    <n v="87944971535941"/>
    <m/>
    <m/>
  </r>
  <r>
    <x v="35"/>
    <x v="6"/>
    <s v="KFOLEY"/>
    <d v="2015-01-30T00:00:00"/>
    <d v="2015-01-26T00:00:00"/>
    <n v="1318826"/>
    <s v="ANDA GENERICS INC"/>
    <n v="1334311"/>
    <s v="ANDA PHARMACEUTICALS INC"/>
    <n v="1318826"/>
    <s v="ANDA GENERICS INC"/>
    <n v="2039130"/>
    <m/>
    <s v="PRIJ"/>
    <s v="PRIME INC"/>
    <n v="2019.6"/>
    <s v="In Process"/>
    <m/>
    <m/>
    <m/>
    <s v="Not Applicable"/>
    <d v="2015-01-30T00:00:00"/>
    <m/>
    <m/>
    <m/>
    <s v="UL-1999563"/>
    <m/>
    <m/>
  </r>
  <r>
    <x v="36"/>
    <x v="0"/>
    <s v="KFOLEY"/>
    <d v="2015-01-30T00:00:00"/>
    <d v="2015-01-26T00:00:00"/>
    <n v="1318826"/>
    <s v="ANDA GENERICS INC"/>
    <n v="1337268"/>
    <s v="ANDA MS - TARGET"/>
    <n v="1318826"/>
    <s v="ANDA GENERICS INC"/>
    <n v="2039094"/>
    <m/>
    <s v="PRIJ"/>
    <s v="PRIME INC"/>
    <n v="127.92"/>
    <s v="In Process"/>
    <m/>
    <m/>
    <m/>
    <s v="Not Applicable"/>
    <d v="2015-01-30T00:00:00"/>
    <m/>
    <m/>
    <m/>
    <s v="UL-1999563A"/>
    <m/>
    <m/>
  </r>
  <r>
    <x v="37"/>
    <x v="0"/>
    <s v="KFOLEY"/>
    <d v="2015-01-29T00:00:00"/>
    <d v="2015-01-23T00:00:00"/>
    <n v="1022013"/>
    <s v="ASSOCIATED PHARMACIES INC"/>
    <n v="1335507"/>
    <s v="ASSOCIATED PHARMACIES INC"/>
    <n v="1022013"/>
    <s v="ASSOCIATED PHARMACIES INC"/>
    <n v="70663"/>
    <m/>
    <s v="FXFE"/>
    <s v="FEDEX FREIGHT LTL PRIORITY"/>
    <n v="27.41"/>
    <s v="In Process"/>
    <m/>
    <m/>
    <m/>
    <s v="Not Applicable"/>
    <d v="2015-01-29T00:00:00"/>
    <m/>
    <m/>
    <m/>
    <n v="2795614614"/>
    <m/>
    <m/>
  </r>
  <r>
    <x v="38"/>
    <x v="1"/>
    <s v="KFOLEY"/>
    <d v="2015-01-20T00:00:00"/>
    <d v="2015-01-14T00:00:00"/>
    <n v="1201057"/>
    <s v="AUBURN PHARMACEUTICAL COMPANY"/>
    <n v="1335345"/>
    <s v="AUBURN PHARMACEUTICAL"/>
    <n v="1201057"/>
    <s v="AUBURN PHARMACEUTICAL COMPANY"/>
    <n v="171519"/>
    <m/>
    <s v="FXFE"/>
    <s v="FEDEX FREIGHT LTL PRIORITY"/>
    <n v="161.76"/>
    <s v="In Process"/>
    <s v="4 Distribution"/>
    <s v="Error Confirmed"/>
    <d v="2015-01-22T00:00:00"/>
    <s v="Not Applicable"/>
    <d v="2015-01-20T00:00:00"/>
    <m/>
    <m/>
    <m/>
    <n v="2795613321"/>
    <s v="4 DC Shortage"/>
    <s v=" Gurnee inventory had a +12 adj. on 1/12/2015."/>
  </r>
  <r>
    <x v="39"/>
    <x v="0"/>
    <s v="KFOLEY"/>
    <d v="2015-01-20T00:00:00"/>
    <d v="2015-01-14T00:00:00"/>
    <n v="1201057"/>
    <s v="AUBURN PHARMACEUTICAL COMPANY"/>
    <n v="1335345"/>
    <s v="AUBURN PHARMACEUTICAL"/>
    <n v="1201057"/>
    <s v="AUBURN PHARMACEUTICAL COMPANY"/>
    <n v="171519"/>
    <m/>
    <s v="FXFE"/>
    <s v="FEDEX FREIGHT LTL PRIORITY"/>
    <n v="292.27999999999997"/>
    <s v="In Process"/>
    <s v="1 Carrier"/>
    <s v="Stericycle / Destructions"/>
    <d v="2015-01-29T00:00:00"/>
    <s v="Not Applicable"/>
    <d v="2015-01-20T00:00:00"/>
    <m/>
    <m/>
    <m/>
    <n v="2795613321"/>
    <s v="1 Concealed / Damage"/>
    <s v=" 4 units damaged."/>
  </r>
  <r>
    <x v="40"/>
    <x v="0"/>
    <s v="KFOLEY"/>
    <d v="2015-01-06T00:00:00"/>
    <d v="2014-12-22T00:00:00"/>
    <n v="1201072"/>
    <s v="BELLCO DRUG CORP"/>
    <n v="1201072"/>
    <s v="BELLCO DRUG CORP"/>
    <n v="1201072"/>
    <s v="BELLCO DRUG CORP"/>
    <s v="310827L"/>
    <m/>
    <s v="ABFS"/>
    <s v="ABF FREIGHT SYSTEM"/>
    <n v="37.5"/>
    <s v="In Process"/>
    <s v="1 Carrier"/>
    <s v="Stericycle / Destructions"/>
    <d v="2015-01-15T00:00:00"/>
    <s v="Not Applicable"/>
    <d v="2015-01-06T00:00:00"/>
    <m/>
    <m/>
    <m/>
    <n v="327727305"/>
    <s v="1 Concealed / Damage"/>
    <s v=" 5 units damaged."/>
  </r>
  <r>
    <x v="41"/>
    <x v="1"/>
    <s v="KFOLEY"/>
    <d v="2015-01-06T00:00:00"/>
    <d v="2014-12-23T00:00:00"/>
    <n v="1201072"/>
    <s v="BELLCO DRUG CORP"/>
    <n v="1201072"/>
    <s v="BELLCO DRUG CORP"/>
    <n v="1201072"/>
    <s v="BELLCO DRUG CORP"/>
    <s v="310910Z"/>
    <m/>
    <s v="ABFS"/>
    <s v="ABF FREIGHT SYSTEM"/>
    <n v="1317"/>
    <s v="In Process"/>
    <m/>
    <m/>
    <m/>
    <m/>
    <m/>
    <m/>
    <m/>
    <m/>
    <n v="327727305"/>
    <m/>
    <m/>
  </r>
  <r>
    <x v="42"/>
    <x v="1"/>
    <s v="KFOLEY"/>
    <d v="2015-01-29T00:00:00"/>
    <d v="2015-01-28T00:00:00"/>
    <n v="1201072"/>
    <s v="BELLCO DRUG CORP"/>
    <n v="1201072"/>
    <s v="BELLCO DRUG CORP"/>
    <n v="1201072"/>
    <s v="BELLCO DRUG CORP"/>
    <s v="311804 B"/>
    <m/>
    <s v="FDE"/>
    <s v="FEDEX"/>
    <n v="1897.92"/>
    <s v="In Process"/>
    <m/>
    <m/>
    <m/>
    <m/>
    <m/>
    <m/>
    <m/>
    <m/>
    <n v="626414882922"/>
    <m/>
    <m/>
  </r>
  <r>
    <x v="43"/>
    <x v="1"/>
    <s v="KFOLEY"/>
    <d v="2015-01-27T00:00:00"/>
    <d v="2015-01-23T00:00:00"/>
    <n v="1201086"/>
    <s v="BLOODWORTH WHOLESALE DRUGS"/>
    <n v="1201086"/>
    <s v="BLOODWORTH WHOLESALE DRUGS"/>
    <n v="1201086"/>
    <s v="BLOODWORTH WHOLESALE DRUGS"/>
    <n v="1052797"/>
    <m/>
    <s v="FDG"/>
    <s v="FEDEX GROUND"/>
    <n v="90"/>
    <s v="In Process"/>
    <s v="4 Distribution"/>
    <s v="Error Confirmed"/>
    <d v="2015-01-28T00:00:00"/>
    <s v="Not Applicable"/>
    <d v="2015-01-27T00:00:00"/>
    <m/>
    <m/>
    <m/>
    <n v="87944971557202"/>
    <s v="4 DC Shortage"/>
    <s v=" Gurnee inventory had a +24 adj. on 1/23/2015."/>
  </r>
  <r>
    <x v="44"/>
    <x v="0"/>
    <s v="KFOLEY"/>
    <d v="2015-01-05T00:00:00"/>
    <d v="2015-01-02T00:00:00"/>
    <n v="1201120"/>
    <s v="CARDINAL HEALTHCARE INC"/>
    <n v="1307782"/>
    <s v="CARDINAL HEALTH"/>
    <n v="1171090"/>
    <s v="CARDINAL DISTRIBUTION, LP"/>
    <s v="C0243631NLC"/>
    <m/>
    <s v="IMRK"/>
    <s v="INTERMARK TRANSPORT INC"/>
    <n v="48"/>
    <s v="In Process"/>
    <s v="1 Carrier"/>
    <s v="Stericycle / Destructions"/>
    <d v="2015-01-14T00:00:00"/>
    <s v="Not Applicable"/>
    <d v="2015-01-05T00:00:00"/>
    <m/>
    <m/>
    <m/>
    <s v="UL-2019784"/>
    <s v="1 Concealed / Damage"/>
    <s v=" 2 units damaged. Customer requested a call tag to Genco for destruction."/>
  </r>
  <r>
    <x v="45"/>
    <x v="7"/>
    <s v="KFOLEY"/>
    <d v="2015-01-05T00:00:00"/>
    <d v="2015-01-02T00:00:00"/>
    <n v="1201120"/>
    <s v="CARDINAL HEALTHCARE INC"/>
    <n v="1307782"/>
    <s v="CARDINAL HEALTH"/>
    <n v="1171090"/>
    <s v="CARDINAL DISTRIBUTION, LP"/>
    <s v="C0243162NLC"/>
    <m/>
    <s v="IMRK"/>
    <s v="INTERMARK TRANSPORT INC"/>
    <n v="279"/>
    <s v="New"/>
    <m/>
    <m/>
    <m/>
    <m/>
    <m/>
    <m/>
    <m/>
    <m/>
    <s v="UL-2019784"/>
    <m/>
    <m/>
  </r>
  <r>
    <x v="46"/>
    <x v="0"/>
    <s v="KFOLEY"/>
    <d v="2015-01-05T00:00:00"/>
    <d v="2014-12-22T00:00:00"/>
    <n v="1201120"/>
    <s v="CARDINAL HEALTHCARE INC"/>
    <n v="1324827"/>
    <s v="CARDINAL HEALTH"/>
    <n v="1171090"/>
    <s v="CARDINAL DISTRIBUTION, LP"/>
    <n v="58417"/>
    <m/>
    <s v="FXFE"/>
    <s v="FEDEX FREIGHT LTL PRIORITY"/>
    <n v="1568.25"/>
    <s v="Complete"/>
    <s v="1 Carrier"/>
    <s v="Stericycle / Destructions"/>
    <d v="2015-01-15T00:00:00"/>
    <s v="Resolved"/>
    <d v="2015-01-07T00:00:00"/>
    <s v="Credit Memo"/>
    <n v="61787891"/>
    <d v="2015-01-22T00:00:00"/>
    <n v="2795611372"/>
    <s v="1 Concealed / Damage"/>
    <s v=" 9 units damaged."/>
  </r>
  <r>
    <x v="47"/>
    <x v="1"/>
    <s v="KFOLEY"/>
    <d v="2015-01-09T00:00:00"/>
    <d v="2015-01-05T00:00:00"/>
    <n v="1201120"/>
    <s v="CARDINAL HEALTHCARE INC"/>
    <n v="1307782"/>
    <s v="CARDINAL HEALTH"/>
    <n v="1171090"/>
    <s v="CARDINAL DISTRIBUTION, LP"/>
    <s v="C0243631NLC"/>
    <m/>
    <s v="HGTN"/>
    <s v="HOGAN DEDICATED SERVICE"/>
    <n v="446.4"/>
    <s v="In Process"/>
    <m/>
    <m/>
    <m/>
    <s v="Not Applicable"/>
    <d v="2015-01-09T00:00:00"/>
    <m/>
    <m/>
    <m/>
    <s v="UL-3433061"/>
    <m/>
    <m/>
  </r>
  <r>
    <x v="48"/>
    <x v="3"/>
    <s v="KFOLEY"/>
    <d v="2015-01-12T00:00:00"/>
    <d v="2014-12-26T00:00:00"/>
    <n v="1201120"/>
    <s v="CARDINAL HEALTHCARE INC"/>
    <n v="1307782"/>
    <s v="CARDINAL HEALTH"/>
    <n v="1171090"/>
    <s v="CARDINAL DISTRIBUTION, LP"/>
    <s v="C0243162NLC"/>
    <m/>
    <s v="PGSI"/>
    <s v="PEGASUS TRANSPORTATION INC"/>
    <n v="317.94"/>
    <s v="In Process"/>
    <m/>
    <m/>
    <m/>
    <s v="Not Applicable"/>
    <d v="2015-01-12T00:00:00"/>
    <m/>
    <m/>
    <m/>
    <s v="UL-2019777"/>
    <m/>
    <m/>
  </r>
  <r>
    <x v="49"/>
    <x v="0"/>
    <s v="KFOLEY"/>
    <d v="2015-01-12T00:00:00"/>
    <d v="2015-01-09T00:00:00"/>
    <n v="1201120"/>
    <s v="CARDINAL HEALTHCARE INC"/>
    <n v="1307782"/>
    <s v="CARDINAL HEALTH"/>
    <n v="1171090"/>
    <s v="CARDINAL DISTRIBUTION, LP"/>
    <s v="C0244366NLC"/>
    <m/>
    <s v="PGSI"/>
    <s v="PEGASUS TRANSPORTATION INC"/>
    <n v="1307.55"/>
    <s v="In Process"/>
    <s v="1 Carrier"/>
    <s v="Stericycle / Destructions"/>
    <d v="2015-01-15T00:00:00"/>
    <s v="Resolved"/>
    <d v="2015-01-14T00:00:00"/>
    <m/>
    <m/>
    <m/>
    <s v="L-2857569"/>
    <s v="1 Concealed / Damage"/>
    <s v=" 8 units damaged."/>
  </r>
  <r>
    <x v="50"/>
    <x v="0"/>
    <s v="KFOLEY"/>
    <d v="2015-01-12T00:00:00"/>
    <d v="2015-01-07T00:00:00"/>
    <n v="1201120"/>
    <s v="CARDINAL HEALTHCARE INC"/>
    <n v="1307782"/>
    <s v="CARDINAL HEALTH"/>
    <n v="1171090"/>
    <s v="CARDINAL DISTRIBUTION, LP"/>
    <s v="C0243886NLC"/>
    <m/>
    <s v="HGTN"/>
    <s v="HOGAN DEDICATED SERVICE"/>
    <n v="219"/>
    <s v="In Process"/>
    <s v="1 Carrier"/>
    <s v="Stericycle / Destructions"/>
    <d v="2015-01-15T00:00:00"/>
    <s v="Not Applicable"/>
    <d v="2015-01-12T00:00:00"/>
    <m/>
    <m/>
    <m/>
    <s v="UL-3433082"/>
    <s v="1 Concealed / Damage"/>
    <s v=" 19 units damaged."/>
  </r>
  <r>
    <x v="51"/>
    <x v="1"/>
    <s v="KFOLEY"/>
    <d v="2015-01-12T00:00:00"/>
    <d v="2015-01-02T00:00:00"/>
    <n v="1201120"/>
    <s v="CARDINAL HEALTHCARE INC"/>
    <n v="1307782"/>
    <s v="CARDINAL HEALTH"/>
    <n v="1171090"/>
    <s v="CARDINAL DISTRIBUTION, LP"/>
    <s v="C0243180NLC"/>
    <m/>
    <s v="FDG"/>
    <s v="FEDEX GROUND"/>
    <n v="0"/>
    <s v="In Process"/>
    <m/>
    <m/>
    <m/>
    <s v="Resolved"/>
    <d v="2015-01-27T00:00:00"/>
    <m/>
    <m/>
    <m/>
    <s v="087944971469000 &amp; 087944971469154 &amp; 087944971469581 &amp; 087944971469611 &amp; 087944971469673"/>
    <m/>
    <m/>
  </r>
  <r>
    <x v="52"/>
    <x v="1"/>
    <s v="KFOLEY"/>
    <d v="2015-01-12T00:00:00"/>
    <d v="2015-01-02T00:00:00"/>
    <n v="1201120"/>
    <s v="CARDINAL HEALTHCARE INC"/>
    <n v="1307782"/>
    <s v="CARDINAL HEALTH"/>
    <n v="1171090"/>
    <s v="CARDINAL DISTRIBUTION, LP"/>
    <s v="C0243412NLC"/>
    <m/>
    <s v="FDG"/>
    <s v="FEDEX GROUND"/>
    <n v="450"/>
    <s v="In Process"/>
    <m/>
    <m/>
    <m/>
    <s v="Not Applicable"/>
    <d v="2015-01-12T00:00:00"/>
    <m/>
    <m/>
    <m/>
    <n v="87944971468379"/>
    <m/>
    <m/>
  </r>
  <r>
    <x v="53"/>
    <x v="1"/>
    <s v="KFOLEY"/>
    <d v="2015-01-12T00:00:00"/>
    <d v="2015-01-02T00:00:00"/>
    <n v="1201120"/>
    <s v="CARDINAL HEALTHCARE INC"/>
    <n v="1307782"/>
    <s v="CARDINAL HEALTH"/>
    <n v="1171090"/>
    <s v="CARDINAL DISTRIBUTION, LP"/>
    <s v="C0243162NLC"/>
    <m/>
    <s v="FDG"/>
    <s v="FEDEX GROUND"/>
    <n v="750"/>
    <s v="In Process"/>
    <m/>
    <m/>
    <m/>
    <s v="Not Applicable"/>
    <d v="2015-01-12T00:00:00"/>
    <m/>
    <m/>
    <m/>
    <n v="87944971468270"/>
    <m/>
    <m/>
  </r>
  <r>
    <x v="54"/>
    <x v="0"/>
    <s v="KFOLEY"/>
    <d v="2015-01-20T00:00:00"/>
    <d v="2015-01-16T00:00:00"/>
    <n v="1201120"/>
    <s v="CARDINAL HEALTHCARE INC"/>
    <n v="1307782"/>
    <s v="CARDINAL HEALTH"/>
    <n v="1171090"/>
    <s v="CARDINAL DISTRIBUTION, LP"/>
    <s v="C0244882NLC"/>
    <m/>
    <s v="PGSI"/>
    <s v="PEGASUS TRANSPORTATION INC"/>
    <n v="623.28"/>
    <s v="In Process"/>
    <s v="1 Carrier"/>
    <s v="Stericycle / Destructions"/>
    <d v="2015-01-29T00:00:00"/>
    <s v="Not Applicable"/>
    <d v="2015-01-20T00:00:00"/>
    <m/>
    <m/>
    <m/>
    <s v="UL-2019305"/>
    <s v="1 Concealed / Damage"/>
    <s v=" 14 untis damaged. Customer requested call tag be issued to Genco for destruction."/>
  </r>
  <r>
    <x v="55"/>
    <x v="7"/>
    <s v="KFOLEY"/>
    <d v="2015-01-20T00:00:00"/>
    <d v="2015-01-02T00:00:00"/>
    <n v="1201120"/>
    <s v="CARDINAL HEALTHCARE INC"/>
    <n v="1307782"/>
    <s v="CARDINAL HEALTH"/>
    <n v="1171090"/>
    <s v="CARDINAL DISTRIBUTION, LP"/>
    <s v="C0243180NLC"/>
    <m/>
    <s v="FDG"/>
    <s v="FEDEX GROUND"/>
    <n v="0"/>
    <s v="New"/>
    <m/>
    <m/>
    <m/>
    <m/>
    <m/>
    <m/>
    <m/>
    <m/>
    <s v="087944971469000 &amp; 087944971469154 &amp; 087944971469581 &amp; 087944971469611 &amp; 087944971469673"/>
    <m/>
    <m/>
  </r>
  <r>
    <x v="56"/>
    <x v="0"/>
    <s v="KFOLEY"/>
    <d v="2015-01-22T00:00:00"/>
    <d v="2015-01-19T00:00:00"/>
    <n v="1201120"/>
    <s v="CARDINAL HEALTHCARE INC"/>
    <n v="1307782"/>
    <s v="CARDINAL HEALTH"/>
    <n v="1171090"/>
    <s v="CARDINAL DISTRIBUTION, LP"/>
    <s v="C0244876NLC"/>
    <m/>
    <s v="INTD"/>
    <s v="INTERSTATE DISTRIBUTOR CO"/>
    <n v="2238.2399999999998"/>
    <s v="In Process"/>
    <s v="1 Carrier"/>
    <s v="Stericycle / Destructions"/>
    <d v="2015-01-29T00:00:00"/>
    <s v="Resolved"/>
    <d v="2015-01-28T00:00:00"/>
    <m/>
    <m/>
    <m/>
    <s v="UL-2019326"/>
    <s v="1 Concealed / Damage"/>
    <s v=" 3 units damaged. Call tag issued to Genco for destruction."/>
  </r>
  <r>
    <x v="57"/>
    <x v="1"/>
    <s v="KFOLEY"/>
    <d v="2015-01-28T00:00:00"/>
    <d v="2015-01-16T00:00:00"/>
    <n v="1201120"/>
    <s v="CARDINAL HEALTHCARE INC"/>
    <n v="1307782"/>
    <s v="CARDINAL HEALTH"/>
    <n v="1171090"/>
    <s v="CARDINAL DISTRIBUTION, LP"/>
    <s v="C0244813NLC"/>
    <m/>
    <s v="PRIJ"/>
    <s v="PRIME INC"/>
    <n v="20142.96"/>
    <s v="In Process"/>
    <m/>
    <m/>
    <m/>
    <m/>
    <m/>
    <m/>
    <m/>
    <m/>
    <s v="UL-2019304"/>
    <m/>
    <m/>
  </r>
  <r>
    <x v="58"/>
    <x v="0"/>
    <s v="KFOLEY"/>
    <d v="2015-01-29T00:00:00"/>
    <d v="2015-01-26T00:00:00"/>
    <n v="1201120"/>
    <s v="CARDINAL HEALTHCARE INC"/>
    <n v="1307782"/>
    <s v="CARDINAL HEALTH"/>
    <n v="1171090"/>
    <s v="CARDINAL DISTRIBUTION, LP"/>
    <s v="C0245426NLC"/>
    <m/>
    <s v="HGTN"/>
    <s v="HOGAN DEDICATED SERVICE"/>
    <n v="5008.08"/>
    <s v="In Process"/>
    <m/>
    <m/>
    <m/>
    <s v="Resolved"/>
    <d v="2015-01-30T00:00:00"/>
    <m/>
    <m/>
    <m/>
    <s v="UL-1999565"/>
    <m/>
    <m/>
  </r>
  <r>
    <x v="59"/>
    <x v="1"/>
    <s v="KFOLEY"/>
    <d v="2015-01-22T00:00:00"/>
    <d v="2015-01-07T00:00:00"/>
    <n v="1201133"/>
    <s v="CIGNA HEALTHCARE INC"/>
    <n v="1325387"/>
    <s v="CIGNA HOME DELIVERY PHARMACY"/>
    <n v="1171102"/>
    <s v="CIGNA HEALTH CORPORATION"/>
    <s v="2WATP10215M"/>
    <m/>
    <s v="ABFS"/>
    <s v="ABF FREIGHT SYSTEM"/>
    <n v="948"/>
    <s v="In Process"/>
    <m/>
    <m/>
    <m/>
    <s v="Not Applicable"/>
    <d v="2015-01-22T00:00:00"/>
    <m/>
    <m/>
    <m/>
    <n v="327727363"/>
    <m/>
    <m/>
  </r>
  <r>
    <x v="60"/>
    <x v="0"/>
    <s v="KFOLEY"/>
    <d v="2015-01-28T00:00:00"/>
    <d v="2015-01-06T00:00:00"/>
    <n v="1201133"/>
    <s v="CIGNA HEALTHCARE INC"/>
    <n v="1325387"/>
    <s v="CIGNA HOME DELIVERY PHARMACY"/>
    <n v="1171102"/>
    <s v="CIGNA HEALTH CORPORATION"/>
    <s v="WATP10215M"/>
    <m/>
    <s v="FDE"/>
    <s v="FEDEX"/>
    <n v="19.77"/>
    <s v="In Process"/>
    <s v="1 Carrier"/>
    <s v="Stericycle / Destructions"/>
    <d v="2015-01-29T00:00:00"/>
    <s v="Not Applicable"/>
    <d v="2015-01-28T00:00:00"/>
    <m/>
    <m/>
    <m/>
    <s v="626414834644 &amp; 626414834666"/>
    <s v="1 Concealed / Damage"/>
    <s v=" 3 units damaged."/>
  </r>
  <r>
    <x v="61"/>
    <x v="1"/>
    <s v="KFOLEY"/>
    <d v="2015-01-09T00:00:00"/>
    <d v="2015-01-02T00:00:00"/>
    <n v="1201156"/>
    <s v="CVS CORPORATION"/>
    <n v="1325957"/>
    <s v="CVS RX SERVICES INC"/>
    <n v="1201156"/>
    <s v="CVS CORPORATION"/>
    <n v="216735"/>
    <m/>
    <s v="ABFS"/>
    <s v="ABF FREIGHT SYSTEM"/>
    <n v="144"/>
    <s v="In Process"/>
    <s v="4 Distribution"/>
    <s v="Error Confirmed"/>
    <d v="2015-01-15T00:00:00"/>
    <s v="Not Applicable"/>
    <d v="2015-01-09T00:00:00"/>
    <m/>
    <m/>
    <m/>
    <n v="327727337"/>
    <s v="4 DC Shortage"/>
    <s v=" Gurnee inventory had a +12 adj. on 1/15/2015."/>
  </r>
  <r>
    <x v="62"/>
    <x v="2"/>
    <s v="KFOLEY"/>
    <d v="2015-01-09T00:00:00"/>
    <d v="2014-12-22T00:00:00"/>
    <n v="1201156"/>
    <s v="CVS CORPORATION"/>
    <n v="1319569"/>
    <s v="CVS PHARMACY INC"/>
    <n v="1201156"/>
    <s v="CVS CORPORATION"/>
    <n v="8245975"/>
    <m/>
    <s v="ABFS"/>
    <s v="ABF FREIGHT SYSTEM"/>
    <n v="743.52"/>
    <s v="Complete"/>
    <s v="1 Carrier"/>
    <s v="Return/ Request RE"/>
    <d v="2015-01-14T00:00:00"/>
    <s v="Not Applicable"/>
    <d v="2015-01-09T00:00:00"/>
    <s v="Returns"/>
    <n v="61779634"/>
    <d v="2015-01-14T00:00:00"/>
    <n v="327727301"/>
    <s v="1 POD / Damage - Refused"/>
    <s v=" 1Case returned to DC by CVS La Habra as it was damaged in transit and product was dented and crushed."/>
  </r>
  <r>
    <x v="63"/>
    <x v="1"/>
    <s v="KFOLEY"/>
    <d v="2015-01-09T00:00:00"/>
    <d v="2014-12-22T00:00:00"/>
    <n v="1201156"/>
    <s v="CVS CORPORATION"/>
    <n v="1319569"/>
    <s v="CVS PHARMACY INC"/>
    <n v="1201156"/>
    <s v="CVS CORPORATION"/>
    <n v="8245975"/>
    <m/>
    <s v="ABFS"/>
    <s v="ABF FREIGHT SYSTEM"/>
    <n v="1396.68"/>
    <s v="In Process"/>
    <m/>
    <m/>
    <m/>
    <m/>
    <m/>
    <m/>
    <m/>
    <m/>
    <n v="327727301"/>
    <m/>
    <m/>
  </r>
  <r>
    <x v="64"/>
    <x v="2"/>
    <s v="KFOLEY"/>
    <d v="2015-01-12T00:00:00"/>
    <d v="2015-01-02T00:00:00"/>
    <n v="1201156"/>
    <s v="CVS CORPORATION"/>
    <n v="1319569"/>
    <s v="CVS PHARMACY INC"/>
    <n v="1201156"/>
    <s v="CVS CORPORATION"/>
    <n v="8249475"/>
    <m/>
    <s v="ABFS"/>
    <s v="ABF FREIGHT SYSTEM"/>
    <n v="1396.68"/>
    <s v="Complete"/>
    <s v="1 Carrier"/>
    <s v="Return/ Request RE"/>
    <d v="2015-01-27T00:00:00"/>
    <s v="Not Applicable"/>
    <d v="2015-01-12T00:00:00"/>
    <s v="Returns"/>
    <n v="61794074"/>
    <d v="2015-01-28T00:00:00"/>
    <n v="327727343"/>
    <s v="1 POD / Damage - Refused"/>
    <s v=" 1 case damaged and refused. Please create an RE so product can be destroyed."/>
  </r>
  <r>
    <x v="65"/>
    <x v="0"/>
    <s v="KFOLEY"/>
    <d v="2015-01-12T00:00:00"/>
    <d v="2014-12-15T00:00:00"/>
    <n v="1201156"/>
    <s v="CVS CORPORATION"/>
    <n v="1307233"/>
    <s v="CVS TEXAS DISTRIBUTION LP"/>
    <n v="1201156"/>
    <s v="CVS CORPORATION"/>
    <n v="9105473"/>
    <m/>
    <s v="ABFS"/>
    <s v="ABF FREIGHT SYSTEM"/>
    <n v="1396.68"/>
    <s v="In Process"/>
    <s v="1 Carrier"/>
    <s v="Stericycle / Destructions"/>
    <d v="2015-01-15T00:00:00"/>
    <s v="Resolved"/>
    <d v="2015-01-14T00:00:00"/>
    <m/>
    <m/>
    <m/>
    <n v="327727289"/>
    <s v="1 Concealed / Damage"/>
    <s v=" 3 units ONLY damaged. Call tag issued to Genco for destruction."/>
  </r>
  <r>
    <x v="66"/>
    <x v="1"/>
    <s v="KFOLEY"/>
    <d v="2015-01-23T00:00:00"/>
    <d v="2015-01-15T00:00:00"/>
    <n v="1201156"/>
    <s v="CVS CORPORATION"/>
    <n v="1017717"/>
    <s v="CVS INDIANA LLC"/>
    <n v="1201156"/>
    <s v="CVS CORPORATION"/>
    <n v="4653593"/>
    <m/>
    <s v="ABFS"/>
    <s v="ABF FREIGHT SYSTEM"/>
    <n v="750"/>
    <s v="In Process"/>
    <s v="4 Distribution"/>
    <s v="Error Confirmed"/>
    <d v="2015-01-28T00:00:00"/>
    <s v="Not Applicable"/>
    <d v="2015-01-23T00:00:00"/>
    <m/>
    <m/>
    <m/>
    <n v="327727389"/>
    <s v="4 DC Shortage"/>
    <s v=" Gurnee inventory had a +6 adj. on 1/21/2015."/>
  </r>
  <r>
    <x v="67"/>
    <x v="1"/>
    <s v="KFOLEY"/>
    <d v="2015-01-23T00:00:00"/>
    <d v="2015-01-02T00:00:00"/>
    <n v="1201156"/>
    <s v="CVS CORPORATION"/>
    <n v="1307233"/>
    <s v="CVS TEXAS DISTRIBUTION LP"/>
    <n v="1201156"/>
    <s v="CVS CORPORATION"/>
    <n v="9108711"/>
    <m/>
    <s v="ABFS"/>
    <s v="ABF FREIGHT SYSTEM"/>
    <n v="67.44"/>
    <s v="In Process"/>
    <m/>
    <m/>
    <m/>
    <s v="Not Applicable"/>
    <d v="2015-01-23T00:00:00"/>
    <m/>
    <m/>
    <m/>
    <n v="327727339"/>
    <m/>
    <m/>
  </r>
  <r>
    <x v="68"/>
    <x v="4"/>
    <s v="KFOLEY"/>
    <d v="2015-01-09T00:00:00"/>
    <d v="2015-01-02T00:00:00"/>
    <n v="1325932"/>
    <s v="D &amp; H WHOLESALE MEDICAL"/>
    <n v="1325932"/>
    <s v="D &amp; H WHOLESALE MEDICAL"/>
    <n v="1325932"/>
    <s v="D &amp; H WHOLESALE MEDICAL"/>
    <n v="10825"/>
    <m/>
    <s v="FDG"/>
    <s v="FEDEX GROUND"/>
    <n v="661.86"/>
    <s v="Complete"/>
    <s v="2 Customer"/>
    <s v="Return/ Request RE"/>
    <d v="2015-01-16T00:00:00"/>
    <s v="Not Applicable"/>
    <d v="2015-01-09T00:00:00"/>
    <s v="Returns"/>
    <n v="61786884"/>
    <d v="2015-01-21T00:00:00"/>
    <n v="87944971473540"/>
    <s v="2 Cust. Ordered Wrong Item"/>
    <s v=" Custmer ordered wrong material and returned to DC. DC received 1case on 01/15/2015.SDR # 10016763 was already created."/>
  </r>
  <r>
    <x v="69"/>
    <x v="1"/>
    <s v="KFOLEY"/>
    <d v="2015-01-22T00:00:00"/>
    <d v="2015-01-14T00:00:00"/>
    <n v="1201178"/>
    <s v="DISCOUNT DRUG MART, INC"/>
    <n v="1201178"/>
    <s v="DISCOUNT DRUG MART, INC"/>
    <n v="1201178"/>
    <s v="DISCOUNT DRUG MART, INC"/>
    <n v="566621"/>
    <m/>
    <s v="FXFE"/>
    <s v="FEDEX FREIGHT LTL PRIORITY"/>
    <n v="8896.32"/>
    <s v="In Process"/>
    <m/>
    <m/>
    <m/>
    <m/>
    <m/>
    <m/>
    <m/>
    <m/>
    <n v="2795613214"/>
    <m/>
    <m/>
  </r>
  <r>
    <x v="70"/>
    <x v="3"/>
    <s v="KFOLEY"/>
    <d v="2015-01-12T00:00:00"/>
    <d v="2015-01-09T00:00:00"/>
    <n v="1338966"/>
    <s v="EXCELLERX"/>
    <n v="1315674"/>
    <s v="EXCELLE RX PA"/>
    <n v="1338966"/>
    <s v="EXCELLERX"/>
    <s v="PO2025790"/>
    <m/>
    <s v="FDG"/>
    <s v="FEDEX GROUND"/>
    <n v="1202.4000000000001"/>
    <s v="In Process"/>
    <m/>
    <m/>
    <m/>
    <s v="Not Applicable"/>
    <d v="2015-01-12T00:00:00"/>
    <m/>
    <m/>
    <m/>
    <s v="087944971501373 &amp; 087944971501397"/>
    <m/>
    <m/>
  </r>
  <r>
    <x v="71"/>
    <x v="0"/>
    <s v="KFOLEY"/>
    <d v="2015-01-08T00:00:00"/>
    <d v="2015-01-02T00:00:00"/>
    <n v="1201215"/>
    <s v="EXPRESS SCRIPTS"/>
    <n v="1324492"/>
    <s v="EXPRESS SCRIPTS"/>
    <n v="1201215"/>
    <s v="EXPRESS SCRIPTS"/>
    <s v="1024827-44"/>
    <m/>
    <s v="FXFE"/>
    <s v="FEDEX FREIGHT LTL PRIORITY"/>
    <n v="232.17"/>
    <s v="In Process"/>
    <s v="1 Carrier"/>
    <s v="Stericycle / Destructions"/>
    <d v="2015-01-15T00:00:00"/>
    <s v="Not Applicable"/>
    <d v="2015-01-08T00:00:00"/>
    <m/>
    <m/>
    <m/>
    <n v="2795612341"/>
    <s v="1 Concealed / Damage"/>
    <s v=" 1 unit damaged."/>
  </r>
  <r>
    <x v="72"/>
    <x v="0"/>
    <s v="KFOLEY"/>
    <d v="2015-01-29T00:00:00"/>
    <d v="2015-01-26T00:00:00"/>
    <n v="1201215"/>
    <s v="EXPRESS SCRIPTS"/>
    <n v="1324492"/>
    <s v="EXPRESS SCRIPTS"/>
    <n v="1201215"/>
    <s v="EXPRESS SCRIPTS"/>
    <s v="1024749-150"/>
    <m/>
    <s v="FXFE"/>
    <s v="FEDEX FREIGHT LTL PRIORITY"/>
    <n v="122.92"/>
    <s v="In Process"/>
    <m/>
    <m/>
    <m/>
    <s v="Not Applicable"/>
    <d v="2015-01-29T00:00:00"/>
    <m/>
    <m/>
    <m/>
    <n v="2795614975"/>
    <m/>
    <m/>
  </r>
  <r>
    <x v="73"/>
    <x v="3"/>
    <s v="KFOLEY"/>
    <d v="2015-01-30T00:00:00"/>
    <d v="2015-01-27T00:00:00"/>
    <n v="1201423"/>
    <s v="EXPRESS SCRIPTS"/>
    <n v="1337407"/>
    <s v="EXPRESS SCRIPTS PHARMACY INC"/>
    <n v="1201423"/>
    <s v="EXPRESS SCRIPTS"/>
    <n v="6003261308"/>
    <m/>
    <s v="FDE"/>
    <s v="FEDEX"/>
    <n v="15.88"/>
    <s v="In Process"/>
    <m/>
    <m/>
    <m/>
    <s v="Not Applicable"/>
    <d v="2015-01-30T00:00:00"/>
    <m/>
    <m/>
    <m/>
    <n v="626414876592"/>
    <m/>
    <m/>
  </r>
  <r>
    <x v="74"/>
    <x v="0"/>
    <s v="KFOLEY"/>
    <d v="2015-01-23T00:00:00"/>
    <d v="2014-12-23T00:00:00"/>
    <n v="1201232"/>
    <s v="FRANK W KERR INC"/>
    <n v="1201232"/>
    <s v="FRANK W KERR INC"/>
    <n v="1201232"/>
    <s v="FRANK W KERR INC"/>
    <n v="14692"/>
    <m/>
    <s v="FXFE"/>
    <s v="FEDEX FREIGHT LTL PRIORITY"/>
    <n v="5391.6"/>
    <s v="In Process"/>
    <s v="1 Carrier"/>
    <s v="Stericycle / Destructions"/>
    <d v="2015-01-29T00:00:00"/>
    <s v="Not Applicable"/>
    <d v="2015-01-23T00:00:00"/>
    <m/>
    <m/>
    <m/>
    <n v="2795611711"/>
    <s v="1 Concealed / Damage"/>
    <s v=" 24 units damaged."/>
  </r>
  <r>
    <x v="75"/>
    <x v="2"/>
    <s v="KFOLEY"/>
    <d v="2015-01-09T00:00:00"/>
    <d v="2014-12-23T00:00:00"/>
    <n v="1201354"/>
    <s v="KAISER PERMANENTE"/>
    <n v="1061270"/>
    <s v="KAISER FOUNDATION/OAKLAND"/>
    <n v="1171836"/>
    <s v="KAISER FOUNDATION HOSPITAL"/>
    <s v="M030 9730"/>
    <m/>
    <s v="FXFE"/>
    <s v="FEDEX FREIGHT LTL PRIORITY"/>
    <n v="206.4"/>
    <s v="In Process"/>
    <m/>
    <m/>
    <m/>
    <s v="Not Applicable"/>
    <d v="2015-01-09T00:00:00"/>
    <m/>
    <m/>
    <m/>
    <n v="2795612024"/>
    <m/>
    <m/>
  </r>
  <r>
    <x v="76"/>
    <x v="2"/>
    <s v="KFOLEY"/>
    <d v="2015-01-15T00:00:00"/>
    <d v="2014-12-23T00:00:00"/>
    <n v="1201354"/>
    <s v="KAISER PERMANENTE"/>
    <n v="1061270"/>
    <s v="KAISER FOUNDATION/OAKLAND"/>
    <n v="1171836"/>
    <s v="KAISER FOUNDATION HOSPITAL"/>
    <s v="M030 9730"/>
    <m/>
    <s v="FXFE"/>
    <s v="FEDEX FREIGHT LTL PRIORITY"/>
    <n v="206.4"/>
    <s v="In Process"/>
    <m/>
    <m/>
    <m/>
    <s v="Not Applicable"/>
    <d v="2015-01-15T00:00:00"/>
    <m/>
    <m/>
    <m/>
    <n v="2795612024"/>
    <m/>
    <m/>
  </r>
  <r>
    <x v="77"/>
    <x v="3"/>
    <s v="KFOLEY"/>
    <d v="2015-01-26T00:00:00"/>
    <d v="2014-12-10T00:00:00"/>
    <n v="1201354"/>
    <s v="KAISER PERMANENTE"/>
    <n v="1061270"/>
    <s v="KAISER FOUNDATION/OAKLAND"/>
    <n v="1171836"/>
    <s v="KAISER FOUNDATION HOSPITAL"/>
    <s v="M0309684"/>
    <m/>
    <s v="FDE"/>
    <s v="FEDEX"/>
    <n v="11346.24"/>
    <s v="In Process"/>
    <s v="4 Distribution"/>
    <s v="Bill Only"/>
    <d v="2015-01-27T00:00:00"/>
    <s v="Not Applicable"/>
    <d v="2015-01-26T00:00:00"/>
    <m/>
    <m/>
    <m/>
    <n v="580653980323"/>
    <s v="4 DC Overage"/>
    <s v=" Bill Only completed So#793968 D 81441479"/>
  </r>
  <r>
    <x v="78"/>
    <x v="0"/>
    <s v="KFOLEY"/>
    <d v="2015-01-20T00:00:00"/>
    <d v="2015-01-02T00:00:00"/>
    <n v="1201367"/>
    <s v="KPH HEALTHCARE SERVICES INC"/>
    <n v="1131720"/>
    <s v="KPH HEALTHCARE SERVICES INC"/>
    <n v="1172009"/>
    <s v="KPH HEALTHCARE SERVICES INC"/>
    <n v="5366"/>
    <m/>
    <s v="FXFE"/>
    <s v="FEDEX FREIGHT LTL PRIORITY"/>
    <n v="5.75"/>
    <s v="In Process"/>
    <s v="1 Carrier"/>
    <s v="Stericycle / Destructions"/>
    <d v="2015-01-29T00:00:00"/>
    <s v="Not Applicable"/>
    <d v="2015-01-20T00:00:00"/>
    <m/>
    <m/>
    <m/>
    <n v="2795612400"/>
    <s v="1 Concealed / Damage"/>
    <s v=" 1 unit damaged."/>
  </r>
  <r>
    <x v="79"/>
    <x v="4"/>
    <s v="KFOLEY"/>
    <d v="2015-01-06T00:00:00"/>
    <m/>
    <n v="1030236"/>
    <s v="LOUISIANA WHOLESALE DRUG CO"/>
    <n v="1023721"/>
    <s v="LOUISIANA WHOLESALE DRUG CO"/>
    <n v="1030236"/>
    <s v="LOUISIANA WHOLESALE DRUG CO"/>
    <n v="319401"/>
    <m/>
    <s v="FDE"/>
    <s v="FEDEX"/>
    <n v="12456"/>
    <s v="In Process"/>
    <s v="4 Distribution"/>
    <s v="Error Confirmed"/>
    <d v="2015-01-14T00:00:00"/>
    <s v="Not Applicable"/>
    <d v="2015-01-06T00:00:00"/>
    <m/>
    <m/>
    <m/>
    <m/>
    <s v="4 DC Overage"/>
    <s v=" Gurnee mishipped 96 units over to customer and customer returned back to DC on 1/9/2015. Product returned to stock. No credit n"/>
  </r>
  <r>
    <x v="80"/>
    <x v="0"/>
    <s v="KFOLEY"/>
    <d v="2015-01-06T00:00:00"/>
    <d v="2015-01-02T00:00:00"/>
    <n v="1201766"/>
    <s v="MASTERS PHARMACEUTICALS INC"/>
    <n v="1157939"/>
    <s v="MASTERS PHARMACEUTICALS INC"/>
    <n v="1201766"/>
    <s v="MASTERS PHARMACEUTICALS INC"/>
    <n v="56683"/>
    <m/>
    <s v="FXFE"/>
    <s v="FEDEX FREIGHT LTL PRIORITY"/>
    <n v="17.579999999999998"/>
    <s v="In Process"/>
    <s v="1 Carrier"/>
    <s v="Stericycle / Destructions"/>
    <d v="2015-01-15T00:00:00"/>
    <s v="Not Applicable"/>
    <d v="2015-01-06T00:00:00"/>
    <m/>
    <m/>
    <m/>
    <n v="2795612455"/>
    <s v="1 Concealed / Damage"/>
    <s v=" 3 units damaged."/>
  </r>
  <r>
    <x v="81"/>
    <x v="0"/>
    <s v="KFOLEY"/>
    <d v="2015-01-26T00:00:00"/>
    <d v="2015-01-14T00:00:00"/>
    <n v="1201766"/>
    <s v="MASTERS PHARMACEUTICALS INC"/>
    <n v="1157939"/>
    <s v="MASTERS PHARMACEUTICALS INC"/>
    <n v="1201766"/>
    <s v="MASTERS PHARMACEUTICALS INC"/>
    <n v="56870"/>
    <m/>
    <s v="FXFE"/>
    <s v="FEDEX FREIGHT LTL PRIORITY"/>
    <n v="239.01"/>
    <s v="In Process"/>
    <s v="1 Carrier"/>
    <s v="Stericycle / Destructions"/>
    <d v="2015-01-29T00:00:00"/>
    <s v="Not Applicable"/>
    <d v="2015-01-26T00:00:00"/>
    <m/>
    <m/>
    <m/>
    <n v="2795613306"/>
    <s v="1 Concealed / Damage"/>
    <s v=" 3 units damaged."/>
  </r>
  <r>
    <x v="82"/>
    <x v="0"/>
    <s v="KFOLEY"/>
    <d v="2015-01-27T00:00:00"/>
    <d v="2015-01-23T00:00:00"/>
    <n v="1201766"/>
    <s v="MASTERS PHARMACEUTICALS INC"/>
    <n v="1157939"/>
    <s v="MASTERS PHARMACEUTICALS INC"/>
    <n v="1201766"/>
    <s v="MASTERS PHARMACEUTICALS INC"/>
    <n v="57143"/>
    <m/>
    <s v="FXFE"/>
    <s v="FEDEX FREIGHT LTL PRIORITY"/>
    <n v="34.020000000000003"/>
    <s v="In Process"/>
    <s v="1 Carrier"/>
    <s v="Stericycle / Destructions"/>
    <d v="2015-01-29T00:00:00"/>
    <s v="Not Applicable"/>
    <d v="2015-01-27T00:00:00"/>
    <m/>
    <m/>
    <m/>
    <n v="2795614695"/>
    <s v="1 Concealed / Damage"/>
    <s v=" 14 units damaged."/>
  </r>
  <r>
    <x v="83"/>
    <x v="0"/>
    <s v="KFOLEY"/>
    <d v="2015-01-05T00:00:00"/>
    <d v="2014-12-23T00:00:00"/>
    <n v="1201399"/>
    <s v="MCKESSON"/>
    <n v="1334926"/>
    <s v="MCKESSON CORPORATION"/>
    <n v="1171970"/>
    <s v="MCKESSON"/>
    <n v="8106652301"/>
    <m/>
    <s v="PRIJ"/>
    <s v="PRIME INC"/>
    <n v="2695.8"/>
    <s v="In Process"/>
    <s v="1 Carrier"/>
    <s v="Stericycle / Destructions"/>
    <d v="2015-01-14T00:00:00"/>
    <s v="Resolved"/>
    <d v="2015-01-07T00:00:00"/>
    <m/>
    <m/>
    <m/>
    <s v="UL-2019765"/>
    <s v="1 Concealed / Damage"/>
    <s v=" 12 units damaged. Call tag to Genco requested."/>
  </r>
  <r>
    <x v="84"/>
    <x v="0"/>
    <s v="KFOLEY"/>
    <d v="2015-01-05T00:00:00"/>
    <d v="2014-12-23T00:00:00"/>
    <n v="1201399"/>
    <s v="MCKESSON"/>
    <n v="1334926"/>
    <s v="MCKESSON CORPORATION"/>
    <n v="1171970"/>
    <s v="MCKESSON"/>
    <n v="8106652299"/>
    <m/>
    <s v="PRIJ"/>
    <s v="PRIME INC"/>
    <n v="593.04"/>
    <s v="In Process"/>
    <s v="1 Carrier"/>
    <s v="Stericycle / Destructions"/>
    <d v="2015-01-15T00:00:00"/>
    <s v="Not Applicable"/>
    <d v="2015-01-05T00:00:00"/>
    <m/>
    <m/>
    <m/>
    <s v="UL-2019774"/>
    <s v="1 Concealed / Damage"/>
    <s v=" 84 units damaged."/>
  </r>
  <r>
    <x v="85"/>
    <x v="0"/>
    <s v="KFOLEY"/>
    <d v="2015-01-08T00:00:00"/>
    <d v="2014-12-23T00:00:00"/>
    <n v="1201399"/>
    <s v="MCKESSON"/>
    <n v="1334926"/>
    <s v="MCKESSON CORPORATION"/>
    <n v="1171970"/>
    <s v="MCKESSON"/>
    <n v="8106652310"/>
    <m/>
    <s v="PRIJ"/>
    <s v="PRIME INC"/>
    <n v="795.72"/>
    <s v="In Process"/>
    <s v="1 Carrier"/>
    <s v="Stericycle / Destructions"/>
    <d v="2015-01-15T00:00:00"/>
    <s v="Not Applicable"/>
    <d v="2015-01-08T00:00:00"/>
    <m/>
    <m/>
    <m/>
    <s v="UL-2019774"/>
    <s v="1 Concealed / Damage"/>
    <s v=" 12 units damaged. Call tag issued to Genco for destruction."/>
  </r>
  <r>
    <x v="86"/>
    <x v="1"/>
    <s v="KFOLEY"/>
    <d v="2015-01-12T00:00:00"/>
    <d v="2015-01-02T00:00:00"/>
    <n v="1201399"/>
    <s v="MCKESSON"/>
    <n v="1317189"/>
    <s v="MCKESSON CORPORATION"/>
    <n v="1171970"/>
    <s v="MCKESSON"/>
    <n v="3004518873"/>
    <m/>
    <s v="FDG"/>
    <s v="FEDEX GROUND"/>
    <n v="5100"/>
    <s v="In Process"/>
    <m/>
    <m/>
    <m/>
    <m/>
    <m/>
    <m/>
    <m/>
    <m/>
    <n v="87944971469048"/>
    <m/>
    <m/>
  </r>
  <r>
    <x v="87"/>
    <x v="0"/>
    <s v="KFOLEY"/>
    <d v="2015-01-21T00:00:00"/>
    <d v="2015-01-14T00:00:00"/>
    <n v="1201399"/>
    <s v="MCKESSON"/>
    <n v="1334926"/>
    <s v="MCKESSON CORPORATION"/>
    <n v="1171970"/>
    <s v="MCKESSON"/>
    <n v="8106653378"/>
    <m/>
    <s v="PRIJ"/>
    <s v="PRIME INC"/>
    <n v="2695.8"/>
    <s v="In Process"/>
    <s v="1 Carrier"/>
    <s v="Stericycle / Destructions"/>
    <d v="2015-01-29T00:00:00"/>
    <m/>
    <m/>
    <m/>
    <m/>
    <m/>
    <s v="UL-2141843"/>
    <s v="1 Concealed / Damage"/>
    <s v=" 12 units damaged."/>
  </r>
  <r>
    <x v="88"/>
    <x v="0"/>
    <s v="KFOLEY"/>
    <d v="2015-01-27T00:00:00"/>
    <d v="2015-01-23T00:00:00"/>
    <n v="1201399"/>
    <s v="MCKESSON"/>
    <n v="1334926"/>
    <s v="MCKESSON CORPORATION"/>
    <n v="1171970"/>
    <s v="MCKESSON"/>
    <n v="8106654027"/>
    <m/>
    <s v="PRIJ"/>
    <s v="PRIME INC"/>
    <n v="3293.04"/>
    <s v="In Process"/>
    <s v="1 Carrier"/>
    <s v="Stericycle / Destructions"/>
    <d v="2015-01-29T00:00:00"/>
    <s v="Resolved"/>
    <d v="2015-01-28T00:00:00"/>
    <m/>
    <m/>
    <m/>
    <s v="UL-2019373"/>
    <s v="1 Concealed / Damage"/>
    <s v=" 12 units damaged."/>
  </r>
  <r>
    <x v="89"/>
    <x v="0"/>
    <s v="KFOLEY"/>
    <d v="2015-01-28T00:00:00"/>
    <d v="2015-01-20T00:00:00"/>
    <n v="1201399"/>
    <s v="MCKESSON"/>
    <n v="1334926"/>
    <s v="MCKESSON CORPORATION"/>
    <n v="1171970"/>
    <s v="MCKESSON"/>
    <n v="8106652896"/>
    <m/>
    <s v="FDE"/>
    <s v="FEDEX"/>
    <n v="9319.8799999999992"/>
    <s v="In Process"/>
    <m/>
    <m/>
    <m/>
    <s v="Resolved"/>
    <d v="2015-01-30T00:00:00"/>
    <m/>
    <m/>
    <m/>
    <s v="626414864956 &amp; 626414864967"/>
    <m/>
    <m/>
  </r>
  <r>
    <x v="90"/>
    <x v="0"/>
    <s v="KFOLEY"/>
    <d v="2015-01-08T00:00:00"/>
    <d v="2015-01-02T00:00:00"/>
    <n v="1201733"/>
    <s v="MCKESSON MEDICAL-SURGICAL INC"/>
    <n v="1316721"/>
    <s v="MCKESSON MEDICAL SURGICAL"/>
    <n v="1171970"/>
    <s v="MCKESSON"/>
    <n v="16475321"/>
    <m/>
    <s v="FDG"/>
    <s v="FEDEX GROUND"/>
    <n v="33.880000000000003"/>
    <s v="In Process"/>
    <s v="1 Carrier"/>
    <s v="Stericycle / Destructions"/>
    <d v="2015-01-15T00:00:00"/>
    <s v="Not Applicable"/>
    <d v="2015-01-08T00:00:00"/>
    <m/>
    <m/>
    <m/>
    <n v="87944971470006"/>
    <s v="1 Concealed / Damage"/>
    <s v=" 1 unit damaged. Customer will destroy. LOD attached."/>
  </r>
  <r>
    <x v="91"/>
    <x v="1"/>
    <s v="KFOLEY"/>
    <d v="2015-01-15T00:00:00"/>
    <d v="2015-01-09T00:00:00"/>
    <n v="1201467"/>
    <s v="MCKESSON SPECIALTY CARE DISTRIBUTIO"/>
    <n v="1201467"/>
    <s v="MCKESSON SPECIALTY CARE DISTRIBUTIO"/>
    <n v="1201467"/>
    <s v="MCKESSON SPECIALTY CARE DISTRIBUTIO"/>
    <n v="2100019553"/>
    <m/>
    <s v="FDG"/>
    <s v="FEDEX GROUND"/>
    <n v="0"/>
    <s v="In Process"/>
    <m/>
    <m/>
    <m/>
    <s v="Resolved"/>
    <d v="2015-01-27T00:00:00"/>
    <m/>
    <m/>
    <m/>
    <s v="087944971496136 &amp; 087944971496143 &amp; 087944971496150"/>
    <m/>
    <m/>
  </r>
  <r>
    <x v="92"/>
    <x v="4"/>
    <s v="KFOLEY"/>
    <d v="2015-01-26T00:00:00"/>
    <m/>
    <n v="1201422"/>
    <s v="MEIJER DRUG"/>
    <n v="1336603"/>
    <s v="MEIJER STORES LIMITED PARTNERSHIP"/>
    <n v="1171980"/>
    <s v="MEIJER DISTRIBUTION INC"/>
    <n v="205289840"/>
    <m/>
    <m/>
    <m/>
    <n v="244.44"/>
    <s v="In Process"/>
    <s v="4 Distribution"/>
    <s v="Explanation Cell (allows added comments)"/>
    <d v="2015-01-29T00:00:00"/>
    <s v="Not Applicable"/>
    <d v="2015-01-26T00:00:00"/>
    <m/>
    <m/>
    <m/>
    <m/>
    <s v="4 DC Overage"/>
    <s v=" Gurnee DC overshipped to customer product was returned to DC on 1/29/2015 and restocked. No credit needed customer not invoiced"/>
  </r>
  <r>
    <x v="93"/>
    <x v="1"/>
    <s v="KFOLEY"/>
    <d v="2015-01-20T00:00:00"/>
    <d v="2015-01-19T00:00:00"/>
    <n v="1201428"/>
    <s v="MIAMI-LUKEN INC"/>
    <n v="1201428"/>
    <s v="MIAMI-LUKEN INC"/>
    <n v="1201428"/>
    <s v="MIAMI-LUKEN INC"/>
    <n v="474417"/>
    <m/>
    <s v="FXFE"/>
    <s v="FEDEX FREIGHT LTL PRIORITY"/>
    <n v="31.05"/>
    <s v="In Process"/>
    <m/>
    <m/>
    <m/>
    <s v="Not Applicable"/>
    <d v="2015-01-20T00:00:00"/>
    <m/>
    <m/>
    <m/>
    <n v="2795613903"/>
    <m/>
    <m/>
  </r>
  <r>
    <x v="94"/>
    <x v="1"/>
    <s v="KFOLEY"/>
    <d v="2015-01-05T00:00:00"/>
    <d v="2014-11-21T00:00:00"/>
    <n v="1201458"/>
    <s v="N C MUTUAL WHOLESALE DRUG"/>
    <n v="1201458"/>
    <s v="N C MUTUAL WHOLESALE DRUG"/>
    <n v="1201458"/>
    <s v="N C MUTUAL WHOLESALE DRUG"/>
    <n v="258623"/>
    <m/>
    <s v="FDE"/>
    <s v="FEDEX"/>
    <n v="3623.28"/>
    <s v="In Process"/>
    <s v="4 Distribution"/>
    <s v="Explanation Cell (allows added comments)"/>
    <d v="2015-01-12T00:00:00"/>
    <s v="Not Applicable"/>
    <d v="2015-01-05T00:00:00"/>
    <m/>
    <m/>
    <m/>
    <n v="580653951740"/>
    <s v="4 DC Shortage"/>
    <s v=" Gurnee inventory had a +12 adj. on 11/26/2014. Please have customer reverify qty. they are short."/>
  </r>
  <r>
    <x v="95"/>
    <x v="0"/>
    <s v="KFOLEY"/>
    <d v="2015-01-22T00:00:00"/>
    <d v="2014-10-10T00:00:00"/>
    <n v="1201719"/>
    <s v="OMNICARE DISTRIBUTION CENTER LLC"/>
    <n v="1201719"/>
    <s v="OMNICARE DISTRIBUTION CENTER LLC"/>
    <n v="1172367"/>
    <s v="HEARTLAND REPACK SERVICES"/>
    <s v="SW1038271"/>
    <m/>
    <s v="FXFE"/>
    <s v="FEDEX FREIGHT LTL PRIORITY"/>
    <n v="74.099999999999994"/>
    <s v="In Process"/>
    <s v="5 Manufacture"/>
    <s v="Explanation Cell (allows added comments)"/>
    <d v="2015-01-29T00:00:00"/>
    <s v="Not Applicable"/>
    <d v="2015-01-22T00:00:00"/>
    <m/>
    <m/>
    <m/>
    <n v="2865878901"/>
    <s v="5 Product Quality -Missing Pills, Labels etc"/>
    <s v=" 26 units reported with broken seals."/>
  </r>
  <r>
    <x v="96"/>
    <x v="1"/>
    <s v="KFOLEY"/>
    <d v="2015-01-29T00:00:00"/>
    <d v="2015-01-26T00:00:00"/>
    <n v="1201483"/>
    <s v="PHARMACY BUYING ASSOC"/>
    <n v="1001169"/>
    <s v="PHARMACY BUYING ASSOCIATION"/>
    <n v="1201483"/>
    <s v="PHARMACY BUYING ASSOC"/>
    <n v="88757"/>
    <m/>
    <s v="FXFE"/>
    <s v="FEDEX FREIGHT LTL PRIORITY"/>
    <n v="42.92"/>
    <s v="In Process"/>
    <m/>
    <m/>
    <m/>
    <s v="Not Applicable"/>
    <d v="2015-01-29T00:00:00"/>
    <m/>
    <m/>
    <m/>
    <n v="2795615104"/>
    <m/>
    <m/>
  </r>
  <r>
    <x v="97"/>
    <x v="1"/>
    <s v="KFOLEY"/>
    <d v="2015-01-29T00:00:00"/>
    <d v="2015-01-23T00:00:00"/>
    <n v="1201520"/>
    <s v="PRESCRIPTION SUPPLY INC"/>
    <n v="1201520"/>
    <s v="PRESCRIPTION SUPPLY INC"/>
    <n v="1201520"/>
    <s v="PRESCRIPTION SUPPLY INC"/>
    <n v="560908"/>
    <m/>
    <s v="FDG"/>
    <s v="FEDEX GROUND"/>
    <n v="6181.44"/>
    <s v="In Process"/>
    <m/>
    <m/>
    <m/>
    <m/>
    <m/>
    <m/>
    <m/>
    <m/>
    <n v="87944971557134"/>
    <m/>
    <m/>
  </r>
  <r>
    <x v="98"/>
    <x v="1"/>
    <s v="KFOLEY"/>
    <d v="2015-01-06T00:00:00"/>
    <d v="2014-12-22T00:00:00"/>
    <n v="1201540"/>
    <s v="PUBLIX SUPER MARKETS, INC."/>
    <n v="1312297"/>
    <s v="PUBLIX SUPER MARKETS INC"/>
    <n v="1201540"/>
    <s v="PUBLIX SUPER MARKETS, INC."/>
    <s v="O490507-03"/>
    <m/>
    <s v="FDG"/>
    <s v="FEDEX GROUND"/>
    <n v="0"/>
    <s v="In Process"/>
    <s v="2 Customer"/>
    <s v="Explanation Cell (allows added comments)"/>
    <d v="2015-01-09T00:00:00"/>
    <s v="Resolved"/>
    <d v="2015-01-07T00:00:00"/>
    <m/>
    <m/>
    <m/>
    <n v="87944971462490"/>
    <s v="6 No Issue"/>
    <s v=" Customer receiving error due to a case size change. No issue Customer has located all product. SDR has been rejected."/>
  </r>
  <r>
    <x v="99"/>
    <x v="1"/>
    <s v="KFOLEY"/>
    <d v="2015-01-06T00:00:00"/>
    <d v="2014-12-22T00:00:00"/>
    <n v="1201540"/>
    <s v="PUBLIX SUPER MARKETS, INC."/>
    <n v="1312297"/>
    <s v="PUBLIX SUPER MARKETS INC"/>
    <n v="1201540"/>
    <s v="PUBLIX SUPER MARKETS, INC."/>
    <s v="O493341-01"/>
    <m/>
    <s v="FDG"/>
    <s v="FEDEX GROUND"/>
    <n v="0"/>
    <s v="In Process"/>
    <s v="2 Customer"/>
    <s v="Explanation Cell (allows added comments)"/>
    <d v="2015-01-09T00:00:00"/>
    <m/>
    <m/>
    <m/>
    <m/>
    <m/>
    <n v="87944971462476"/>
    <s v="6 No Issue"/>
    <s v=" Customer receiving error due to a case size change. No issue Customer has located all product. SDR has been rejected."/>
  </r>
  <r>
    <x v="100"/>
    <x v="1"/>
    <s v="KFOLEY"/>
    <d v="2015-01-26T00:00:00"/>
    <d v="2015-01-16T00:00:00"/>
    <n v="1016311"/>
    <s v="QUEST PHARMACEUTICALS INC"/>
    <n v="1132034"/>
    <s v="QUEST PHARMACEUTICALS INC"/>
    <n v="1016311"/>
    <s v="QUEST PHARMACEUTICALS INC"/>
    <n v="226771"/>
    <m/>
    <s v="FXFE"/>
    <s v="FEDEX FREIGHT LTL PRIORITY"/>
    <n v="161.76"/>
    <s v="In Process"/>
    <m/>
    <m/>
    <m/>
    <s v="Not Applicable"/>
    <d v="2015-01-26T00:00:00"/>
    <m/>
    <m/>
    <m/>
    <n v="2795613833"/>
    <m/>
    <m/>
  </r>
  <r>
    <x v="101"/>
    <x v="0"/>
    <s v="KFOLEY"/>
    <d v="2015-01-07T00:00:00"/>
    <d v="2015-01-02T00:00:00"/>
    <n v="1201550"/>
    <s v="R &amp; S NORTHEAST LLC"/>
    <n v="1326078"/>
    <s v="APACE KY LLC"/>
    <n v="1201550"/>
    <s v="R &amp; S NORTHEAST LLC"/>
    <n v="50011758"/>
    <m/>
    <s v="FXFE"/>
    <s v="FEDEX FREIGHT LTL PRIORITY"/>
    <n v="3135"/>
    <s v="In Process"/>
    <s v="1 Carrier"/>
    <s v="Stericycle / Destructions"/>
    <d v="2015-01-15T00:00:00"/>
    <s v="Resolved"/>
    <d v="2015-01-07T00:00:00"/>
    <m/>
    <m/>
    <m/>
    <n v="2795612282"/>
    <s v="1 Concealed / Damage"/>
    <s v=" 50 units damaged."/>
  </r>
  <r>
    <x v="102"/>
    <x v="2"/>
    <s v="KFOLEY"/>
    <d v="2015-01-16T00:00:00"/>
    <d v="2015-01-13T00:00:00"/>
    <n v="1201550"/>
    <s v="R &amp; S NORTHEAST LLC"/>
    <n v="1326078"/>
    <s v="APACE KY LLC"/>
    <n v="1201550"/>
    <s v="R &amp; S NORTHEAST LLC"/>
    <n v="50012241"/>
    <m/>
    <s v="FDG"/>
    <s v="FEDEX GROUND"/>
    <n v="27929.52"/>
    <s v="Complete"/>
    <s v="7 Other"/>
    <s v="Explanation Cell (allows added comments)"/>
    <d v="2015-01-21T00:00:00"/>
    <s v="Not Applicable"/>
    <d v="2015-01-16T00:00:00"/>
    <s v="Returns"/>
    <n v="61794076"/>
    <d v="2015-01-28T00:00:00"/>
    <n v="87944971513642"/>
    <s v="1 Returned"/>
    <s v=" Customer needed 300 ea. , but due to OMS only 72 shipped customer could not use and refused. Product was returned back to DC on"/>
  </r>
  <r>
    <x v="103"/>
    <x v="1"/>
    <s v="KFOLEY"/>
    <d v="2015-01-21T00:00:00"/>
    <d v="2015-01-16T00:00:00"/>
    <n v="1201605"/>
    <s v="SMITH DRUG COMPANY"/>
    <n v="1323069"/>
    <s v="SMITH DRUG COMPANY"/>
    <n v="1172017"/>
    <s v="SMITH DRUG COMPANY/SC"/>
    <n v="485942"/>
    <m/>
    <s v="FXFE"/>
    <s v="FEDEX FREIGHT LTL PRIORITY"/>
    <n v="1870.36"/>
    <s v="In Process"/>
    <s v="4 Distribution"/>
    <s v="Error Confirmed"/>
    <d v="2015-01-22T00:00:00"/>
    <m/>
    <m/>
    <m/>
    <m/>
    <m/>
    <n v="2795613715"/>
    <s v="4 DC Shortage"/>
    <s v=" Gurnee had a +92 adj. on 12/21/2015. DC shipped 4 units rather then 4 cases in error."/>
  </r>
  <r>
    <x v="104"/>
    <x v="1"/>
    <s v="KFOLEY"/>
    <d v="2015-01-22T00:00:00"/>
    <d v="2015-01-06T00:00:00"/>
    <n v="1201605"/>
    <s v="SMITH DRUG COMPANY"/>
    <n v="1310002"/>
    <s v="SMITH DRUG COMPANY"/>
    <n v="1172017"/>
    <s v="SMITH DRUG COMPANY/SC"/>
    <n v="484475"/>
    <m/>
    <s v="FDG"/>
    <s v="FEDEX GROUND"/>
    <n v="382.08"/>
    <s v="In Process"/>
    <m/>
    <m/>
    <m/>
    <s v="Not Applicable"/>
    <d v="2015-01-22T00:00:00"/>
    <m/>
    <m/>
    <m/>
    <n v="87944971483976"/>
    <m/>
    <m/>
  </r>
  <r>
    <x v="105"/>
    <x v="0"/>
    <s v="KFOLEY"/>
    <d v="2015-01-23T00:00:00"/>
    <d v="2015-01-20T00:00:00"/>
    <n v="1201605"/>
    <s v="SMITH DRUG COMPANY"/>
    <n v="1023292"/>
    <s v="SMITH DRUG COMPANY"/>
    <n v="1172017"/>
    <s v="SMITH DRUG COMPANY/SC"/>
    <n v="487175"/>
    <m/>
    <s v="FXFE"/>
    <s v="FEDEX FREIGHT LTL PRIORITY"/>
    <n v="92.67"/>
    <s v="In Process"/>
    <s v="1 Carrier"/>
    <s v="Stericycle / Destructions"/>
    <d v="2015-01-29T00:00:00"/>
    <s v="Not Applicable"/>
    <d v="2015-01-23T00:00:00"/>
    <m/>
    <m/>
    <m/>
    <n v="2795614091"/>
    <s v="1 Concealed / Damage"/>
    <s v=" 1 unit damaged."/>
  </r>
  <r>
    <x v="106"/>
    <x v="3"/>
    <s v="KFOLEY"/>
    <d v="2015-01-28T00:00:00"/>
    <d v="2014-11-07T00:00:00"/>
    <n v="1201605"/>
    <s v="SMITH DRUG COMPANY"/>
    <n v="1023292"/>
    <s v="SMITH DRUG COMPANY"/>
    <n v="1172017"/>
    <s v="SMITH DRUG COMPANY/SC"/>
    <n v="473375"/>
    <m/>
    <s v="FXFE"/>
    <s v="FEDEX FREIGHT LTL PRIORITY"/>
    <n v="8260.2000000000007"/>
    <s v="In Process"/>
    <m/>
    <m/>
    <m/>
    <s v="Not Applicable"/>
    <d v="2015-01-28T00:00:00"/>
    <m/>
    <m/>
    <m/>
    <n v="2865882950"/>
    <m/>
    <m/>
  </r>
  <r>
    <x v="107"/>
    <x v="0"/>
    <s v="KFOLEY"/>
    <d v="2015-01-28T00:00:00"/>
    <d v="2015-01-23T00:00:00"/>
    <n v="1201605"/>
    <s v="SMITH DRUG COMPANY"/>
    <n v="1323069"/>
    <s v="SMITH DRUG COMPANY"/>
    <n v="1172017"/>
    <s v="SMITH DRUG COMPANY/SC"/>
    <n v="487784"/>
    <m/>
    <s v="FXFE"/>
    <s v="FEDEX FREIGHT LTL PRIORITY"/>
    <n v="450"/>
    <s v="In Process"/>
    <m/>
    <m/>
    <m/>
    <s v="Not Applicable"/>
    <d v="2015-01-28T00:00:00"/>
    <m/>
    <m/>
    <m/>
    <n v="2795614673"/>
    <m/>
    <m/>
  </r>
  <r>
    <x v="108"/>
    <x v="0"/>
    <s v="KFOLEY"/>
    <d v="2015-01-22T00:00:00"/>
    <d v="2015-01-20T00:00:00"/>
    <n v="1201630"/>
    <s v="SUPERVALU, INC."/>
    <n v="1000687"/>
    <s v="SUPERVALU INC"/>
    <n v="1201630"/>
    <s v="SUPERVALU, INC."/>
    <n v="48701683"/>
    <m/>
    <s v="FXFE"/>
    <s v="FEDEX FREIGHT LTL PRIORITY"/>
    <n v="1812"/>
    <s v="In Process"/>
    <s v="1 Carrier"/>
    <s v="Stericycle / Destructions"/>
    <d v="2015-01-29T00:00:00"/>
    <s v="Resolved"/>
    <d v="2015-01-28T00:00:00"/>
    <m/>
    <m/>
    <m/>
    <n v="2795614032"/>
    <s v="1 Concealed / Damage"/>
    <s v=" 2 units ONLY damaged. Call tag issued to Genco for destruction."/>
  </r>
  <r>
    <x v="109"/>
    <x v="0"/>
    <s v="KFOLEY"/>
    <d v="2015-01-29T00:00:00"/>
    <d v="2015-01-27T00:00:00"/>
    <n v="1201630"/>
    <s v="SUPERVALU, INC."/>
    <n v="1000687"/>
    <s v="SUPERVALU INC"/>
    <n v="1201630"/>
    <s v="SUPERVALU, INC."/>
    <n v="48702394"/>
    <m/>
    <s v="FXFE"/>
    <s v="FEDEX FREIGHT LTL PRIORITY"/>
    <n v="1812"/>
    <s v="In Process"/>
    <m/>
    <m/>
    <m/>
    <s v="Resolved"/>
    <d v="2015-01-30T00:00:00"/>
    <m/>
    <m/>
    <m/>
    <n v="2795615244"/>
    <m/>
    <m/>
  </r>
  <r>
    <x v="110"/>
    <x v="0"/>
    <s v="KFOLEY"/>
    <d v="2015-01-23T00:00:00"/>
    <d v="2015-01-15T00:00:00"/>
    <n v="1201640"/>
    <s v="THE HARVARD GROUP"/>
    <n v="1338029"/>
    <s v="THE HARVARD DRUG GROUP LLC"/>
    <n v="1201640"/>
    <s v="THE HARVARD GROUP"/>
    <s v="G507814"/>
    <m/>
    <s v="FXFE"/>
    <s v="FEDEX FREIGHT LTL PRIORITY"/>
    <n v="655.29"/>
    <s v="In Process"/>
    <s v="1 Carrier"/>
    <s v="Stericycle / Destructions"/>
    <d v="2015-01-29T00:00:00"/>
    <s v="Not Applicable"/>
    <d v="2015-01-23T00:00:00"/>
    <m/>
    <m/>
    <m/>
    <n v="2795613531"/>
    <s v="1 Concealed / Damage"/>
    <s v=" 7 units reported damaged."/>
  </r>
  <r>
    <x v="111"/>
    <x v="0"/>
    <s v="KFOLEY"/>
    <d v="2015-01-29T00:00:00"/>
    <d v="2015-01-22T00:00:00"/>
    <n v="1201640"/>
    <s v="THE HARVARD GROUP"/>
    <n v="1338029"/>
    <s v="THE HARVARD DRUG GROUP LLC"/>
    <n v="1201640"/>
    <s v="THE HARVARD GROUP"/>
    <s v="G508021"/>
    <m/>
    <s v="FXFE"/>
    <s v="FEDEX FREIGHT LTL PRIORITY"/>
    <n v="134.88"/>
    <s v="In Process"/>
    <m/>
    <m/>
    <m/>
    <s v="Not Applicable"/>
    <d v="2015-01-29T00:00:00"/>
    <m/>
    <m/>
    <m/>
    <n v="2795614323"/>
    <m/>
    <m/>
  </r>
  <r>
    <x v="112"/>
    <x v="0"/>
    <s v="KFOLEY"/>
    <d v="2015-01-20T00:00:00"/>
    <d v="2015-01-12T00:00:00"/>
    <n v="1201643"/>
    <s v="THRIFTY WHITE DRUG STORES INC"/>
    <n v="1329411"/>
    <s v="THRIFTY WHITE WAREHOUSE # 899"/>
    <n v="1201643"/>
    <s v="THRIFTY WHITE DRUG STORES INC"/>
    <n v="20400"/>
    <m/>
    <s v="FXFE"/>
    <s v="FEDEX FREIGHT LTL PRIORITY"/>
    <n v="460.2"/>
    <s v="In Process"/>
    <s v="2 Customer"/>
    <s v="Stericycle / Destructions"/>
    <d v="2015-01-29T00:00:00"/>
    <s v="Not Applicable"/>
    <d v="2015-01-20T00:00:00"/>
    <m/>
    <m/>
    <m/>
    <n v="2795612805"/>
    <s v="1 Concealed / Damage"/>
    <s v=" 1 case reported damaged."/>
  </r>
  <r>
    <x v="113"/>
    <x v="0"/>
    <s v="KFOLEY"/>
    <d v="2015-01-22T00:00:00"/>
    <d v="2015-01-16T00:00:00"/>
    <n v="1201646"/>
    <s v="TOP RX INC"/>
    <n v="1201646"/>
    <s v="TOP RX INC"/>
    <n v="1201646"/>
    <s v="TOP RX INC"/>
    <n v="8041595"/>
    <m/>
    <s v="FXFE"/>
    <s v="FEDEX FREIGHT LTL PRIORITY"/>
    <n v="10.44"/>
    <s v="In Process"/>
    <s v="1 Carrier"/>
    <s v="Stericycle / Destructions"/>
    <d v="2015-01-29T00:00:00"/>
    <s v="Not Applicable"/>
    <d v="2015-01-22T00:00:00"/>
    <m/>
    <m/>
    <m/>
    <n v="2795613763"/>
    <s v="1 Concealed / Damage"/>
    <s v=" 2 units reported damaged."/>
  </r>
  <r>
    <x v="114"/>
    <x v="0"/>
    <s v="KFOLEY"/>
    <d v="2015-01-29T00:00:00"/>
    <d v="2015-01-22T00:00:00"/>
    <n v="1201646"/>
    <s v="TOP RX LLC"/>
    <n v="1201646"/>
    <s v="TOP RX LLC"/>
    <n v="1201646"/>
    <s v="TOP RX LLC"/>
    <n v="8041693"/>
    <m/>
    <s v="FXFE"/>
    <s v="FEDEX FREIGHT LTL PRIORITY"/>
    <n v="44.32"/>
    <s v="In Process"/>
    <m/>
    <m/>
    <m/>
    <s v="Not Applicable"/>
    <d v="2015-01-29T00:00:00"/>
    <m/>
    <m/>
    <m/>
    <n v="2795614500"/>
    <m/>
    <m/>
  </r>
  <r>
    <x v="115"/>
    <x v="1"/>
    <s v="KFOLEY"/>
    <d v="2015-01-27T00:00:00"/>
    <d v="2015-01-16T00:00:00"/>
    <n v="1201674"/>
    <s v="VALLEY WHOLESALE DRUG CO INC"/>
    <n v="1201674"/>
    <s v="VALLEY WHOLESALE DRUG CO INC"/>
    <n v="1201674"/>
    <s v="VALLEY WHOLESALE DRUG CO INC"/>
    <n v="461615"/>
    <m/>
    <s v="FXFE"/>
    <s v="FEDEX FREIGHT LTL PRIORITY"/>
    <n v="6181.44"/>
    <s v="In Process"/>
    <s v="4 Distribution"/>
    <s v="Error Confirmed"/>
    <d v="2015-01-28T00:00:00"/>
    <s v="Resolved"/>
    <d v="2015-01-28T00:00:00"/>
    <m/>
    <m/>
    <m/>
    <n v="2795613730"/>
    <s v="4 DC Shortage"/>
    <s v=" Gurnee inventory had a +48 adj. on 1/21/2015."/>
  </r>
  <r>
    <x v="116"/>
    <x v="0"/>
    <s v="KFOLEY"/>
    <d v="2015-01-29T00:00:00"/>
    <d v="2015-01-14T00:00:00"/>
    <n v="1201675"/>
    <s v="VALUE DRUG COMPANY"/>
    <n v="1201675"/>
    <s v="VALUE DRUG COMPANY"/>
    <n v="1172015"/>
    <s v="VALUE DRUG COMPANY"/>
    <n v="74522"/>
    <m/>
    <s v="FXFE"/>
    <s v="FEDEX FREIGHT LTL PRIORITY"/>
    <n v="196.44"/>
    <s v="In Process"/>
    <m/>
    <m/>
    <m/>
    <s v="Not Applicable"/>
    <d v="2015-01-29T00:00:00"/>
    <m/>
    <m/>
    <m/>
    <n v="2795613251"/>
    <m/>
    <m/>
  </r>
  <r>
    <x v="117"/>
    <x v="1"/>
    <s v="KFOLEY"/>
    <d v="2015-01-07T00:00:00"/>
    <d v="2015-01-02T00:00:00"/>
    <n v="1324964"/>
    <s v="VILLAGE FERTILITY PHARMACY INC"/>
    <n v="1324964"/>
    <s v="VILLAGE FERTILITY PHARMACY INC"/>
    <n v="1324964"/>
    <s v="VILLAGE FERTILITY PHARMACY INC"/>
    <n v="1068"/>
    <m/>
    <s v="FDE"/>
    <s v="FEDEX"/>
    <n v="488.48"/>
    <s v="In Process"/>
    <m/>
    <m/>
    <m/>
    <s v="Not Applicable"/>
    <d v="2015-01-07T00:00:00"/>
    <m/>
    <m/>
    <m/>
    <n v="626414824551"/>
    <m/>
    <m/>
  </r>
  <r>
    <x v="118"/>
    <x v="5"/>
    <s v="KFOLEY"/>
    <d v="2015-01-20T00:00:00"/>
    <d v="2015-01-05T00:00:00"/>
    <n v="1201687"/>
    <s v="WAL-MART STORES"/>
    <n v="1018056"/>
    <s v="WAL-MART #46/WILLIAMSPORT"/>
    <n v="1172012"/>
    <s v="WAL-MART STORES"/>
    <n v="4208447984"/>
    <m/>
    <s v="PRIJ"/>
    <s v="PRIME INC"/>
    <n v="6.82"/>
    <s v="In Process"/>
    <s v="5 Manufacture"/>
    <s v="Explanation Cell (allows added comments)"/>
    <d v="2015-01-29T00:00:00"/>
    <s v="Not Applicable"/>
    <d v="2015-01-20T00:00:00"/>
    <m/>
    <m/>
    <m/>
    <s v="UL-3433051"/>
    <s v="5 Product Quality -Missing Pills, Labels etc"/>
    <s v=" Customer reported 1 bottle received w/o a label. Info forwarded to PV."/>
  </r>
  <r>
    <x v="119"/>
    <x v="4"/>
    <s v="KFOLEY"/>
    <d v="2015-01-20T00:00:00"/>
    <d v="2015-01-09T00:00:00"/>
    <n v="1201687"/>
    <s v="WAL-MART STORES"/>
    <n v="1017057"/>
    <s v="WAL-MART #32/HANFORD"/>
    <n v="1172012"/>
    <s v="WAL-MART STORES"/>
    <n v="1553964432"/>
    <m/>
    <s v="CQDN"/>
    <s v="CUSTOM CO INC"/>
    <n v="0"/>
    <s v="In Process"/>
    <s v="6 No Issue"/>
    <s v="Explanation Cell (allows added comments)"/>
    <d v="2015-01-22T00:00:00"/>
    <s v="Not Applicable"/>
    <d v="2015-01-20T00:00:00"/>
    <m/>
    <m/>
    <m/>
    <s v="UL-2857565"/>
    <s v="6 No Issue"/>
    <s v=" Customer provided wrong PO number. This was resolved on SDR 10016757."/>
  </r>
  <r>
    <x v="120"/>
    <x v="4"/>
    <s v="KSARTORI"/>
    <d v="2015-01-27T00:00:00"/>
    <d v="2015-01-22T00:00:00"/>
    <n v="1201044"/>
    <s v="AMERICAN SALES CO INC"/>
    <n v="1033809"/>
    <s v="AMERICAN SALES COMPANY"/>
    <n v="1201044"/>
    <s v="AMERICAN SALES CO INC"/>
    <n v="10436915"/>
    <m/>
    <s v="FXFE"/>
    <s v="FEDEX FREIGHT LTL PRIORITY"/>
    <n v="10291.44"/>
    <s v="In Process"/>
    <m/>
    <m/>
    <m/>
    <s v="Not Applicable"/>
    <d v="2015-01-27T00:00:00"/>
    <m/>
    <m/>
    <m/>
    <n v="2795614415"/>
    <m/>
    <m/>
  </r>
  <r>
    <x v="121"/>
    <x v="0"/>
    <s v="MLESNY"/>
    <d v="2015-01-02T00:00:00"/>
    <d v="2014-12-23T00:00:00"/>
    <n v="1201540"/>
    <s v="PUBLIX SUPER MARKETS, INC."/>
    <n v="1312297"/>
    <s v="PUBLIX SUPER MARKETS INC"/>
    <n v="1201540"/>
    <s v="PUBLIX SUPER MARKETS, INC."/>
    <s v="O490507-09"/>
    <m/>
    <s v="FXFE"/>
    <s v="FEDEX FREIGHT LTL PRIORITY"/>
    <n v="73.319999999999993"/>
    <s v="Complete"/>
    <s v="1 Carrier"/>
    <s v="Stericycle / Destructions"/>
    <d v="2015-01-14T00:00:00"/>
    <s v="Not Applicable"/>
    <d v="2015-01-02T00:00:00"/>
    <s v="Credit Memo"/>
    <n v="61794779"/>
    <d v="2015-01-29T00:00:00"/>
    <n v="2795611803"/>
    <s v="1 Concealed / Damage"/>
    <s v=" 4 units damaged. Call tag issued to Genco for destruction."/>
  </r>
  <r>
    <x v="122"/>
    <x v="3"/>
    <s v="MLESNY"/>
    <d v="2015-01-09T00:00:00"/>
    <d v="2014-12-22T00:00:00"/>
    <n v="1201687"/>
    <s v="WAL-MART STORES"/>
    <n v="1017057"/>
    <s v="WAL-MART #32/HANFORD"/>
    <n v="1172012"/>
    <s v="WAL-MART STORES"/>
    <n v="1553964219"/>
    <m/>
    <s v="FXFE"/>
    <s v="FEDEX FREIGHT LTL PRIORITY"/>
    <n v="404.64"/>
    <s v="In Process"/>
    <s v="2 Customer"/>
    <s v="Return/ Request RE"/>
    <d v="2015-01-27T00:00:00"/>
    <s v="Not Applicable"/>
    <d v="2015-01-09T00:00:00"/>
    <m/>
    <m/>
    <m/>
    <n v="2795611346"/>
    <s v="2 Cust. Ordered Wrong Item"/>
    <s v=" Customer did not receive these in until after they converted their system to the new case size of 48. These were the old case s"/>
  </r>
  <r>
    <x v="123"/>
    <x v="0"/>
    <s v="MLESNY"/>
    <d v="2015-01-02T00:00:00"/>
    <d v="2014-12-23T00:00:00"/>
    <n v="1201698"/>
    <s v="WINN DIXIE LOGISTICS, INC."/>
    <n v="1201698"/>
    <s v="WINN DIXIE LOGISTICS, INC."/>
    <n v="1201698"/>
    <s v="WINN DIXIE LOGISTICS, INC."/>
    <n v="518055"/>
    <m/>
    <s v="FXFE"/>
    <s v="FEDEX FREIGHT LTL PRIORITY"/>
    <n v="31.86"/>
    <s v="In Process"/>
    <s v="1 Carrier"/>
    <s v="Stericycle / Destructions"/>
    <d v="2015-01-14T00:00:00"/>
    <s v="Not Applicable"/>
    <d v="2015-01-02T00:00:00"/>
    <m/>
    <m/>
    <m/>
    <n v="2795611906"/>
    <s v="1 Concealed / Damage"/>
    <s v=" 6 units damaged. Call tag issued to Genco for destruction."/>
  </r>
  <r>
    <x v="124"/>
    <x v="1"/>
    <s v="MLESNY"/>
    <d v="2015-01-02T00:00:00"/>
    <d v="2014-12-23T00:00:00"/>
    <n v="1201698"/>
    <s v="WINN DIXIE LOGISTICS, INC."/>
    <n v="1201698"/>
    <s v="WINN DIXIE LOGISTICS, INC."/>
    <n v="1201698"/>
    <s v="WINN DIXIE LOGISTICS, INC."/>
    <n v="518055"/>
    <m/>
    <s v="FXFE"/>
    <s v="FEDEX FREIGHT LTL PRIORITY"/>
    <n v="5.31"/>
    <s v="In Process"/>
    <s v="1 Carrier"/>
    <s v="Explanation Cell (allows added comments)"/>
    <d v="2015-01-14T00:00:00"/>
    <s v="Not Applicable"/>
    <d v="2015-01-02T00:00:00"/>
    <m/>
    <m/>
    <m/>
    <n v="2795611906"/>
    <s v="1 Concealed / Damage"/>
    <s v=" This product had damage upon receicipt. (see SDR 10016692) 1 unit was short. probably lost in transit by carrier when damage oc"/>
  </r>
  <r>
    <x v="125"/>
    <x v="5"/>
    <s v="SMEYER"/>
    <d v="2015-01-02T00:00:00"/>
    <d v="2014-11-07T00:00:00"/>
    <n v="1322515"/>
    <s v="HUMANA INC"/>
    <n v="1322536"/>
    <s v="HUMANA PHARMACY INC"/>
    <n v="1322515"/>
    <s v="HUMANA INC"/>
    <n v="223126"/>
    <m/>
    <s v="PRIJ"/>
    <s v="PRIME INC"/>
    <n v="142.80000000000001"/>
    <s v="Complete"/>
    <s v="5 Manufacture"/>
    <s v="Stericycle / Destructions"/>
    <d v="2015-01-07T00:00:00"/>
    <s v="Not Applicable"/>
    <d v="2015-01-02T00:00:00"/>
    <s v="Credit Memo"/>
    <n v="61770321"/>
    <d v="2015-01-07T00:00:00"/>
    <s v="UL-2007506"/>
    <s v="5 Product Quality -Missing Pills, Labels etc"/>
    <s v=" Customer reported 17 bottles received w/o seals."/>
  </r>
  <r>
    <x v="126"/>
    <x v="5"/>
    <s v="SMEYER"/>
    <d v="2015-01-07T00:00:00"/>
    <d v="2014-11-07T00:00:00"/>
    <n v="1322515"/>
    <s v="HUMANA INC"/>
    <n v="1322536"/>
    <s v="HUMANA PHARMACY INC"/>
    <n v="1322515"/>
    <s v="HUMANA INC"/>
    <n v="223126"/>
    <m/>
    <s v="PRIJ"/>
    <s v="PRIME INC"/>
    <n v="161.97999999999999"/>
    <s v="In Process"/>
    <s v="5 Manufacture"/>
    <s v="Explanation Cell (allows added comments)"/>
    <d v="2015-01-29T00:00:00"/>
    <s v="Not Applicable"/>
    <d v="2015-01-07T00:00:00"/>
    <m/>
    <m/>
    <m/>
    <s v="UL-2007506"/>
    <s v="5 Product Quality -Missing Pills, Labels etc"/>
    <s v=" Customer reported 1 unit missing seal."/>
  </r>
  <r>
    <x v="127"/>
    <x v="5"/>
    <s v="SMEYER"/>
    <d v="2015-01-14T00:00:00"/>
    <d v="2014-10-14T00:00:00"/>
    <n v="1201766"/>
    <s v="MASTERS PHARMACEUTICALS INC"/>
    <n v="1157939"/>
    <s v="MASTERS PHARMACEUTICALS INC"/>
    <n v="1201766"/>
    <s v="MASTERS PHARMACEUTICALS INC"/>
    <n v="55276"/>
    <m/>
    <s v="FDG"/>
    <s v="FEDEX GROUND"/>
    <n v="29.34"/>
    <s v="In Process"/>
    <s v="1 Carrier"/>
    <s v="Explanation Cell (allows added comments)"/>
    <d v="2015-01-29T00:00:00"/>
    <s v="Not Applicable"/>
    <d v="2015-01-14T00:00:00"/>
    <m/>
    <m/>
    <m/>
    <n v="87944971222254"/>
    <s v="1 Tampered"/>
    <s v=" Customer had a case of 12 units on order. 11 units were found by Fed Ex and returned to DC (see SDR 10016080) Customer received"/>
  </r>
  <r>
    <x v="128"/>
    <x v="5"/>
    <s v="SMEYER"/>
    <d v="2015-01-22T00:00:00"/>
    <d v="2015-01-15T00:00:00"/>
    <n v="1201766"/>
    <s v="MASTERS PHARMACEUTICALS INC"/>
    <n v="1157939"/>
    <s v="MASTERS PHARMACEUTICALS INC"/>
    <n v="1201766"/>
    <s v="MASTERS PHARMACEUTICALS INC"/>
    <n v="57044"/>
    <m/>
    <s v="FXFE"/>
    <s v="FEDEX FREIGHT LTL PRIORITY"/>
    <n v="5289.84"/>
    <s v="In Process"/>
    <s v="5 Manufacture"/>
    <s v="Explanation Cell (allows added comments)"/>
    <d v="2015-01-29T00:00:00"/>
    <s v="Not Applicable"/>
    <d v="2015-01-22T00:00:00"/>
    <m/>
    <m/>
    <m/>
    <n v="2795613516"/>
    <s v="5 Product Quality -Missing Pills, Labels etc"/>
    <s v=" Customer reported 72 units with pushed in bottles"/>
  </r>
  <r>
    <x v="129"/>
    <x v="0"/>
    <s v="SMEYER"/>
    <d v="2015-01-07T00:00:00"/>
    <d v="2015-01-06T00:00:00"/>
    <n v="1201719"/>
    <s v="OMNICARE DISTRIBUTION CENTER LLC"/>
    <n v="1201719"/>
    <s v="OMNICARE DISTRIBUTION CENTER LLC"/>
    <n v="1172367"/>
    <s v="HEARTLAND REPACK SERVICES"/>
    <s v="RPK011492"/>
    <m/>
    <s v="FDE"/>
    <s v="FEDEX"/>
    <n v="37.64"/>
    <s v="In Process"/>
    <s v="1 Carrier"/>
    <s v="Stericycle / Destructions"/>
    <d v="2015-01-15T00:00:00"/>
    <s v="Not Applicable"/>
    <d v="2015-01-07T00:00:00"/>
    <m/>
    <m/>
    <m/>
    <n v="626414837573"/>
    <s v="1 Concealed / Damage"/>
    <s v=" 2 units damaged. Customer destroyed. LOD attached."/>
  </r>
  <r>
    <x v="130"/>
    <x v="0"/>
    <s v="SMEYER"/>
    <d v="2015-01-15T00:00:00"/>
    <d v="2015-01-06T00:00:00"/>
    <n v="1201719"/>
    <s v="OMNICARE DISTRIBUTION CENTER LLC"/>
    <n v="1201719"/>
    <s v="OMNICARE DISTRIBUTION CENTER LLC"/>
    <n v="1172367"/>
    <s v="HEARTLAND REPACK SERVICES"/>
    <s v="SW1039221"/>
    <m/>
    <s v="FDE"/>
    <s v="FEDEX"/>
    <n v="44.16"/>
    <s v="In Process"/>
    <s v="1 Carrier"/>
    <s v="Stericycle / Destructions"/>
    <d v="2015-01-21T00:00:00"/>
    <s v="Not Applicable"/>
    <d v="2015-01-15T00:00:00"/>
    <m/>
    <m/>
    <m/>
    <s v="626414834243 &amp; 626414834254 &amp; 626414834265"/>
    <s v="1 Concealed / Damage"/>
    <s v=" 6 units damaged. Customer destroyed. LOD attached."/>
  </r>
  <r>
    <x v="131"/>
    <x v="1"/>
    <s v="SMEYER"/>
    <d v="2015-01-23T00:00:00"/>
    <d v="2015-01-21T00:00:00"/>
    <n v="1201719"/>
    <s v="OMNICARE DISTRIBUTION CENTER LLC"/>
    <n v="1201719"/>
    <s v="OMNICARE DISTRIBUTION CENTER LLC"/>
    <n v="1172367"/>
    <s v="HEARTLAND REPACK SERVICES"/>
    <s v="SW1039221"/>
    <m/>
    <s v="FDG"/>
    <s v="FEDEX GROUND"/>
    <n v="28.08"/>
    <s v="In Process"/>
    <s v="4 Distribution"/>
    <s v="Error Confirmed"/>
    <d v="2015-01-28T00:00:00"/>
    <s v="Not Applicable"/>
    <d v="2015-01-23T00:00:00"/>
    <m/>
    <m/>
    <m/>
    <n v="87944971545384"/>
    <s v="4 DC Shortage"/>
    <s v=" Gurnee inventory had a +12 adj. on 1/23/2015."/>
  </r>
  <r>
    <x v="132"/>
    <x v="1"/>
    <s v="VGOLDY"/>
    <d v="2015-01-02T00:00:00"/>
    <d v="2014-12-03T00:00:00"/>
    <n v="1201162"/>
    <s v="DAKOTA DRUG INC/MINOT"/>
    <n v="1030508"/>
    <s v="DAKOTA DRUG"/>
    <n v="1201162"/>
    <s v="DAKOTA DRUG INC/MINOT"/>
    <s v="988963-1"/>
    <m/>
    <s v="FDG"/>
    <s v="FEDEX GROUND"/>
    <n v="2695.8"/>
    <s v="In Process"/>
    <s v="4 Distribution"/>
    <s v="Error Confirmed"/>
    <d v="2015-01-12T00:00:00"/>
    <s v="Resolved"/>
    <d v="2015-01-07T00:00:00"/>
    <m/>
    <m/>
    <m/>
    <n v="87944971395187"/>
    <s v="4 DC Shortage"/>
    <s v=" Gurnee inventory had a +12 adj. on 12/11/2014."/>
  </r>
  <r>
    <x v="133"/>
    <x v="1"/>
    <s v="VGOLDY"/>
    <d v="2015-01-11T00:00:00"/>
    <d v="2014-12-01T00:00:00"/>
    <n v="1201428"/>
    <s v="MIAMI-LUKEN INC"/>
    <n v="1201428"/>
    <s v="MIAMI-LUKEN INC"/>
    <n v="1201428"/>
    <s v="MIAMI-LUKEN INC"/>
    <n v="470788"/>
    <m/>
    <s v="FDE"/>
    <s v="FEDEX"/>
    <n v="701.82"/>
    <s v="In Process"/>
    <m/>
    <m/>
    <m/>
    <s v="Not Applicable"/>
    <d v="2015-01-11T00:00:00"/>
    <m/>
    <m/>
    <m/>
    <n v="580653959409"/>
    <m/>
    <m/>
  </r>
  <r>
    <x v="134"/>
    <x v="3"/>
    <s v="VGOLDY"/>
    <d v="2015-01-13T00:00:00"/>
    <m/>
    <n v="1201428"/>
    <s v="MIAMI-LUKEN INC"/>
    <n v="1201428"/>
    <s v="MIAMI-LUKEN INC"/>
    <n v="1201428"/>
    <s v="MIAMI-LUKEN INC"/>
    <n v="470788"/>
    <m/>
    <m/>
    <m/>
    <n v="1403.64"/>
    <s v="In Process"/>
    <m/>
    <m/>
    <m/>
    <s v="Not Applicable"/>
    <d v="2015-01-13T00:00:00"/>
    <m/>
    <m/>
    <m/>
    <m/>
    <m/>
    <m/>
  </r>
  <r>
    <x v="135"/>
    <x v="0"/>
    <s v="VGOLDY"/>
    <d v="2015-01-02T00:00:00"/>
    <d v="2014-12-23T00:00:00"/>
    <n v="1201566"/>
    <s v="ROCHESTER DRUG COOPERATIV INC"/>
    <n v="1201566"/>
    <s v="ROCHESTER DRUG COOPERATIV INC"/>
    <n v="1201566"/>
    <s v="ROCHESTER DRUG COOPERATIV INC"/>
    <n v="2229949"/>
    <m/>
    <s v="FXFE"/>
    <s v="FEDEX FREIGHT LTL PRIORITY"/>
    <n v="548.86"/>
    <s v="In Process"/>
    <s v="1 Carrier"/>
    <s v="Stericycle / Destructions"/>
    <d v="2015-01-14T00:00:00"/>
    <s v="Not Applicable"/>
    <d v="2015-01-02T00:00:00"/>
    <m/>
    <m/>
    <m/>
    <n v="2795611232"/>
    <s v="1 Concealed / Damage"/>
    <s v=" 2 units damaged."/>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r>
    <x v="136"/>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location ref="A3:B13" firstHeaderRow="2" firstDataRow="2" firstDataCol="1"/>
  <pivotFields count="28">
    <pivotField dataField="1" compact="0" outline="0" showAll="0"/>
    <pivotField axis="axisRow" compact="0" outline="0" showAll="0">
      <items count="9">
        <item x="0"/>
        <item x="3"/>
        <item x="5"/>
        <item x="2"/>
        <item x="4"/>
        <item x="1"/>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9">
    <i>
      <x/>
    </i>
    <i>
      <x v="1"/>
    </i>
    <i>
      <x v="2"/>
    </i>
    <i>
      <x v="3"/>
    </i>
    <i>
      <x v="4"/>
    </i>
    <i>
      <x v="5"/>
    </i>
    <i>
      <x v="6"/>
    </i>
    <i>
      <x v="7"/>
    </i>
    <i t="grand">
      <x/>
    </i>
  </rowItems>
  <colItems count="1">
    <i/>
  </colItems>
  <dataFields count="1">
    <dataField name="Count of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E27" sqref="E27"/>
    </sheetView>
  </sheetViews>
  <sheetFormatPr defaultRowHeight="12.75" x14ac:dyDescent="0.2"/>
  <cols>
    <col min="1" max="1" width="16.42578125" bestFit="1" customWidth="1"/>
    <col min="2" max="2" width="5.5703125" customWidth="1"/>
  </cols>
  <sheetData>
    <row r="3" spans="1:2" x14ac:dyDescent="0.2">
      <c r="A3" s="15" t="s">
        <v>172</v>
      </c>
    </row>
    <row r="4" spans="1:2" x14ac:dyDescent="0.2">
      <c r="A4" s="15" t="s">
        <v>4</v>
      </c>
      <c r="B4" t="s">
        <v>173</v>
      </c>
    </row>
    <row r="5" spans="1:2" x14ac:dyDescent="0.2">
      <c r="A5" t="s">
        <v>18</v>
      </c>
      <c r="B5" s="16">
        <v>54</v>
      </c>
    </row>
    <row r="6" spans="1:2" x14ac:dyDescent="0.2">
      <c r="A6" t="s">
        <v>22</v>
      </c>
      <c r="B6" s="16">
        <v>13</v>
      </c>
    </row>
    <row r="7" spans="1:2" x14ac:dyDescent="0.2">
      <c r="A7" t="s">
        <v>23</v>
      </c>
      <c r="B7" s="16">
        <v>6</v>
      </c>
    </row>
    <row r="8" spans="1:2" x14ac:dyDescent="0.2">
      <c r="A8" t="s">
        <v>24</v>
      </c>
      <c r="B8" s="16">
        <v>6</v>
      </c>
    </row>
    <row r="9" spans="1:2" x14ac:dyDescent="0.2">
      <c r="A9" t="s">
        <v>25</v>
      </c>
      <c r="B9" s="16">
        <v>6</v>
      </c>
    </row>
    <row r="10" spans="1:2" x14ac:dyDescent="0.2">
      <c r="A10" t="s">
        <v>26</v>
      </c>
      <c r="B10" s="16">
        <v>48</v>
      </c>
    </row>
    <row r="11" spans="1:2" x14ac:dyDescent="0.2">
      <c r="A11" t="s">
        <v>27</v>
      </c>
      <c r="B11" s="16">
        <v>1</v>
      </c>
    </row>
    <row r="12" spans="1:2" x14ac:dyDescent="0.2">
      <c r="A12" t="s">
        <v>29</v>
      </c>
      <c r="B12" s="16">
        <v>2</v>
      </c>
    </row>
    <row r="13" spans="1:2" x14ac:dyDescent="0.2">
      <c r="A13" t="s">
        <v>2</v>
      </c>
      <c r="B13" s="16">
        <v>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60"/>
  <sheetViews>
    <sheetView workbookViewId="0">
      <selection sqref="A1:XFD1048576"/>
    </sheetView>
  </sheetViews>
  <sheetFormatPr defaultRowHeight="12.75" x14ac:dyDescent="0.2"/>
  <cols>
    <col min="1" max="1" width="9" style="26" bestFit="1" customWidth="1"/>
    <col min="2" max="2" width="15.28515625" style="26" bestFit="1" customWidth="1"/>
    <col min="3" max="3" width="10.85546875" style="26" bestFit="1" customWidth="1"/>
    <col min="4" max="4" width="10" style="26" bestFit="1" customWidth="1"/>
    <col min="5" max="5" width="13.28515625" style="26" bestFit="1" customWidth="1"/>
    <col min="6" max="7" width="9.140625" style="26"/>
    <col min="8" max="8" width="8" style="26" bestFit="1" customWidth="1"/>
    <col min="9" max="9" width="40" style="26" bestFit="1" customWidth="1"/>
    <col min="10" max="10" width="8" style="26" bestFit="1" customWidth="1"/>
    <col min="11" max="11" width="44.140625" style="26" bestFit="1" customWidth="1"/>
    <col min="12" max="12" width="8" style="26" bestFit="1" customWidth="1"/>
    <col min="13" max="13" width="40" style="26" bestFit="1" customWidth="1"/>
    <col min="14" max="14" width="22.140625" style="26" bestFit="1" customWidth="1"/>
    <col min="15" max="15" width="6.42578125" style="26" bestFit="1" customWidth="1"/>
    <col min="16" max="16" width="10.85546875" style="26" bestFit="1" customWidth="1"/>
    <col min="17" max="17" width="5.85546875" style="26" bestFit="1" customWidth="1"/>
    <col min="18" max="18" width="6.42578125" style="26" bestFit="1" customWidth="1"/>
    <col min="19" max="19" width="31.5703125" style="26" bestFit="1" customWidth="1"/>
    <col min="20" max="20" width="9" style="26" bestFit="1" customWidth="1"/>
    <col min="21" max="21" width="8.42578125" style="26" bestFit="1" customWidth="1"/>
    <col min="22" max="22" width="9.85546875" style="26" bestFit="1" customWidth="1"/>
    <col min="23" max="23" width="17.42578125" style="26" bestFit="1" customWidth="1"/>
    <col min="24" max="24" width="37" style="26" bestFit="1" customWidth="1"/>
    <col min="25" max="25" width="16.85546875" style="26" bestFit="1" customWidth="1"/>
    <col min="26" max="26" width="15.85546875" style="26" bestFit="1" customWidth="1"/>
    <col min="27" max="27" width="18.28515625" style="26" bestFit="1" customWidth="1"/>
    <col min="28" max="28" width="11.5703125" style="26" bestFit="1" customWidth="1"/>
    <col min="29" max="29" width="12.5703125" style="26" bestFit="1" customWidth="1"/>
    <col min="30" max="30" width="17.85546875" style="26" bestFit="1" customWidth="1"/>
    <col min="31" max="31" width="15" style="26" bestFit="1" customWidth="1"/>
    <col min="32" max="32" width="129.140625" style="26" bestFit="1" customWidth="1"/>
    <col min="33" max="33" width="37.7109375" style="26" bestFit="1" customWidth="1"/>
    <col min="34" max="34" width="124.42578125" style="26" bestFit="1" customWidth="1"/>
    <col min="35" max="16384" width="9.140625" style="26"/>
  </cols>
  <sheetData>
    <row r="1" spans="1:34" x14ac:dyDescent="0.2">
      <c r="A1" s="25" t="s">
        <v>31</v>
      </c>
      <c r="B1" s="25" t="s">
        <v>4</v>
      </c>
      <c r="C1" s="25" t="s">
        <v>32</v>
      </c>
      <c r="D1" s="25" t="s">
        <v>33</v>
      </c>
      <c r="E1" s="25" t="s">
        <v>175</v>
      </c>
      <c r="F1" s="25" t="s">
        <v>34</v>
      </c>
      <c r="G1" s="25" t="s">
        <v>176</v>
      </c>
      <c r="H1" s="25" t="s">
        <v>35</v>
      </c>
      <c r="I1" s="25" t="s">
        <v>36</v>
      </c>
      <c r="J1" s="25" t="s">
        <v>37</v>
      </c>
      <c r="K1" s="25" t="s">
        <v>38</v>
      </c>
      <c r="L1" s="25" t="s">
        <v>39</v>
      </c>
      <c r="M1" s="25" t="s">
        <v>40</v>
      </c>
      <c r="N1" s="25" t="s">
        <v>41</v>
      </c>
      <c r="O1" s="25" t="s">
        <v>177</v>
      </c>
      <c r="P1" s="25" t="s">
        <v>42</v>
      </c>
      <c r="Q1" s="25" t="s">
        <v>178</v>
      </c>
      <c r="R1" s="25" t="s">
        <v>43</v>
      </c>
      <c r="S1" s="25" t="s">
        <v>44</v>
      </c>
      <c r="T1" s="25" t="s">
        <v>45</v>
      </c>
      <c r="U1" s="25" t="s">
        <v>179</v>
      </c>
      <c r="V1" s="25" t="s">
        <v>46</v>
      </c>
      <c r="W1" s="25" t="s">
        <v>47</v>
      </c>
      <c r="X1" s="25" t="s">
        <v>48</v>
      </c>
      <c r="Y1" s="25" t="s">
        <v>49</v>
      </c>
      <c r="Z1" s="25" t="s">
        <v>50</v>
      </c>
      <c r="AA1" s="25" t="s">
        <v>51</v>
      </c>
      <c r="AB1" s="25" t="s">
        <v>52</v>
      </c>
      <c r="AC1" s="25" t="s">
        <v>53</v>
      </c>
      <c r="AD1" s="25" t="s">
        <v>54</v>
      </c>
      <c r="AE1" s="25" t="s">
        <v>180</v>
      </c>
      <c r="AF1" s="25" t="s">
        <v>55</v>
      </c>
      <c r="AG1" s="25" t="s">
        <v>56</v>
      </c>
      <c r="AH1" s="25" t="s">
        <v>57</v>
      </c>
    </row>
    <row r="2" spans="1:34" x14ac:dyDescent="0.2">
      <c r="A2" s="27">
        <v>10018739</v>
      </c>
      <c r="B2" s="27" t="s">
        <v>18</v>
      </c>
      <c r="C2" s="27" t="s">
        <v>78</v>
      </c>
      <c r="D2" s="28">
        <v>42219</v>
      </c>
      <c r="E2" s="27">
        <v>93452659</v>
      </c>
      <c r="F2" s="28">
        <v>42208</v>
      </c>
      <c r="G2" s="28">
        <v>42209</v>
      </c>
      <c r="H2" s="27">
        <v>1201047</v>
      </c>
      <c r="I2" s="27" t="s">
        <v>79</v>
      </c>
      <c r="J2" s="27">
        <v>1311011</v>
      </c>
      <c r="K2" s="27" t="s">
        <v>85</v>
      </c>
      <c r="L2" s="27">
        <v>1171089</v>
      </c>
      <c r="M2" s="27" t="s">
        <v>75</v>
      </c>
      <c r="N2" s="27">
        <v>19616947</v>
      </c>
      <c r="O2" s="27"/>
      <c r="P2" s="27"/>
      <c r="Q2" s="27" t="s">
        <v>181</v>
      </c>
      <c r="R2" s="27" t="s">
        <v>67</v>
      </c>
      <c r="S2" s="27" t="s">
        <v>68</v>
      </c>
      <c r="T2" s="27">
        <v>71.099999999999994</v>
      </c>
      <c r="U2" s="27" t="s">
        <v>182</v>
      </c>
      <c r="V2" s="27" t="s">
        <v>63</v>
      </c>
      <c r="W2" s="27" t="s">
        <v>70</v>
      </c>
      <c r="X2" s="27" t="s">
        <v>76</v>
      </c>
      <c r="Y2" s="28">
        <v>42221</v>
      </c>
      <c r="Z2" s="27" t="s">
        <v>64</v>
      </c>
      <c r="AA2" s="28">
        <v>42219</v>
      </c>
      <c r="AB2" s="27"/>
      <c r="AC2" s="27"/>
      <c r="AD2" s="27"/>
      <c r="AE2" s="27" t="s">
        <v>183</v>
      </c>
      <c r="AF2" s="27">
        <v>3511781630</v>
      </c>
      <c r="AG2" s="27" t="s">
        <v>77</v>
      </c>
      <c r="AH2" s="27" t="s">
        <v>184</v>
      </c>
    </row>
    <row r="3" spans="1:34" x14ac:dyDescent="0.2">
      <c r="A3" s="27">
        <v>10018740</v>
      </c>
      <c r="B3" s="27" t="s">
        <v>26</v>
      </c>
      <c r="C3" s="27" t="s">
        <v>78</v>
      </c>
      <c r="D3" s="28">
        <v>42219</v>
      </c>
      <c r="E3" s="27">
        <v>93456100</v>
      </c>
      <c r="F3" s="28">
        <v>42212</v>
      </c>
      <c r="G3" s="27"/>
      <c r="H3" s="27">
        <v>1201047</v>
      </c>
      <c r="I3" s="27" t="s">
        <v>79</v>
      </c>
      <c r="J3" s="27">
        <v>1038994</v>
      </c>
      <c r="K3" s="27" t="s">
        <v>80</v>
      </c>
      <c r="L3" s="27">
        <v>1171089</v>
      </c>
      <c r="M3" s="27" t="s">
        <v>75</v>
      </c>
      <c r="N3" s="27">
        <v>40433666</v>
      </c>
      <c r="O3" s="27"/>
      <c r="P3" s="27"/>
      <c r="Q3" s="27" t="s">
        <v>181</v>
      </c>
      <c r="R3" s="27" t="s">
        <v>86</v>
      </c>
      <c r="S3" s="27" t="s">
        <v>87</v>
      </c>
      <c r="T3" s="27">
        <v>252</v>
      </c>
      <c r="U3" s="27" t="s">
        <v>182</v>
      </c>
      <c r="V3" s="27" t="s">
        <v>69</v>
      </c>
      <c r="W3" s="27" t="s">
        <v>94</v>
      </c>
      <c r="X3" s="27" t="s">
        <v>95</v>
      </c>
      <c r="Y3" s="28">
        <v>42221</v>
      </c>
      <c r="Z3" s="27" t="s">
        <v>64</v>
      </c>
      <c r="AA3" s="28">
        <v>42219</v>
      </c>
      <c r="AB3" s="27" t="s">
        <v>100</v>
      </c>
      <c r="AC3" s="27">
        <v>61968418</v>
      </c>
      <c r="AD3" s="28">
        <v>42243</v>
      </c>
      <c r="AE3" s="27" t="s">
        <v>183</v>
      </c>
      <c r="AF3" s="27" t="s">
        <v>185</v>
      </c>
      <c r="AG3" s="27" t="s">
        <v>96</v>
      </c>
      <c r="AH3" s="27" t="s">
        <v>186</v>
      </c>
    </row>
    <row r="4" spans="1:34" x14ac:dyDescent="0.2">
      <c r="A4" s="27">
        <v>10018741</v>
      </c>
      <c r="B4" s="27" t="s">
        <v>18</v>
      </c>
      <c r="C4" s="27" t="s">
        <v>78</v>
      </c>
      <c r="D4" s="28">
        <v>42219</v>
      </c>
      <c r="E4" s="27">
        <v>93459658</v>
      </c>
      <c r="F4" s="28">
        <v>42214</v>
      </c>
      <c r="G4" s="27"/>
      <c r="H4" s="27">
        <v>1201072</v>
      </c>
      <c r="I4" s="27" t="s">
        <v>115</v>
      </c>
      <c r="J4" s="27">
        <v>1201072</v>
      </c>
      <c r="K4" s="27" t="s">
        <v>115</v>
      </c>
      <c r="L4" s="27">
        <v>1171089</v>
      </c>
      <c r="M4" s="27" t="s">
        <v>75</v>
      </c>
      <c r="N4" s="27">
        <v>318374</v>
      </c>
      <c r="O4" s="27"/>
      <c r="P4" s="27"/>
      <c r="Q4" s="27" t="s">
        <v>181</v>
      </c>
      <c r="R4" s="27" t="s">
        <v>102</v>
      </c>
      <c r="S4" s="27" t="s">
        <v>103</v>
      </c>
      <c r="T4" s="27">
        <v>1793.18</v>
      </c>
      <c r="U4" s="27" t="s">
        <v>182</v>
      </c>
      <c r="V4" s="27" t="s">
        <v>69</v>
      </c>
      <c r="W4" s="27" t="s">
        <v>70</v>
      </c>
      <c r="X4" s="27" t="s">
        <v>76</v>
      </c>
      <c r="Y4" s="28">
        <v>42221</v>
      </c>
      <c r="Z4" s="27" t="s">
        <v>64</v>
      </c>
      <c r="AA4" s="28">
        <v>42219</v>
      </c>
      <c r="AB4" s="27" t="s">
        <v>100</v>
      </c>
      <c r="AC4" s="27">
        <v>61971538</v>
      </c>
      <c r="AD4" s="28">
        <v>42247</v>
      </c>
      <c r="AE4" s="27" t="s">
        <v>183</v>
      </c>
      <c r="AF4" s="27">
        <v>636808552950</v>
      </c>
      <c r="AG4" s="27" t="s">
        <v>77</v>
      </c>
      <c r="AH4" s="27" t="s">
        <v>187</v>
      </c>
    </row>
    <row r="5" spans="1:34" x14ac:dyDescent="0.2">
      <c r="A5" s="27">
        <v>10018742</v>
      </c>
      <c r="B5" s="27" t="s">
        <v>18</v>
      </c>
      <c r="C5" s="27" t="s">
        <v>78</v>
      </c>
      <c r="D5" s="28">
        <v>42219</v>
      </c>
      <c r="E5" s="27"/>
      <c r="F5" s="27"/>
      <c r="G5" s="27"/>
      <c r="H5" s="27">
        <v>1201072</v>
      </c>
      <c r="I5" s="27" t="s">
        <v>115</v>
      </c>
      <c r="J5" s="27">
        <v>1201072</v>
      </c>
      <c r="K5" s="27" t="s">
        <v>115</v>
      </c>
      <c r="L5" s="27">
        <v>1171089</v>
      </c>
      <c r="M5" s="27" t="s">
        <v>75</v>
      </c>
      <c r="N5" s="27">
        <v>318374</v>
      </c>
      <c r="O5" s="27"/>
      <c r="P5" s="27"/>
      <c r="Q5" s="27" t="s">
        <v>181</v>
      </c>
      <c r="R5" s="27"/>
      <c r="S5" s="27"/>
      <c r="T5" s="27">
        <v>2345.94</v>
      </c>
      <c r="U5" s="27" t="s">
        <v>182</v>
      </c>
      <c r="V5" s="27" t="s">
        <v>69</v>
      </c>
      <c r="W5" s="27" t="s">
        <v>70</v>
      </c>
      <c r="X5" s="27" t="s">
        <v>76</v>
      </c>
      <c r="Y5" s="28">
        <v>42221</v>
      </c>
      <c r="Z5" s="27" t="s">
        <v>64</v>
      </c>
      <c r="AA5" s="28">
        <v>42219</v>
      </c>
      <c r="AB5" s="27" t="s">
        <v>100</v>
      </c>
      <c r="AC5" s="27">
        <v>61971539</v>
      </c>
      <c r="AD5" s="28">
        <v>42247</v>
      </c>
      <c r="AE5" s="27" t="s">
        <v>183</v>
      </c>
      <c r="AF5" s="27"/>
      <c r="AG5" s="27" t="s">
        <v>77</v>
      </c>
      <c r="AH5" s="27" t="s">
        <v>188</v>
      </c>
    </row>
    <row r="6" spans="1:34" x14ac:dyDescent="0.2">
      <c r="A6" s="27">
        <v>10018743</v>
      </c>
      <c r="B6" s="27" t="s">
        <v>18</v>
      </c>
      <c r="C6" s="27" t="s">
        <v>78</v>
      </c>
      <c r="D6" s="28">
        <v>42219</v>
      </c>
      <c r="E6" s="27">
        <v>93404245</v>
      </c>
      <c r="F6" s="28">
        <v>42170</v>
      </c>
      <c r="G6" s="28">
        <v>42173</v>
      </c>
      <c r="H6" s="27">
        <v>1334921</v>
      </c>
      <c r="I6" s="27" t="s">
        <v>189</v>
      </c>
      <c r="J6" s="27">
        <v>1334951</v>
      </c>
      <c r="K6" s="27" t="s">
        <v>190</v>
      </c>
      <c r="L6" s="27">
        <v>1334921</v>
      </c>
      <c r="M6" s="27" t="s">
        <v>189</v>
      </c>
      <c r="N6" s="27">
        <v>20488</v>
      </c>
      <c r="O6" s="27"/>
      <c r="P6" s="27"/>
      <c r="Q6" s="27" t="s">
        <v>181</v>
      </c>
      <c r="R6" s="27" t="s">
        <v>67</v>
      </c>
      <c r="S6" s="27" t="s">
        <v>68</v>
      </c>
      <c r="T6" s="27">
        <v>20.88</v>
      </c>
      <c r="U6" s="27" t="s">
        <v>182</v>
      </c>
      <c r="V6" s="27" t="s">
        <v>69</v>
      </c>
      <c r="W6" s="27" t="s">
        <v>70</v>
      </c>
      <c r="X6" s="27" t="s">
        <v>76</v>
      </c>
      <c r="Y6" s="28">
        <v>42221</v>
      </c>
      <c r="Z6" s="27" t="s">
        <v>64</v>
      </c>
      <c r="AA6" s="28">
        <v>42219</v>
      </c>
      <c r="AB6" s="27" t="s">
        <v>100</v>
      </c>
      <c r="AC6" s="27">
        <v>61967143</v>
      </c>
      <c r="AD6" s="28">
        <v>42242</v>
      </c>
      <c r="AE6" s="27" t="s">
        <v>183</v>
      </c>
      <c r="AF6" s="27">
        <v>2795632884</v>
      </c>
      <c r="AG6" s="27" t="s">
        <v>77</v>
      </c>
      <c r="AH6" s="27" t="s">
        <v>191</v>
      </c>
    </row>
    <row r="7" spans="1:34" x14ac:dyDescent="0.2">
      <c r="A7" s="27">
        <v>10018744</v>
      </c>
      <c r="B7" s="27" t="s">
        <v>26</v>
      </c>
      <c r="C7" s="27" t="s">
        <v>78</v>
      </c>
      <c r="D7" s="28">
        <v>42219</v>
      </c>
      <c r="E7" s="27">
        <v>93450803</v>
      </c>
      <c r="F7" s="28">
        <v>42207</v>
      </c>
      <c r="G7" s="28">
        <v>42209</v>
      </c>
      <c r="H7" s="27">
        <v>1201047</v>
      </c>
      <c r="I7" s="27" t="s">
        <v>79</v>
      </c>
      <c r="J7" s="27">
        <v>1022214</v>
      </c>
      <c r="K7" s="27" t="s">
        <v>80</v>
      </c>
      <c r="L7" s="27">
        <v>1171089</v>
      </c>
      <c r="M7" s="27" t="s">
        <v>75</v>
      </c>
      <c r="N7" s="27">
        <v>4735052</v>
      </c>
      <c r="O7" s="27"/>
      <c r="P7" s="27"/>
      <c r="Q7" s="27" t="s">
        <v>181</v>
      </c>
      <c r="R7" s="27" t="s">
        <v>91</v>
      </c>
      <c r="S7" s="27" t="s">
        <v>92</v>
      </c>
      <c r="T7" s="27">
        <v>22532.7</v>
      </c>
      <c r="U7" s="27" t="s">
        <v>182</v>
      </c>
      <c r="V7" s="27" t="s">
        <v>63</v>
      </c>
      <c r="W7" s="27" t="s">
        <v>81</v>
      </c>
      <c r="X7" s="27" t="s">
        <v>88</v>
      </c>
      <c r="Y7" s="28">
        <v>42234</v>
      </c>
      <c r="Z7" s="27"/>
      <c r="AA7" s="27"/>
      <c r="AB7" s="27"/>
      <c r="AC7" s="27"/>
      <c r="AD7" s="27"/>
      <c r="AE7" s="27" t="s">
        <v>183</v>
      </c>
      <c r="AF7" s="27" t="s">
        <v>192</v>
      </c>
      <c r="AG7" s="27" t="s">
        <v>89</v>
      </c>
      <c r="AH7" s="27" t="s">
        <v>193</v>
      </c>
    </row>
    <row r="8" spans="1:34" x14ac:dyDescent="0.2">
      <c r="A8" s="27">
        <v>10018746</v>
      </c>
      <c r="B8" s="27" t="s">
        <v>22</v>
      </c>
      <c r="C8" s="27" t="s">
        <v>78</v>
      </c>
      <c r="D8" s="28">
        <v>42219</v>
      </c>
      <c r="E8" s="27">
        <v>93447543</v>
      </c>
      <c r="F8" s="28">
        <v>42205</v>
      </c>
      <c r="G8" s="27"/>
      <c r="H8" s="27">
        <v>1201047</v>
      </c>
      <c r="I8" s="27" t="s">
        <v>79</v>
      </c>
      <c r="J8" s="27">
        <v>1038994</v>
      </c>
      <c r="K8" s="27" t="s">
        <v>80</v>
      </c>
      <c r="L8" s="27">
        <v>1171089</v>
      </c>
      <c r="M8" s="27" t="s">
        <v>75</v>
      </c>
      <c r="N8" s="27">
        <v>40433056</v>
      </c>
      <c r="O8" s="27"/>
      <c r="P8" s="27"/>
      <c r="Q8" s="27" t="s">
        <v>181</v>
      </c>
      <c r="R8" s="27" t="s">
        <v>97</v>
      </c>
      <c r="S8" s="27" t="s">
        <v>98</v>
      </c>
      <c r="T8" s="27">
        <v>2955</v>
      </c>
      <c r="U8" s="27" t="s">
        <v>182</v>
      </c>
      <c r="V8" s="27" t="s">
        <v>63</v>
      </c>
      <c r="W8" s="27" t="s">
        <v>94</v>
      </c>
      <c r="X8" s="27" t="s">
        <v>141</v>
      </c>
      <c r="Y8" s="28">
        <v>42222</v>
      </c>
      <c r="Z8" s="27" t="s">
        <v>64</v>
      </c>
      <c r="AA8" s="28">
        <v>42219</v>
      </c>
      <c r="AB8" s="27"/>
      <c r="AC8" s="27"/>
      <c r="AD8" s="27"/>
      <c r="AE8" s="27" t="s">
        <v>183</v>
      </c>
      <c r="AF8" s="27">
        <v>87944972289065</v>
      </c>
      <c r="AG8" s="27" t="s">
        <v>142</v>
      </c>
      <c r="AH8" s="27" t="s">
        <v>194</v>
      </c>
    </row>
    <row r="9" spans="1:34" x14ac:dyDescent="0.2">
      <c r="A9" s="27">
        <v>10018747</v>
      </c>
      <c r="B9" s="27" t="s">
        <v>26</v>
      </c>
      <c r="C9" s="27" t="s">
        <v>78</v>
      </c>
      <c r="D9" s="28">
        <v>42219</v>
      </c>
      <c r="E9" s="27">
        <v>93459588</v>
      </c>
      <c r="F9" s="28">
        <v>42214</v>
      </c>
      <c r="G9" s="28">
        <v>42219</v>
      </c>
      <c r="H9" s="27">
        <v>1201047</v>
      </c>
      <c r="I9" s="27" t="s">
        <v>79</v>
      </c>
      <c r="J9" s="27">
        <v>1338648</v>
      </c>
      <c r="K9" s="27" t="s">
        <v>93</v>
      </c>
      <c r="L9" s="27">
        <v>1171089</v>
      </c>
      <c r="M9" s="27" t="s">
        <v>75</v>
      </c>
      <c r="N9" s="27">
        <v>63129982</v>
      </c>
      <c r="O9" s="27"/>
      <c r="P9" s="27"/>
      <c r="Q9" s="27" t="s">
        <v>181</v>
      </c>
      <c r="R9" s="27" t="s">
        <v>67</v>
      </c>
      <c r="S9" s="27" t="s">
        <v>68</v>
      </c>
      <c r="T9" s="27">
        <v>1108.08</v>
      </c>
      <c r="U9" s="27" t="s">
        <v>182</v>
      </c>
      <c r="V9" s="27" t="s">
        <v>69</v>
      </c>
      <c r="W9" s="27" t="s">
        <v>70</v>
      </c>
      <c r="X9" s="27" t="s">
        <v>71</v>
      </c>
      <c r="Y9" s="28">
        <v>42236</v>
      </c>
      <c r="Z9" s="27" t="s">
        <v>83</v>
      </c>
      <c r="AA9" s="28">
        <v>42242</v>
      </c>
      <c r="AB9" s="27" t="s">
        <v>72</v>
      </c>
      <c r="AC9" s="27">
        <v>61978261</v>
      </c>
      <c r="AD9" s="28">
        <v>42257</v>
      </c>
      <c r="AE9" s="27" t="s">
        <v>183</v>
      </c>
      <c r="AF9" s="27">
        <v>3511782245</v>
      </c>
      <c r="AG9" s="27" t="s">
        <v>134</v>
      </c>
      <c r="AH9" s="27" t="s">
        <v>195</v>
      </c>
    </row>
    <row r="10" spans="1:34" x14ac:dyDescent="0.2">
      <c r="A10" s="27">
        <v>10018748</v>
      </c>
      <c r="B10" s="27" t="s">
        <v>18</v>
      </c>
      <c r="C10" s="27" t="s">
        <v>78</v>
      </c>
      <c r="D10" s="28">
        <v>42219</v>
      </c>
      <c r="E10" s="27">
        <v>93459588</v>
      </c>
      <c r="F10" s="28">
        <v>42214</v>
      </c>
      <c r="G10" s="28">
        <v>42219</v>
      </c>
      <c r="H10" s="27">
        <v>1201047</v>
      </c>
      <c r="I10" s="27" t="s">
        <v>79</v>
      </c>
      <c r="J10" s="27">
        <v>1338648</v>
      </c>
      <c r="K10" s="27" t="s">
        <v>93</v>
      </c>
      <c r="L10" s="27">
        <v>1171089</v>
      </c>
      <c r="M10" s="27" t="s">
        <v>75</v>
      </c>
      <c r="N10" s="27">
        <v>63129982</v>
      </c>
      <c r="O10" s="27"/>
      <c r="P10" s="27"/>
      <c r="Q10" s="27" t="s">
        <v>181</v>
      </c>
      <c r="R10" s="27" t="s">
        <v>67</v>
      </c>
      <c r="S10" s="27" t="s">
        <v>68</v>
      </c>
      <c r="T10" s="27">
        <v>46.17</v>
      </c>
      <c r="U10" s="27" t="s">
        <v>182</v>
      </c>
      <c r="V10" s="27" t="s">
        <v>69</v>
      </c>
      <c r="W10" s="27" t="s">
        <v>70</v>
      </c>
      <c r="X10" s="27" t="s">
        <v>76</v>
      </c>
      <c r="Y10" s="28">
        <v>42221</v>
      </c>
      <c r="Z10" s="27" t="s">
        <v>83</v>
      </c>
      <c r="AA10" s="28">
        <v>42221</v>
      </c>
      <c r="AB10" s="27" t="s">
        <v>100</v>
      </c>
      <c r="AC10" s="27">
        <v>61971537</v>
      </c>
      <c r="AD10" s="28">
        <v>42247</v>
      </c>
      <c r="AE10" s="27" t="s">
        <v>183</v>
      </c>
      <c r="AF10" s="27">
        <v>3511782245</v>
      </c>
      <c r="AG10" s="27" t="s">
        <v>77</v>
      </c>
      <c r="AH10" s="27" t="s">
        <v>196</v>
      </c>
    </row>
    <row r="11" spans="1:34" x14ac:dyDescent="0.2">
      <c r="A11" s="27">
        <v>10018749</v>
      </c>
      <c r="B11" s="27" t="s">
        <v>24</v>
      </c>
      <c r="C11" s="27" t="s">
        <v>197</v>
      </c>
      <c r="D11" s="28">
        <v>42219</v>
      </c>
      <c r="E11" s="27">
        <v>93448178</v>
      </c>
      <c r="F11" s="28">
        <v>42205</v>
      </c>
      <c r="G11" s="28">
        <v>42206</v>
      </c>
      <c r="H11" s="27">
        <v>1201643</v>
      </c>
      <c r="I11" s="27" t="s">
        <v>162</v>
      </c>
      <c r="J11" s="27">
        <v>1329411</v>
      </c>
      <c r="K11" s="27" t="s">
        <v>163</v>
      </c>
      <c r="L11" s="27">
        <v>1201643</v>
      </c>
      <c r="M11" s="27" t="s">
        <v>162</v>
      </c>
      <c r="N11" s="27">
        <v>23155</v>
      </c>
      <c r="O11" s="27"/>
      <c r="P11" s="27"/>
      <c r="Q11" s="27" t="s">
        <v>181</v>
      </c>
      <c r="R11" s="27" t="s">
        <v>67</v>
      </c>
      <c r="S11" s="27" t="s">
        <v>68</v>
      </c>
      <c r="T11" s="27">
        <v>13430.4</v>
      </c>
      <c r="U11" s="27" t="s">
        <v>182</v>
      </c>
      <c r="V11" s="27" t="s">
        <v>69</v>
      </c>
      <c r="W11" s="27" t="s">
        <v>70</v>
      </c>
      <c r="X11" s="27" t="s">
        <v>71</v>
      </c>
      <c r="Y11" s="28">
        <v>42221</v>
      </c>
      <c r="Z11" s="27" t="s">
        <v>64</v>
      </c>
      <c r="AA11" s="28">
        <v>42220</v>
      </c>
      <c r="AB11" s="27" t="s">
        <v>72</v>
      </c>
      <c r="AC11" s="27">
        <v>61951085</v>
      </c>
      <c r="AD11" s="28">
        <v>42223</v>
      </c>
      <c r="AE11" s="27" t="s">
        <v>183</v>
      </c>
      <c r="AF11" s="27">
        <v>3511781136</v>
      </c>
      <c r="AG11" s="27" t="s">
        <v>73</v>
      </c>
      <c r="AH11" s="27" t="s">
        <v>198</v>
      </c>
    </row>
    <row r="12" spans="1:34" x14ac:dyDescent="0.2">
      <c r="A12" s="27">
        <v>10018750</v>
      </c>
      <c r="B12" s="27" t="s">
        <v>27</v>
      </c>
      <c r="C12" s="27" t="s">
        <v>78</v>
      </c>
      <c r="D12" s="28">
        <v>42219</v>
      </c>
      <c r="E12" s="27">
        <v>93462290</v>
      </c>
      <c r="F12" s="28">
        <v>42215</v>
      </c>
      <c r="G12" s="27"/>
      <c r="H12" s="27">
        <v>1201120</v>
      </c>
      <c r="I12" s="27" t="s">
        <v>117</v>
      </c>
      <c r="J12" s="27">
        <v>1324827</v>
      </c>
      <c r="K12" s="27" t="s">
        <v>119</v>
      </c>
      <c r="L12" s="27">
        <v>1171090</v>
      </c>
      <c r="M12" s="27" t="s">
        <v>118</v>
      </c>
      <c r="N12" s="27">
        <v>61616</v>
      </c>
      <c r="O12" s="27"/>
      <c r="P12" s="27"/>
      <c r="Q12" s="27" t="s">
        <v>181</v>
      </c>
      <c r="R12" s="27" t="s">
        <v>97</v>
      </c>
      <c r="S12" s="27" t="s">
        <v>98</v>
      </c>
      <c r="T12" s="27">
        <v>46383.839999999997</v>
      </c>
      <c r="U12" s="27" t="s">
        <v>182</v>
      </c>
      <c r="V12" s="27" t="s">
        <v>69</v>
      </c>
      <c r="W12" s="27" t="s">
        <v>81</v>
      </c>
      <c r="X12" s="27" t="s">
        <v>71</v>
      </c>
      <c r="Y12" s="28">
        <v>42229</v>
      </c>
      <c r="Z12" s="27" t="s">
        <v>64</v>
      </c>
      <c r="AA12" s="28">
        <v>42219</v>
      </c>
      <c r="AB12" s="27" t="s">
        <v>72</v>
      </c>
      <c r="AC12" s="27">
        <v>61955809</v>
      </c>
      <c r="AD12" s="28">
        <v>42229</v>
      </c>
      <c r="AE12" s="27" t="s">
        <v>183</v>
      </c>
      <c r="AF12" s="27">
        <v>87944972343460</v>
      </c>
      <c r="AG12" s="27" t="s">
        <v>199</v>
      </c>
      <c r="AH12" s="27" t="s">
        <v>200</v>
      </c>
    </row>
    <row r="13" spans="1:34" x14ac:dyDescent="0.2">
      <c r="A13" s="27">
        <v>10018762</v>
      </c>
      <c r="B13" s="27" t="s">
        <v>18</v>
      </c>
      <c r="C13" s="27" t="s">
        <v>78</v>
      </c>
      <c r="D13" s="28">
        <v>42220</v>
      </c>
      <c r="E13" s="27">
        <v>93458555</v>
      </c>
      <c r="F13" s="28">
        <v>42213</v>
      </c>
      <c r="G13" s="27"/>
      <c r="H13" s="27">
        <v>1201399</v>
      </c>
      <c r="I13" s="27" t="s">
        <v>144</v>
      </c>
      <c r="J13" s="27">
        <v>1335374</v>
      </c>
      <c r="K13" s="27" t="s">
        <v>146</v>
      </c>
      <c r="L13" s="27">
        <v>1171970</v>
      </c>
      <c r="M13" s="27" t="s">
        <v>144</v>
      </c>
      <c r="N13" s="27">
        <v>2100033620</v>
      </c>
      <c r="O13" s="27"/>
      <c r="P13" s="27"/>
      <c r="Q13" s="27" t="s">
        <v>181</v>
      </c>
      <c r="R13" s="27" t="s">
        <v>97</v>
      </c>
      <c r="S13" s="27" t="s">
        <v>98</v>
      </c>
      <c r="T13" s="27">
        <v>54</v>
      </c>
      <c r="U13" s="27" t="s">
        <v>182</v>
      </c>
      <c r="V13" s="27" t="s">
        <v>69</v>
      </c>
      <c r="W13" s="27" t="s">
        <v>70</v>
      </c>
      <c r="X13" s="27" t="s">
        <v>76</v>
      </c>
      <c r="Y13" s="28">
        <v>42220</v>
      </c>
      <c r="Z13" s="27" t="s">
        <v>64</v>
      </c>
      <c r="AA13" s="28">
        <v>42220</v>
      </c>
      <c r="AB13" s="27" t="s">
        <v>100</v>
      </c>
      <c r="AC13" s="27">
        <v>61980600</v>
      </c>
      <c r="AD13" s="28">
        <v>42261</v>
      </c>
      <c r="AE13" s="27" t="s">
        <v>183</v>
      </c>
      <c r="AF13" s="27" t="s">
        <v>201</v>
      </c>
      <c r="AG13" s="27" t="s">
        <v>77</v>
      </c>
      <c r="AH13" s="27" t="s">
        <v>196</v>
      </c>
    </row>
    <row r="14" spans="1:34" x14ac:dyDescent="0.2">
      <c r="A14" s="27">
        <v>10018765</v>
      </c>
      <c r="B14" s="27" t="s">
        <v>18</v>
      </c>
      <c r="C14" s="27" t="s">
        <v>78</v>
      </c>
      <c r="D14" s="28">
        <v>42220</v>
      </c>
      <c r="E14" s="27">
        <v>93450790</v>
      </c>
      <c r="F14" s="28">
        <v>42207</v>
      </c>
      <c r="G14" s="27"/>
      <c r="H14" s="27">
        <v>1201047</v>
      </c>
      <c r="I14" s="27" t="s">
        <v>79</v>
      </c>
      <c r="J14" s="27">
        <v>1064887</v>
      </c>
      <c r="K14" s="27" t="s">
        <v>80</v>
      </c>
      <c r="L14" s="27">
        <v>1171089</v>
      </c>
      <c r="M14" s="27" t="s">
        <v>75</v>
      </c>
      <c r="N14" s="27">
        <v>26979921</v>
      </c>
      <c r="O14" s="27"/>
      <c r="P14" s="27"/>
      <c r="Q14" s="27" t="s">
        <v>181</v>
      </c>
      <c r="R14" s="27" t="s">
        <v>102</v>
      </c>
      <c r="S14" s="27" t="s">
        <v>103</v>
      </c>
      <c r="T14" s="27">
        <v>825.48</v>
      </c>
      <c r="U14" s="27" t="s">
        <v>182</v>
      </c>
      <c r="V14" s="27" t="s">
        <v>69</v>
      </c>
      <c r="W14" s="27" t="s">
        <v>70</v>
      </c>
      <c r="X14" s="27" t="s">
        <v>76</v>
      </c>
      <c r="Y14" s="28">
        <v>42220</v>
      </c>
      <c r="Z14" s="27" t="s">
        <v>64</v>
      </c>
      <c r="AA14" s="28">
        <v>42220</v>
      </c>
      <c r="AB14" s="27" t="s">
        <v>100</v>
      </c>
      <c r="AC14" s="27">
        <v>61970064</v>
      </c>
      <c r="AD14" s="28">
        <v>42244</v>
      </c>
      <c r="AE14" s="27" t="s">
        <v>183</v>
      </c>
      <c r="AF14" s="27">
        <v>636808544312</v>
      </c>
      <c r="AG14" s="27" t="s">
        <v>77</v>
      </c>
      <c r="AH14" s="27" t="s">
        <v>202</v>
      </c>
    </row>
    <row r="15" spans="1:34" x14ac:dyDescent="0.2">
      <c r="A15" s="27">
        <v>10018768</v>
      </c>
      <c r="B15" s="27" t="s">
        <v>18</v>
      </c>
      <c r="C15" s="27" t="s">
        <v>78</v>
      </c>
      <c r="D15" s="28">
        <v>42220</v>
      </c>
      <c r="E15" s="27">
        <v>93458187</v>
      </c>
      <c r="F15" s="28">
        <v>42213</v>
      </c>
      <c r="G15" s="27"/>
      <c r="H15" s="27">
        <v>1201047</v>
      </c>
      <c r="I15" s="27" t="s">
        <v>79</v>
      </c>
      <c r="J15" s="27">
        <v>1064887</v>
      </c>
      <c r="K15" s="27" t="s">
        <v>80</v>
      </c>
      <c r="L15" s="27">
        <v>1171089</v>
      </c>
      <c r="M15" s="27" t="s">
        <v>75</v>
      </c>
      <c r="N15" s="27">
        <v>26980306</v>
      </c>
      <c r="O15" s="27"/>
      <c r="P15" s="27"/>
      <c r="Q15" s="27" t="s">
        <v>181</v>
      </c>
      <c r="R15" s="27" t="s">
        <v>102</v>
      </c>
      <c r="S15" s="27" t="s">
        <v>103</v>
      </c>
      <c r="T15" s="27">
        <v>259.02999999999997</v>
      </c>
      <c r="U15" s="27" t="s">
        <v>182</v>
      </c>
      <c r="V15" s="27" t="s">
        <v>63</v>
      </c>
      <c r="W15" s="27" t="s">
        <v>70</v>
      </c>
      <c r="X15" s="27" t="s">
        <v>76</v>
      </c>
      <c r="Y15" s="28">
        <v>42220</v>
      </c>
      <c r="Z15" s="27" t="s">
        <v>64</v>
      </c>
      <c r="AA15" s="28">
        <v>42220</v>
      </c>
      <c r="AB15" s="27"/>
      <c r="AC15" s="27"/>
      <c r="AD15" s="27"/>
      <c r="AE15" s="27" t="s">
        <v>183</v>
      </c>
      <c r="AF15" s="27">
        <v>636808550936</v>
      </c>
      <c r="AG15" s="27" t="s">
        <v>77</v>
      </c>
      <c r="AH15" s="27" t="s">
        <v>203</v>
      </c>
    </row>
    <row r="16" spans="1:34" x14ac:dyDescent="0.2">
      <c r="A16" s="27">
        <v>10018773</v>
      </c>
      <c r="B16" s="27" t="s">
        <v>26</v>
      </c>
      <c r="C16" s="27" t="s">
        <v>78</v>
      </c>
      <c r="D16" s="28">
        <v>42220</v>
      </c>
      <c r="E16" s="27">
        <v>93454631</v>
      </c>
      <c r="F16" s="28">
        <v>42209</v>
      </c>
      <c r="G16" s="27"/>
      <c r="H16" s="27">
        <v>1201047</v>
      </c>
      <c r="I16" s="27" t="s">
        <v>79</v>
      </c>
      <c r="J16" s="27">
        <v>1300235</v>
      </c>
      <c r="K16" s="27" t="s">
        <v>109</v>
      </c>
      <c r="L16" s="27">
        <v>1171089</v>
      </c>
      <c r="M16" s="27" t="s">
        <v>75</v>
      </c>
      <c r="N16" s="27">
        <v>8363185</v>
      </c>
      <c r="O16" s="27"/>
      <c r="P16" s="27"/>
      <c r="Q16" s="27" t="s">
        <v>181</v>
      </c>
      <c r="R16" s="27" t="s">
        <v>91</v>
      </c>
      <c r="S16" s="27" t="s">
        <v>92</v>
      </c>
      <c r="T16" s="27">
        <v>3583.44</v>
      </c>
      <c r="U16" s="27" t="s">
        <v>182</v>
      </c>
      <c r="V16" s="27" t="s">
        <v>69</v>
      </c>
      <c r="W16" s="27" t="s">
        <v>94</v>
      </c>
      <c r="X16" s="27" t="s">
        <v>95</v>
      </c>
      <c r="Y16" s="28">
        <v>42220</v>
      </c>
      <c r="Z16" s="27" t="s">
        <v>83</v>
      </c>
      <c r="AA16" s="28">
        <v>42221</v>
      </c>
      <c r="AB16" s="27" t="s">
        <v>100</v>
      </c>
      <c r="AC16" s="27">
        <v>61968419</v>
      </c>
      <c r="AD16" s="28">
        <v>42243</v>
      </c>
      <c r="AE16" s="27" t="s">
        <v>183</v>
      </c>
      <c r="AF16" s="27" t="s">
        <v>204</v>
      </c>
      <c r="AG16" s="27" t="s">
        <v>96</v>
      </c>
      <c r="AH16" s="27" t="s">
        <v>205</v>
      </c>
    </row>
    <row r="17" spans="1:34" x14ac:dyDescent="0.2">
      <c r="A17" s="27">
        <v>10018780</v>
      </c>
      <c r="B17" s="27" t="s">
        <v>18</v>
      </c>
      <c r="C17" s="27" t="s">
        <v>78</v>
      </c>
      <c r="D17" s="28">
        <v>42220</v>
      </c>
      <c r="E17" s="27">
        <v>93463845</v>
      </c>
      <c r="F17" s="28">
        <v>42216</v>
      </c>
      <c r="G17" s="27"/>
      <c r="H17" s="27">
        <v>1201120</v>
      </c>
      <c r="I17" s="27" t="s">
        <v>117</v>
      </c>
      <c r="J17" s="27">
        <v>1307782</v>
      </c>
      <c r="K17" s="27" t="s">
        <v>119</v>
      </c>
      <c r="L17" s="27">
        <v>1171090</v>
      </c>
      <c r="M17" s="27" t="s">
        <v>118</v>
      </c>
      <c r="N17" s="27" t="s">
        <v>206</v>
      </c>
      <c r="O17" s="27"/>
      <c r="P17" s="27"/>
      <c r="Q17" s="27" t="s">
        <v>181</v>
      </c>
      <c r="R17" s="27" t="s">
        <v>123</v>
      </c>
      <c r="S17" s="27" t="s">
        <v>124</v>
      </c>
      <c r="T17" s="27">
        <v>756</v>
      </c>
      <c r="U17" s="27" t="s">
        <v>182</v>
      </c>
      <c r="V17" s="27" t="s">
        <v>63</v>
      </c>
      <c r="W17" s="27" t="s">
        <v>70</v>
      </c>
      <c r="X17" s="27" t="s">
        <v>76</v>
      </c>
      <c r="Y17" s="28">
        <v>42220</v>
      </c>
      <c r="Z17" s="27" t="s">
        <v>64</v>
      </c>
      <c r="AA17" s="28">
        <v>42220</v>
      </c>
      <c r="AB17" s="27"/>
      <c r="AC17" s="27"/>
      <c r="AD17" s="27"/>
      <c r="AE17" s="27" t="s">
        <v>183</v>
      </c>
      <c r="AF17" s="27" t="s">
        <v>207</v>
      </c>
      <c r="AG17" s="27" t="s">
        <v>77</v>
      </c>
      <c r="AH17" s="27" t="s">
        <v>208</v>
      </c>
    </row>
    <row r="18" spans="1:34" x14ac:dyDescent="0.2">
      <c r="A18" s="27">
        <v>10018781</v>
      </c>
      <c r="B18" s="27" t="s">
        <v>18</v>
      </c>
      <c r="C18" s="27" t="s">
        <v>78</v>
      </c>
      <c r="D18" s="28">
        <v>42220</v>
      </c>
      <c r="E18" s="27">
        <v>93458456</v>
      </c>
      <c r="F18" s="28">
        <v>42213</v>
      </c>
      <c r="G18" s="27"/>
      <c r="H18" s="27">
        <v>1201120</v>
      </c>
      <c r="I18" s="27" t="s">
        <v>117</v>
      </c>
      <c r="J18" s="27">
        <v>1307782</v>
      </c>
      <c r="K18" s="27" t="s">
        <v>119</v>
      </c>
      <c r="L18" s="27">
        <v>1171090</v>
      </c>
      <c r="M18" s="27" t="s">
        <v>118</v>
      </c>
      <c r="N18" s="27" t="s">
        <v>209</v>
      </c>
      <c r="O18" s="27"/>
      <c r="P18" s="27"/>
      <c r="Q18" s="27" t="s">
        <v>181</v>
      </c>
      <c r="R18" s="27" t="s">
        <v>97</v>
      </c>
      <c r="S18" s="27" t="s">
        <v>98</v>
      </c>
      <c r="T18" s="27">
        <v>2.64</v>
      </c>
      <c r="U18" s="27" t="s">
        <v>182</v>
      </c>
      <c r="V18" s="27" t="s">
        <v>63</v>
      </c>
      <c r="W18" s="27" t="s">
        <v>70</v>
      </c>
      <c r="X18" s="27" t="s">
        <v>76</v>
      </c>
      <c r="Y18" s="28">
        <v>42220</v>
      </c>
      <c r="Z18" s="27" t="s">
        <v>64</v>
      </c>
      <c r="AA18" s="28">
        <v>42220</v>
      </c>
      <c r="AB18" s="27"/>
      <c r="AC18" s="27"/>
      <c r="AD18" s="27"/>
      <c r="AE18" s="27" t="s">
        <v>183</v>
      </c>
      <c r="AF18" s="27" t="s">
        <v>210</v>
      </c>
      <c r="AG18" s="27" t="s">
        <v>77</v>
      </c>
      <c r="AH18" s="27" t="s">
        <v>211</v>
      </c>
    </row>
    <row r="19" spans="1:34" x14ac:dyDescent="0.2">
      <c r="A19" s="27">
        <v>10018785</v>
      </c>
      <c r="B19" s="27" t="s">
        <v>18</v>
      </c>
      <c r="C19" s="27" t="s">
        <v>78</v>
      </c>
      <c r="D19" s="28">
        <v>42220</v>
      </c>
      <c r="E19" s="27">
        <v>93453182</v>
      </c>
      <c r="F19" s="28">
        <v>42208</v>
      </c>
      <c r="G19" s="28">
        <v>42212</v>
      </c>
      <c r="H19" s="27">
        <v>1201566</v>
      </c>
      <c r="I19" s="27" t="s">
        <v>154</v>
      </c>
      <c r="J19" s="27">
        <v>1201566</v>
      </c>
      <c r="K19" s="27" t="s">
        <v>154</v>
      </c>
      <c r="L19" s="27">
        <v>1201566</v>
      </c>
      <c r="M19" s="27" t="s">
        <v>154</v>
      </c>
      <c r="N19" s="27">
        <v>2703046</v>
      </c>
      <c r="O19" s="27"/>
      <c r="P19" s="27"/>
      <c r="Q19" s="27" t="s">
        <v>181</v>
      </c>
      <c r="R19" s="27" t="s">
        <v>67</v>
      </c>
      <c r="S19" s="27" t="s">
        <v>68</v>
      </c>
      <c r="T19" s="27">
        <v>11280.25</v>
      </c>
      <c r="U19" s="27" t="s">
        <v>182</v>
      </c>
      <c r="V19" s="27" t="s">
        <v>69</v>
      </c>
      <c r="W19" s="27" t="s">
        <v>70</v>
      </c>
      <c r="X19" s="27" t="s">
        <v>76</v>
      </c>
      <c r="Y19" s="28">
        <v>42221</v>
      </c>
      <c r="Z19" s="27" t="s">
        <v>83</v>
      </c>
      <c r="AA19" s="28">
        <v>42221</v>
      </c>
      <c r="AB19" s="27" t="s">
        <v>100</v>
      </c>
      <c r="AC19" s="27">
        <v>61972118</v>
      </c>
      <c r="AD19" s="28">
        <v>42248</v>
      </c>
      <c r="AE19" s="27" t="s">
        <v>183</v>
      </c>
      <c r="AF19" s="27">
        <v>3511781512</v>
      </c>
      <c r="AG19" s="27" t="s">
        <v>77</v>
      </c>
      <c r="AH19" s="27" t="s">
        <v>212</v>
      </c>
    </row>
    <row r="20" spans="1:34" x14ac:dyDescent="0.2">
      <c r="A20" s="27">
        <v>10018786</v>
      </c>
      <c r="B20" s="27" t="s">
        <v>26</v>
      </c>
      <c r="C20" s="27" t="s">
        <v>78</v>
      </c>
      <c r="D20" s="28">
        <v>42220</v>
      </c>
      <c r="E20" s="27">
        <v>93459578</v>
      </c>
      <c r="F20" s="28">
        <v>42214</v>
      </c>
      <c r="G20" s="27"/>
      <c r="H20" s="27">
        <v>1201047</v>
      </c>
      <c r="I20" s="27" t="s">
        <v>79</v>
      </c>
      <c r="J20" s="27">
        <v>1317086</v>
      </c>
      <c r="K20" s="27" t="s">
        <v>85</v>
      </c>
      <c r="L20" s="27">
        <v>1171089</v>
      </c>
      <c r="M20" s="27" t="s">
        <v>75</v>
      </c>
      <c r="N20" s="27">
        <v>23602525</v>
      </c>
      <c r="O20" s="27"/>
      <c r="P20" s="27"/>
      <c r="Q20" s="27" t="s">
        <v>181</v>
      </c>
      <c r="R20" s="27" t="s">
        <v>86</v>
      </c>
      <c r="S20" s="27" t="s">
        <v>87</v>
      </c>
      <c r="T20" s="27">
        <v>4539.84</v>
      </c>
      <c r="U20" s="27" t="s">
        <v>182</v>
      </c>
      <c r="V20" s="27" t="s">
        <v>69</v>
      </c>
      <c r="W20" s="27" t="s">
        <v>94</v>
      </c>
      <c r="X20" s="27" t="s">
        <v>95</v>
      </c>
      <c r="Y20" s="28">
        <v>42227</v>
      </c>
      <c r="Z20" s="27" t="s">
        <v>83</v>
      </c>
      <c r="AA20" s="28">
        <v>42221</v>
      </c>
      <c r="AB20" s="27" t="s">
        <v>100</v>
      </c>
      <c r="AC20" s="27">
        <v>61970030</v>
      </c>
      <c r="AD20" s="28">
        <v>42244</v>
      </c>
      <c r="AE20" s="27" t="s">
        <v>183</v>
      </c>
      <c r="AF20" s="27" t="s">
        <v>213</v>
      </c>
      <c r="AG20" s="27" t="s">
        <v>96</v>
      </c>
      <c r="AH20" s="27" t="s">
        <v>214</v>
      </c>
    </row>
    <row r="21" spans="1:34" x14ac:dyDescent="0.2">
      <c r="A21" s="27">
        <v>10018787</v>
      </c>
      <c r="B21" s="27" t="s">
        <v>18</v>
      </c>
      <c r="C21" s="27" t="s">
        <v>78</v>
      </c>
      <c r="D21" s="28">
        <v>42220</v>
      </c>
      <c r="E21" s="27">
        <v>93463845</v>
      </c>
      <c r="F21" s="28">
        <v>42216</v>
      </c>
      <c r="G21" s="27"/>
      <c r="H21" s="27">
        <v>1201120</v>
      </c>
      <c r="I21" s="27" t="s">
        <v>117</v>
      </c>
      <c r="J21" s="27">
        <v>1307782</v>
      </c>
      <c r="K21" s="27" t="s">
        <v>119</v>
      </c>
      <c r="L21" s="27">
        <v>1171090</v>
      </c>
      <c r="M21" s="27" t="s">
        <v>118</v>
      </c>
      <c r="N21" s="27" t="s">
        <v>206</v>
      </c>
      <c r="O21" s="27"/>
      <c r="P21" s="27"/>
      <c r="Q21" s="27" t="s">
        <v>181</v>
      </c>
      <c r="R21" s="27" t="s">
        <v>123</v>
      </c>
      <c r="S21" s="27" t="s">
        <v>124</v>
      </c>
      <c r="T21" s="27">
        <v>477</v>
      </c>
      <c r="U21" s="27" t="s">
        <v>182</v>
      </c>
      <c r="V21" s="27" t="s">
        <v>63</v>
      </c>
      <c r="W21" s="27" t="s">
        <v>70</v>
      </c>
      <c r="X21" s="27" t="s">
        <v>76</v>
      </c>
      <c r="Y21" s="28">
        <v>42221</v>
      </c>
      <c r="Z21" s="27" t="s">
        <v>64</v>
      </c>
      <c r="AA21" s="28">
        <v>42220</v>
      </c>
      <c r="AB21" s="27"/>
      <c r="AC21" s="27"/>
      <c r="AD21" s="27"/>
      <c r="AE21" s="27" t="s">
        <v>183</v>
      </c>
      <c r="AF21" s="27" t="s">
        <v>207</v>
      </c>
      <c r="AG21" s="27" t="s">
        <v>77</v>
      </c>
      <c r="AH21" s="27" t="s">
        <v>215</v>
      </c>
    </row>
    <row r="22" spans="1:34" x14ac:dyDescent="0.2">
      <c r="A22" s="27">
        <v>10018788</v>
      </c>
      <c r="B22" s="27" t="s">
        <v>18</v>
      </c>
      <c r="C22" s="27" t="s">
        <v>78</v>
      </c>
      <c r="D22" s="28">
        <v>42220</v>
      </c>
      <c r="E22" s="27">
        <v>93462120</v>
      </c>
      <c r="F22" s="28">
        <v>42215</v>
      </c>
      <c r="G22" s="28">
        <v>42219</v>
      </c>
      <c r="H22" s="27">
        <v>1022013</v>
      </c>
      <c r="I22" s="27" t="s">
        <v>114</v>
      </c>
      <c r="J22" s="27">
        <v>1335507</v>
      </c>
      <c r="K22" s="27" t="s">
        <v>114</v>
      </c>
      <c r="L22" s="27">
        <v>1022013</v>
      </c>
      <c r="M22" s="27" t="s">
        <v>114</v>
      </c>
      <c r="N22" s="27">
        <v>74208</v>
      </c>
      <c r="O22" s="27"/>
      <c r="P22" s="27"/>
      <c r="Q22" s="27" t="s">
        <v>181</v>
      </c>
      <c r="R22" s="27" t="s">
        <v>67</v>
      </c>
      <c r="S22" s="27" t="s">
        <v>68</v>
      </c>
      <c r="T22" s="27">
        <v>32.159999999999997</v>
      </c>
      <c r="U22" s="27" t="s">
        <v>182</v>
      </c>
      <c r="V22" s="27" t="s">
        <v>69</v>
      </c>
      <c r="W22" s="27" t="s">
        <v>70</v>
      </c>
      <c r="X22" s="27" t="s">
        <v>76</v>
      </c>
      <c r="Y22" s="28">
        <v>42222</v>
      </c>
      <c r="Z22" s="27" t="s">
        <v>64</v>
      </c>
      <c r="AA22" s="28">
        <v>42220</v>
      </c>
      <c r="AB22" s="27" t="s">
        <v>100</v>
      </c>
      <c r="AC22" s="27">
        <v>61982252</v>
      </c>
      <c r="AD22" s="28">
        <v>42263</v>
      </c>
      <c r="AE22" s="27" t="s">
        <v>183</v>
      </c>
      <c r="AF22" s="27">
        <v>3511782282</v>
      </c>
      <c r="AG22" s="27" t="s">
        <v>77</v>
      </c>
      <c r="AH22" s="27" t="s">
        <v>216</v>
      </c>
    </row>
    <row r="23" spans="1:34" x14ac:dyDescent="0.2">
      <c r="A23" s="27">
        <v>10018789</v>
      </c>
      <c r="B23" s="27" t="s">
        <v>18</v>
      </c>
      <c r="C23" s="27" t="s">
        <v>78</v>
      </c>
      <c r="D23" s="28">
        <v>42220</v>
      </c>
      <c r="E23" s="27">
        <v>93463727</v>
      </c>
      <c r="F23" s="28">
        <v>42216</v>
      </c>
      <c r="G23" s="27"/>
      <c r="H23" s="27">
        <v>1201047</v>
      </c>
      <c r="I23" s="27" t="s">
        <v>79</v>
      </c>
      <c r="J23" s="27">
        <v>1030742</v>
      </c>
      <c r="K23" s="27" t="s">
        <v>80</v>
      </c>
      <c r="L23" s="27">
        <v>1171089</v>
      </c>
      <c r="M23" s="27" t="s">
        <v>75</v>
      </c>
      <c r="N23" s="27">
        <v>20924470</v>
      </c>
      <c r="O23" s="27"/>
      <c r="P23" s="27"/>
      <c r="Q23" s="27" t="s">
        <v>181</v>
      </c>
      <c r="R23" s="27" t="s">
        <v>168</v>
      </c>
      <c r="S23" s="27" t="s">
        <v>169</v>
      </c>
      <c r="T23" s="27">
        <v>440</v>
      </c>
      <c r="U23" s="27" t="s">
        <v>182</v>
      </c>
      <c r="V23" s="27" t="s">
        <v>69</v>
      </c>
      <c r="W23" s="27" t="s">
        <v>70</v>
      </c>
      <c r="X23" s="27" t="s">
        <v>76</v>
      </c>
      <c r="Y23" s="28">
        <v>42222</v>
      </c>
      <c r="Z23" s="27" t="s">
        <v>64</v>
      </c>
      <c r="AA23" s="28">
        <v>42220</v>
      </c>
      <c r="AB23" s="27" t="s">
        <v>100</v>
      </c>
      <c r="AC23" s="27">
        <v>61971540</v>
      </c>
      <c r="AD23" s="28">
        <v>42247</v>
      </c>
      <c r="AE23" s="27" t="s">
        <v>183</v>
      </c>
      <c r="AF23" s="27" t="s">
        <v>217</v>
      </c>
      <c r="AG23" s="27" t="s">
        <v>77</v>
      </c>
      <c r="AH23" s="27" t="s">
        <v>196</v>
      </c>
    </row>
    <row r="24" spans="1:34" x14ac:dyDescent="0.2">
      <c r="A24" s="27">
        <v>10018790</v>
      </c>
      <c r="B24" s="27" t="s">
        <v>18</v>
      </c>
      <c r="C24" s="27" t="s">
        <v>78</v>
      </c>
      <c r="D24" s="28">
        <v>42220</v>
      </c>
      <c r="E24" s="27">
        <v>93462391</v>
      </c>
      <c r="F24" s="28">
        <v>42215</v>
      </c>
      <c r="G24" s="27"/>
      <c r="H24" s="27">
        <v>1201399</v>
      </c>
      <c r="I24" s="27" t="s">
        <v>144</v>
      </c>
      <c r="J24" s="27">
        <v>1334926</v>
      </c>
      <c r="K24" s="27" t="s">
        <v>145</v>
      </c>
      <c r="L24" s="27">
        <v>1171970</v>
      </c>
      <c r="M24" s="27" t="s">
        <v>144</v>
      </c>
      <c r="N24" s="27">
        <v>8106669060</v>
      </c>
      <c r="O24" s="27"/>
      <c r="P24" s="27"/>
      <c r="Q24" s="27" t="s">
        <v>181</v>
      </c>
      <c r="R24" s="27" t="s">
        <v>123</v>
      </c>
      <c r="S24" s="27" t="s">
        <v>124</v>
      </c>
      <c r="T24" s="27">
        <v>5614.56</v>
      </c>
      <c r="U24" s="27" t="s">
        <v>182</v>
      </c>
      <c r="V24" s="27" t="s">
        <v>69</v>
      </c>
      <c r="W24" s="27" t="s">
        <v>70</v>
      </c>
      <c r="X24" s="27" t="s">
        <v>76</v>
      </c>
      <c r="Y24" s="28">
        <v>42222</v>
      </c>
      <c r="Z24" s="27" t="s">
        <v>83</v>
      </c>
      <c r="AA24" s="28">
        <v>42221</v>
      </c>
      <c r="AB24" s="27" t="s">
        <v>100</v>
      </c>
      <c r="AC24" s="27">
        <v>61980605</v>
      </c>
      <c r="AD24" s="28">
        <v>42261</v>
      </c>
      <c r="AE24" s="27" t="s">
        <v>183</v>
      </c>
      <c r="AF24" s="27" t="s">
        <v>218</v>
      </c>
      <c r="AG24" s="27" t="s">
        <v>77</v>
      </c>
      <c r="AH24" s="27" t="s">
        <v>219</v>
      </c>
    </row>
    <row r="25" spans="1:34" x14ac:dyDescent="0.2">
      <c r="A25" s="27">
        <v>10018791</v>
      </c>
      <c r="B25" s="27" t="s">
        <v>18</v>
      </c>
      <c r="C25" s="27" t="s">
        <v>78</v>
      </c>
      <c r="D25" s="28">
        <v>42220</v>
      </c>
      <c r="E25" s="27">
        <v>93462156</v>
      </c>
      <c r="F25" s="28">
        <v>42215</v>
      </c>
      <c r="G25" s="27"/>
      <c r="H25" s="27">
        <v>1201047</v>
      </c>
      <c r="I25" s="27" t="s">
        <v>79</v>
      </c>
      <c r="J25" s="27">
        <v>1030704</v>
      </c>
      <c r="K25" s="27" t="s">
        <v>101</v>
      </c>
      <c r="L25" s="27">
        <v>1171089</v>
      </c>
      <c r="M25" s="27" t="s">
        <v>75</v>
      </c>
      <c r="N25" s="27">
        <v>3499444</v>
      </c>
      <c r="O25" s="27"/>
      <c r="P25" s="27"/>
      <c r="Q25" s="27" t="s">
        <v>181</v>
      </c>
      <c r="R25" s="27" t="s">
        <v>102</v>
      </c>
      <c r="S25" s="27" t="s">
        <v>103</v>
      </c>
      <c r="T25" s="27">
        <v>2695.8</v>
      </c>
      <c r="U25" s="27" t="s">
        <v>182</v>
      </c>
      <c r="V25" s="27" t="s">
        <v>63</v>
      </c>
      <c r="W25" s="27" t="s">
        <v>70</v>
      </c>
      <c r="X25" s="27" t="s">
        <v>76</v>
      </c>
      <c r="Y25" s="28">
        <v>42222</v>
      </c>
      <c r="Z25" s="27" t="s">
        <v>83</v>
      </c>
      <c r="AA25" s="28">
        <v>42221</v>
      </c>
      <c r="AB25" s="27"/>
      <c r="AC25" s="27"/>
      <c r="AD25" s="27"/>
      <c r="AE25" s="27" t="s">
        <v>183</v>
      </c>
      <c r="AF25" s="27">
        <v>636808555905</v>
      </c>
      <c r="AG25" s="27" t="s">
        <v>77</v>
      </c>
      <c r="AH25" s="27" t="s">
        <v>220</v>
      </c>
    </row>
    <row r="26" spans="1:34" x14ac:dyDescent="0.2">
      <c r="A26" s="27">
        <v>10018792</v>
      </c>
      <c r="B26" s="27" t="s">
        <v>18</v>
      </c>
      <c r="C26" s="27" t="s">
        <v>78</v>
      </c>
      <c r="D26" s="28">
        <v>42221</v>
      </c>
      <c r="E26" s="27">
        <v>93459683</v>
      </c>
      <c r="F26" s="28">
        <v>42214</v>
      </c>
      <c r="G26" s="27"/>
      <c r="H26" s="27">
        <v>1201120</v>
      </c>
      <c r="I26" s="27" t="s">
        <v>117</v>
      </c>
      <c r="J26" s="27">
        <v>1307782</v>
      </c>
      <c r="K26" s="27" t="s">
        <v>119</v>
      </c>
      <c r="L26" s="27">
        <v>1171090</v>
      </c>
      <c r="M26" s="27" t="s">
        <v>118</v>
      </c>
      <c r="N26" s="27" t="s">
        <v>221</v>
      </c>
      <c r="O26" s="27"/>
      <c r="P26" s="27"/>
      <c r="Q26" s="27" t="s">
        <v>181</v>
      </c>
      <c r="R26" s="27" t="s">
        <v>97</v>
      </c>
      <c r="S26" s="27" t="s">
        <v>98</v>
      </c>
      <c r="T26" s="27">
        <v>2695.8</v>
      </c>
      <c r="U26" s="27" t="s">
        <v>182</v>
      </c>
      <c r="V26" s="27" t="s">
        <v>63</v>
      </c>
      <c r="W26" s="27" t="s">
        <v>70</v>
      </c>
      <c r="X26" s="27" t="s">
        <v>76</v>
      </c>
      <c r="Y26" s="28">
        <v>42222</v>
      </c>
      <c r="Z26" s="27" t="s">
        <v>83</v>
      </c>
      <c r="AA26" s="28">
        <v>42221</v>
      </c>
      <c r="AB26" s="27"/>
      <c r="AC26" s="27"/>
      <c r="AD26" s="27"/>
      <c r="AE26" s="27" t="s">
        <v>183</v>
      </c>
      <c r="AF26" s="27" t="s">
        <v>222</v>
      </c>
      <c r="AG26" s="27" t="s">
        <v>77</v>
      </c>
      <c r="AH26" s="27" t="s">
        <v>223</v>
      </c>
    </row>
    <row r="27" spans="1:34" x14ac:dyDescent="0.2">
      <c r="A27" s="27">
        <v>10018794</v>
      </c>
      <c r="B27" s="27" t="s">
        <v>26</v>
      </c>
      <c r="C27" s="27" t="s">
        <v>78</v>
      </c>
      <c r="D27" s="28">
        <v>42221</v>
      </c>
      <c r="E27" s="27">
        <v>93465973</v>
      </c>
      <c r="F27" s="28">
        <v>42219</v>
      </c>
      <c r="G27" s="27"/>
      <c r="H27" s="27">
        <v>1201047</v>
      </c>
      <c r="I27" s="27" t="s">
        <v>79</v>
      </c>
      <c r="J27" s="27">
        <v>1309880</v>
      </c>
      <c r="K27" s="27" t="s">
        <v>108</v>
      </c>
      <c r="L27" s="27">
        <v>1171089</v>
      </c>
      <c r="M27" s="27" t="s">
        <v>75</v>
      </c>
      <c r="N27" s="27">
        <v>18740247</v>
      </c>
      <c r="O27" s="27"/>
      <c r="P27" s="27"/>
      <c r="Q27" s="27" t="s">
        <v>181</v>
      </c>
      <c r="R27" s="27" t="s">
        <v>97</v>
      </c>
      <c r="S27" s="27" t="s">
        <v>98</v>
      </c>
      <c r="T27" s="27">
        <v>38317.760000000002</v>
      </c>
      <c r="U27" s="27" t="s">
        <v>182</v>
      </c>
      <c r="V27" s="27" t="s">
        <v>63</v>
      </c>
      <c r="W27" s="27" t="s">
        <v>81</v>
      </c>
      <c r="X27" s="27" t="s">
        <v>82</v>
      </c>
      <c r="Y27" s="28">
        <v>42222</v>
      </c>
      <c r="Z27" s="27" t="s">
        <v>83</v>
      </c>
      <c r="AA27" s="28">
        <v>42241</v>
      </c>
      <c r="AB27" s="27"/>
      <c r="AC27" s="27"/>
      <c r="AD27" s="27"/>
      <c r="AE27" s="27" t="s">
        <v>183</v>
      </c>
      <c r="AF27" s="27">
        <v>87944972355944</v>
      </c>
      <c r="AG27" s="27" t="s">
        <v>84</v>
      </c>
      <c r="AH27" s="27" t="s">
        <v>224</v>
      </c>
    </row>
    <row r="28" spans="1:34" x14ac:dyDescent="0.2">
      <c r="A28" s="27">
        <v>10018795</v>
      </c>
      <c r="B28" s="27" t="s">
        <v>26</v>
      </c>
      <c r="C28" s="27" t="s">
        <v>78</v>
      </c>
      <c r="D28" s="28">
        <v>42221</v>
      </c>
      <c r="E28" s="27">
        <v>93373026</v>
      </c>
      <c r="F28" s="28">
        <v>42144</v>
      </c>
      <c r="G28" s="27"/>
      <c r="H28" s="27">
        <v>1201156</v>
      </c>
      <c r="I28" s="27" t="s">
        <v>131</v>
      </c>
      <c r="J28" s="27">
        <v>1040869</v>
      </c>
      <c r="K28" s="27" t="s">
        <v>132</v>
      </c>
      <c r="L28" s="27">
        <v>1201156</v>
      </c>
      <c r="M28" s="27" t="s">
        <v>131</v>
      </c>
      <c r="N28" s="27">
        <v>2572975</v>
      </c>
      <c r="O28" s="27"/>
      <c r="P28" s="27"/>
      <c r="Q28" s="27" t="s">
        <v>181</v>
      </c>
      <c r="R28" s="27" t="s">
        <v>102</v>
      </c>
      <c r="S28" s="27" t="s">
        <v>103</v>
      </c>
      <c r="T28" s="27">
        <v>55</v>
      </c>
      <c r="U28" s="27" t="s">
        <v>182</v>
      </c>
      <c r="V28" s="27" t="s">
        <v>63</v>
      </c>
      <c r="W28" s="27" t="s">
        <v>81</v>
      </c>
      <c r="X28" s="27" t="s">
        <v>88</v>
      </c>
      <c r="Y28" s="28">
        <v>42227</v>
      </c>
      <c r="Z28" s="27" t="s">
        <v>64</v>
      </c>
      <c r="AA28" s="28">
        <v>42221</v>
      </c>
      <c r="AB28" s="27"/>
      <c r="AC28" s="27"/>
      <c r="AD28" s="27"/>
      <c r="AE28" s="27" t="s">
        <v>183</v>
      </c>
      <c r="AF28" s="27">
        <v>636808436528</v>
      </c>
      <c r="AG28" s="27" t="s">
        <v>89</v>
      </c>
      <c r="AH28" s="27" t="s">
        <v>225</v>
      </c>
    </row>
    <row r="29" spans="1:34" x14ac:dyDescent="0.2">
      <c r="A29" s="27">
        <v>10018796</v>
      </c>
      <c r="B29" s="27" t="s">
        <v>18</v>
      </c>
      <c r="C29" s="27" t="s">
        <v>74</v>
      </c>
      <c r="D29" s="28">
        <v>42221</v>
      </c>
      <c r="E29" s="27">
        <v>93454731</v>
      </c>
      <c r="F29" s="28">
        <v>42209</v>
      </c>
      <c r="G29" s="27"/>
      <c r="H29" s="27">
        <v>1201120</v>
      </c>
      <c r="I29" s="27" t="s">
        <v>117</v>
      </c>
      <c r="J29" s="27">
        <v>1307782</v>
      </c>
      <c r="K29" s="27" t="s">
        <v>119</v>
      </c>
      <c r="L29" s="27">
        <v>1171090</v>
      </c>
      <c r="M29" s="27" t="s">
        <v>118</v>
      </c>
      <c r="N29" s="27" t="s">
        <v>226</v>
      </c>
      <c r="O29" s="27"/>
      <c r="P29" s="27"/>
      <c r="Q29" s="27" t="s">
        <v>181</v>
      </c>
      <c r="R29" s="27" t="s">
        <v>123</v>
      </c>
      <c r="S29" s="27" t="s">
        <v>124</v>
      </c>
      <c r="T29" s="27">
        <v>36</v>
      </c>
      <c r="U29" s="27" t="s">
        <v>182</v>
      </c>
      <c r="V29" s="27" t="s">
        <v>63</v>
      </c>
      <c r="W29" s="27" t="s">
        <v>70</v>
      </c>
      <c r="X29" s="27" t="s">
        <v>76</v>
      </c>
      <c r="Y29" s="28">
        <v>42222</v>
      </c>
      <c r="Z29" s="27" t="s">
        <v>64</v>
      </c>
      <c r="AA29" s="28">
        <v>42221</v>
      </c>
      <c r="AB29" s="27"/>
      <c r="AC29" s="27"/>
      <c r="AD29" s="27"/>
      <c r="AE29" s="27" t="s">
        <v>183</v>
      </c>
      <c r="AF29" s="27" t="s">
        <v>227</v>
      </c>
      <c r="AG29" s="27" t="s">
        <v>77</v>
      </c>
      <c r="AH29" s="27" t="s">
        <v>228</v>
      </c>
    </row>
    <row r="30" spans="1:34" x14ac:dyDescent="0.2">
      <c r="A30" s="27">
        <v>10018797</v>
      </c>
      <c r="B30" s="27" t="s">
        <v>18</v>
      </c>
      <c r="C30" s="27" t="s">
        <v>74</v>
      </c>
      <c r="D30" s="28">
        <v>42221</v>
      </c>
      <c r="E30" s="27">
        <v>93454721</v>
      </c>
      <c r="F30" s="28">
        <v>42209</v>
      </c>
      <c r="G30" s="27"/>
      <c r="H30" s="27">
        <v>1201120</v>
      </c>
      <c r="I30" s="27" t="s">
        <v>117</v>
      </c>
      <c r="J30" s="27">
        <v>1307782</v>
      </c>
      <c r="K30" s="27" t="s">
        <v>119</v>
      </c>
      <c r="L30" s="27">
        <v>1171090</v>
      </c>
      <c r="M30" s="27" t="s">
        <v>118</v>
      </c>
      <c r="N30" s="27" t="s">
        <v>229</v>
      </c>
      <c r="O30" s="27"/>
      <c r="P30" s="27"/>
      <c r="Q30" s="27" t="s">
        <v>181</v>
      </c>
      <c r="R30" s="27" t="s">
        <v>91</v>
      </c>
      <c r="S30" s="27" t="s">
        <v>92</v>
      </c>
      <c r="T30" s="27">
        <v>461.81</v>
      </c>
      <c r="U30" s="27" t="s">
        <v>182</v>
      </c>
      <c r="V30" s="27" t="s">
        <v>63</v>
      </c>
      <c r="W30" s="27" t="s">
        <v>70</v>
      </c>
      <c r="X30" s="27" t="s">
        <v>76</v>
      </c>
      <c r="Y30" s="28">
        <v>42222</v>
      </c>
      <c r="Z30" s="27" t="s">
        <v>64</v>
      </c>
      <c r="AA30" s="28">
        <v>42221</v>
      </c>
      <c r="AB30" s="27"/>
      <c r="AC30" s="27"/>
      <c r="AD30" s="27"/>
      <c r="AE30" s="27" t="s">
        <v>183</v>
      </c>
      <c r="AF30" s="27" t="s">
        <v>230</v>
      </c>
      <c r="AG30" s="27" t="s">
        <v>77</v>
      </c>
      <c r="AH30" s="27" t="s">
        <v>196</v>
      </c>
    </row>
    <row r="31" spans="1:34" x14ac:dyDescent="0.2">
      <c r="A31" s="27">
        <v>10018799</v>
      </c>
      <c r="B31" s="27" t="s">
        <v>22</v>
      </c>
      <c r="C31" s="27" t="s">
        <v>78</v>
      </c>
      <c r="D31" s="28">
        <v>42222</v>
      </c>
      <c r="E31" s="27">
        <v>93443262</v>
      </c>
      <c r="F31" s="28">
        <v>42201</v>
      </c>
      <c r="G31" s="28">
        <v>42205</v>
      </c>
      <c r="H31" s="27">
        <v>1201566</v>
      </c>
      <c r="I31" s="27" t="s">
        <v>154</v>
      </c>
      <c r="J31" s="27">
        <v>1201566</v>
      </c>
      <c r="K31" s="27" t="s">
        <v>154</v>
      </c>
      <c r="L31" s="27">
        <v>1201566</v>
      </c>
      <c r="M31" s="27" t="s">
        <v>154</v>
      </c>
      <c r="N31" s="27">
        <v>2690197</v>
      </c>
      <c r="O31" s="27"/>
      <c r="P31" s="27"/>
      <c r="Q31" s="27" t="s">
        <v>181</v>
      </c>
      <c r="R31" s="27" t="s">
        <v>67</v>
      </c>
      <c r="S31" s="27" t="s">
        <v>68</v>
      </c>
      <c r="T31" s="27">
        <v>758.16</v>
      </c>
      <c r="U31" s="27" t="s">
        <v>182</v>
      </c>
      <c r="V31" s="27" t="s">
        <v>63</v>
      </c>
      <c r="W31" s="27" t="s">
        <v>94</v>
      </c>
      <c r="X31" s="27" t="s">
        <v>141</v>
      </c>
      <c r="Y31" s="28">
        <v>42229</v>
      </c>
      <c r="Z31" s="27" t="s">
        <v>64</v>
      </c>
      <c r="AA31" s="28">
        <v>42222</v>
      </c>
      <c r="AB31" s="27"/>
      <c r="AC31" s="27"/>
      <c r="AD31" s="27"/>
      <c r="AE31" s="27" t="s">
        <v>183</v>
      </c>
      <c r="AF31" s="27">
        <v>3511780731</v>
      </c>
      <c r="AG31" s="27" t="s">
        <v>142</v>
      </c>
      <c r="AH31" s="27" t="s">
        <v>231</v>
      </c>
    </row>
    <row r="32" spans="1:34" x14ac:dyDescent="0.2">
      <c r="A32" s="27">
        <v>10018800</v>
      </c>
      <c r="B32" s="27" t="s">
        <v>18</v>
      </c>
      <c r="C32" s="27" t="s">
        <v>78</v>
      </c>
      <c r="D32" s="28">
        <v>42222</v>
      </c>
      <c r="E32" s="27">
        <v>93458454</v>
      </c>
      <c r="F32" s="28">
        <v>42213</v>
      </c>
      <c r="G32" s="27"/>
      <c r="H32" s="27">
        <v>1201120</v>
      </c>
      <c r="I32" s="27" t="s">
        <v>117</v>
      </c>
      <c r="J32" s="27">
        <v>1307782</v>
      </c>
      <c r="K32" s="27" t="s">
        <v>119</v>
      </c>
      <c r="L32" s="27">
        <v>1171090</v>
      </c>
      <c r="M32" s="27" t="s">
        <v>118</v>
      </c>
      <c r="N32" s="27" t="s">
        <v>221</v>
      </c>
      <c r="O32" s="27"/>
      <c r="P32" s="27"/>
      <c r="Q32" s="27" t="s">
        <v>181</v>
      </c>
      <c r="R32" s="27" t="s">
        <v>97</v>
      </c>
      <c r="S32" s="27" t="s">
        <v>98</v>
      </c>
      <c r="T32" s="27">
        <v>140</v>
      </c>
      <c r="U32" s="27" t="s">
        <v>182</v>
      </c>
      <c r="V32" s="27" t="s">
        <v>63</v>
      </c>
      <c r="W32" s="27" t="s">
        <v>70</v>
      </c>
      <c r="X32" s="27" t="s">
        <v>76</v>
      </c>
      <c r="Y32" s="28">
        <v>42229</v>
      </c>
      <c r="Z32" s="27" t="s">
        <v>64</v>
      </c>
      <c r="AA32" s="28">
        <v>42222</v>
      </c>
      <c r="AB32" s="27"/>
      <c r="AC32" s="27"/>
      <c r="AD32" s="27"/>
      <c r="AE32" s="27" t="s">
        <v>183</v>
      </c>
      <c r="AF32" s="27" t="s">
        <v>232</v>
      </c>
      <c r="AG32" s="27" t="s">
        <v>77</v>
      </c>
      <c r="AH32" s="27" t="s">
        <v>196</v>
      </c>
    </row>
    <row r="33" spans="1:34" x14ac:dyDescent="0.2">
      <c r="A33" s="27">
        <v>10018801</v>
      </c>
      <c r="B33" s="27" t="s">
        <v>18</v>
      </c>
      <c r="C33" s="27" t="s">
        <v>78</v>
      </c>
      <c r="D33" s="28">
        <v>42222</v>
      </c>
      <c r="E33" s="27">
        <v>93463844</v>
      </c>
      <c r="F33" s="28">
        <v>42216</v>
      </c>
      <c r="G33" s="27"/>
      <c r="H33" s="27">
        <v>1201120</v>
      </c>
      <c r="I33" s="27" t="s">
        <v>117</v>
      </c>
      <c r="J33" s="27">
        <v>1307782</v>
      </c>
      <c r="K33" s="27" t="s">
        <v>119</v>
      </c>
      <c r="L33" s="27">
        <v>1171090</v>
      </c>
      <c r="M33" s="27" t="s">
        <v>118</v>
      </c>
      <c r="N33" s="27" t="s">
        <v>233</v>
      </c>
      <c r="O33" s="27"/>
      <c r="P33" s="27"/>
      <c r="Q33" s="27" t="s">
        <v>181</v>
      </c>
      <c r="R33" s="27" t="s">
        <v>97</v>
      </c>
      <c r="S33" s="27" t="s">
        <v>98</v>
      </c>
      <c r="T33" s="27">
        <v>7.5</v>
      </c>
      <c r="U33" s="27" t="s">
        <v>182</v>
      </c>
      <c r="V33" s="27" t="s">
        <v>63</v>
      </c>
      <c r="W33" s="27" t="s">
        <v>70</v>
      </c>
      <c r="X33" s="27" t="s">
        <v>76</v>
      </c>
      <c r="Y33" s="28">
        <v>42229</v>
      </c>
      <c r="Z33" s="27" t="s">
        <v>64</v>
      </c>
      <c r="AA33" s="28">
        <v>42222</v>
      </c>
      <c r="AB33" s="27"/>
      <c r="AC33" s="27"/>
      <c r="AD33" s="27"/>
      <c r="AE33" s="27" t="s">
        <v>183</v>
      </c>
      <c r="AF33" s="27">
        <v>87944972346362</v>
      </c>
      <c r="AG33" s="27" t="s">
        <v>77</v>
      </c>
      <c r="AH33" s="27" t="s">
        <v>196</v>
      </c>
    </row>
    <row r="34" spans="1:34" x14ac:dyDescent="0.2">
      <c r="A34" s="27">
        <v>10018804</v>
      </c>
      <c r="B34" s="27" t="s">
        <v>22</v>
      </c>
      <c r="C34" s="27" t="s">
        <v>78</v>
      </c>
      <c r="D34" s="28">
        <v>42222</v>
      </c>
      <c r="E34" s="27">
        <v>93459987</v>
      </c>
      <c r="F34" s="28">
        <v>42214</v>
      </c>
      <c r="G34" s="27"/>
      <c r="H34" s="27">
        <v>1201540</v>
      </c>
      <c r="I34" s="27" t="s">
        <v>150</v>
      </c>
      <c r="J34" s="27">
        <v>1312297</v>
      </c>
      <c r="K34" s="27" t="s">
        <v>151</v>
      </c>
      <c r="L34" s="27">
        <v>1201540</v>
      </c>
      <c r="M34" s="27" t="s">
        <v>150</v>
      </c>
      <c r="N34" s="27" t="s">
        <v>234</v>
      </c>
      <c r="O34" s="27"/>
      <c r="P34" s="27"/>
      <c r="Q34" s="27" t="s">
        <v>235</v>
      </c>
      <c r="R34" s="27" t="s">
        <v>102</v>
      </c>
      <c r="S34" s="27" t="s">
        <v>103</v>
      </c>
      <c r="T34" s="27">
        <v>285.12</v>
      </c>
      <c r="U34" s="27" t="s">
        <v>182</v>
      </c>
      <c r="V34" s="27" t="s">
        <v>63</v>
      </c>
      <c r="W34" s="27" t="s">
        <v>81</v>
      </c>
      <c r="X34" s="27" t="s">
        <v>82</v>
      </c>
      <c r="Y34" s="28">
        <v>42250</v>
      </c>
      <c r="Z34" s="27" t="s">
        <v>64</v>
      </c>
      <c r="AA34" s="28">
        <v>42222</v>
      </c>
      <c r="AB34" s="27"/>
      <c r="AC34" s="27"/>
      <c r="AD34" s="27"/>
      <c r="AE34" s="27" t="s">
        <v>183</v>
      </c>
      <c r="AF34" s="27">
        <v>636808552652</v>
      </c>
      <c r="AG34" s="27" t="s">
        <v>84</v>
      </c>
      <c r="AH34" s="27" t="s">
        <v>236</v>
      </c>
    </row>
    <row r="35" spans="1:34" x14ac:dyDescent="0.2">
      <c r="A35" s="27">
        <v>10018805</v>
      </c>
      <c r="B35" s="27" t="s">
        <v>26</v>
      </c>
      <c r="C35" s="27" t="s">
        <v>78</v>
      </c>
      <c r="D35" s="28">
        <v>42222</v>
      </c>
      <c r="E35" s="27">
        <v>93458737</v>
      </c>
      <c r="F35" s="28">
        <v>42213</v>
      </c>
      <c r="G35" s="27"/>
      <c r="H35" s="27">
        <v>1201646</v>
      </c>
      <c r="I35" s="27" t="s">
        <v>164</v>
      </c>
      <c r="J35" s="27">
        <v>1201646</v>
      </c>
      <c r="K35" s="27" t="s">
        <v>164</v>
      </c>
      <c r="L35" s="27">
        <v>1201646</v>
      </c>
      <c r="M35" s="27" t="s">
        <v>164</v>
      </c>
      <c r="N35" s="27">
        <v>8044317</v>
      </c>
      <c r="O35" s="27"/>
      <c r="P35" s="27"/>
      <c r="Q35" s="27" t="s">
        <v>181</v>
      </c>
      <c r="R35" s="27" t="s">
        <v>67</v>
      </c>
      <c r="S35" s="27" t="s">
        <v>68</v>
      </c>
      <c r="T35" s="27">
        <v>20991.360000000001</v>
      </c>
      <c r="U35" s="27" t="s">
        <v>182</v>
      </c>
      <c r="V35" s="27" t="s">
        <v>69</v>
      </c>
      <c r="W35" s="27" t="s">
        <v>70</v>
      </c>
      <c r="X35" s="27" t="s">
        <v>71</v>
      </c>
      <c r="Y35" s="28">
        <v>42242</v>
      </c>
      <c r="Z35" s="27" t="s">
        <v>83</v>
      </c>
      <c r="AA35" s="28">
        <v>42242</v>
      </c>
      <c r="AB35" s="27" t="s">
        <v>72</v>
      </c>
      <c r="AC35" s="27">
        <v>61978263</v>
      </c>
      <c r="AD35" s="28">
        <v>42257</v>
      </c>
      <c r="AE35" s="27" t="s">
        <v>183</v>
      </c>
      <c r="AF35" s="27">
        <v>3511782094</v>
      </c>
      <c r="AG35" s="27" t="s">
        <v>134</v>
      </c>
      <c r="AH35" s="27" t="s">
        <v>237</v>
      </c>
    </row>
    <row r="36" spans="1:34" x14ac:dyDescent="0.2">
      <c r="A36" s="27">
        <v>10018806</v>
      </c>
      <c r="B36" s="27" t="s">
        <v>18</v>
      </c>
      <c r="C36" s="27" t="s">
        <v>136</v>
      </c>
      <c r="D36" s="28">
        <v>42223</v>
      </c>
      <c r="E36" s="27">
        <v>93447811</v>
      </c>
      <c r="F36" s="28">
        <v>42205</v>
      </c>
      <c r="G36" s="27"/>
      <c r="H36" s="27">
        <v>1201120</v>
      </c>
      <c r="I36" s="27" t="s">
        <v>117</v>
      </c>
      <c r="J36" s="27">
        <v>1307782</v>
      </c>
      <c r="K36" s="27" t="s">
        <v>119</v>
      </c>
      <c r="L36" s="27">
        <v>1171090</v>
      </c>
      <c r="M36" s="27" t="s">
        <v>118</v>
      </c>
      <c r="N36" s="27" t="s">
        <v>238</v>
      </c>
      <c r="O36" s="27"/>
      <c r="P36" s="27"/>
      <c r="Q36" s="27" t="s">
        <v>181</v>
      </c>
      <c r="R36" s="27" t="s">
        <v>121</v>
      </c>
      <c r="S36" s="27" t="s">
        <v>122</v>
      </c>
      <c r="T36" s="27">
        <v>981.12</v>
      </c>
      <c r="U36" s="27" t="s">
        <v>182</v>
      </c>
      <c r="V36" s="27" t="s">
        <v>63</v>
      </c>
      <c r="W36" s="27" t="s">
        <v>70</v>
      </c>
      <c r="X36" s="27" t="s">
        <v>76</v>
      </c>
      <c r="Y36" s="28">
        <v>42227</v>
      </c>
      <c r="Z36" s="27" t="s">
        <v>64</v>
      </c>
      <c r="AA36" s="28">
        <v>42223</v>
      </c>
      <c r="AB36" s="27"/>
      <c r="AC36" s="27"/>
      <c r="AD36" s="27"/>
      <c r="AE36" s="27" t="s">
        <v>183</v>
      </c>
      <c r="AF36" s="27" t="s">
        <v>239</v>
      </c>
      <c r="AG36" s="27" t="s">
        <v>77</v>
      </c>
      <c r="AH36" s="27" t="s">
        <v>240</v>
      </c>
    </row>
    <row r="37" spans="1:34" x14ac:dyDescent="0.2">
      <c r="A37" s="27">
        <v>10018807</v>
      </c>
      <c r="B37" s="27" t="s">
        <v>18</v>
      </c>
      <c r="C37" s="27" t="s">
        <v>149</v>
      </c>
      <c r="D37" s="28">
        <v>42223</v>
      </c>
      <c r="E37" s="27">
        <v>93463812</v>
      </c>
      <c r="F37" s="28">
        <v>42216</v>
      </c>
      <c r="G37" s="28">
        <v>42220</v>
      </c>
      <c r="H37" s="27">
        <v>1201072</v>
      </c>
      <c r="I37" s="27" t="s">
        <v>115</v>
      </c>
      <c r="J37" s="27">
        <v>1201072</v>
      </c>
      <c r="K37" s="27" t="s">
        <v>115</v>
      </c>
      <c r="L37" s="27">
        <v>1171089</v>
      </c>
      <c r="M37" s="27" t="s">
        <v>75</v>
      </c>
      <c r="N37" s="27">
        <v>318332</v>
      </c>
      <c r="O37" s="27"/>
      <c r="P37" s="27"/>
      <c r="Q37" s="27" t="s">
        <v>181</v>
      </c>
      <c r="R37" s="27" t="s">
        <v>61</v>
      </c>
      <c r="S37" s="27" t="s">
        <v>62</v>
      </c>
      <c r="T37" s="27">
        <v>1178.6400000000001</v>
      </c>
      <c r="U37" s="27" t="s">
        <v>182</v>
      </c>
      <c r="V37" s="27" t="s">
        <v>63</v>
      </c>
      <c r="W37" s="27" t="s">
        <v>70</v>
      </c>
      <c r="X37" s="27" t="s">
        <v>76</v>
      </c>
      <c r="Y37" s="28">
        <v>42227</v>
      </c>
      <c r="Z37" s="27" t="s">
        <v>83</v>
      </c>
      <c r="AA37" s="28">
        <v>42229</v>
      </c>
      <c r="AB37" s="27"/>
      <c r="AC37" s="27"/>
      <c r="AD37" s="27"/>
      <c r="AE37" s="27" t="s">
        <v>183</v>
      </c>
      <c r="AF37" s="27">
        <v>327755238</v>
      </c>
      <c r="AG37" s="27" t="s">
        <v>77</v>
      </c>
      <c r="AH37" s="27" t="s">
        <v>241</v>
      </c>
    </row>
    <row r="38" spans="1:34" x14ac:dyDescent="0.2">
      <c r="A38" s="27">
        <v>10018808</v>
      </c>
      <c r="B38" s="27" t="s">
        <v>22</v>
      </c>
      <c r="C38" s="27" t="s">
        <v>136</v>
      </c>
      <c r="D38" s="28">
        <v>42223</v>
      </c>
      <c r="E38" s="27">
        <v>93467831</v>
      </c>
      <c r="F38" s="28">
        <v>42220</v>
      </c>
      <c r="G38" s="28">
        <v>42223</v>
      </c>
      <c r="H38" s="27">
        <v>1301804</v>
      </c>
      <c r="I38" s="27" t="s">
        <v>242</v>
      </c>
      <c r="J38" s="27">
        <v>1320292</v>
      </c>
      <c r="K38" s="27" t="s">
        <v>243</v>
      </c>
      <c r="L38" s="27">
        <v>1301804</v>
      </c>
      <c r="M38" s="27" t="s">
        <v>242</v>
      </c>
      <c r="N38" s="27">
        <v>323996</v>
      </c>
      <c r="O38" s="27"/>
      <c r="P38" s="27"/>
      <c r="Q38" s="27" t="s">
        <v>181</v>
      </c>
      <c r="R38" s="27" t="s">
        <v>67</v>
      </c>
      <c r="S38" s="27" t="s">
        <v>68</v>
      </c>
      <c r="T38" s="27">
        <v>2546.64</v>
      </c>
      <c r="U38" s="27" t="s">
        <v>182</v>
      </c>
      <c r="V38" s="27" t="s">
        <v>63</v>
      </c>
      <c r="W38" s="27" t="s">
        <v>94</v>
      </c>
      <c r="X38" s="27" t="s">
        <v>141</v>
      </c>
      <c r="Y38" s="28">
        <v>42247</v>
      </c>
      <c r="Z38" s="27" t="s">
        <v>64</v>
      </c>
      <c r="AA38" s="28">
        <v>42223</v>
      </c>
      <c r="AB38" s="27"/>
      <c r="AC38" s="27"/>
      <c r="AD38" s="27"/>
      <c r="AE38" s="27" t="s">
        <v>183</v>
      </c>
      <c r="AF38" s="27">
        <v>3511782606</v>
      </c>
      <c r="AG38" s="27" t="s">
        <v>142</v>
      </c>
      <c r="AH38" s="27" t="s">
        <v>244</v>
      </c>
    </row>
    <row r="39" spans="1:34" x14ac:dyDescent="0.2">
      <c r="A39" s="27">
        <v>10018809</v>
      </c>
      <c r="B39" s="27" t="s">
        <v>26</v>
      </c>
      <c r="C39" s="27" t="s">
        <v>136</v>
      </c>
      <c r="D39" s="28">
        <v>42223</v>
      </c>
      <c r="E39" s="27">
        <v>93459543</v>
      </c>
      <c r="F39" s="28">
        <v>42214</v>
      </c>
      <c r="G39" s="27"/>
      <c r="H39" s="27">
        <v>1201047</v>
      </c>
      <c r="I39" s="27" t="s">
        <v>79</v>
      </c>
      <c r="J39" s="27">
        <v>1311011</v>
      </c>
      <c r="K39" s="27" t="s">
        <v>85</v>
      </c>
      <c r="L39" s="27">
        <v>1171089</v>
      </c>
      <c r="M39" s="27" t="s">
        <v>75</v>
      </c>
      <c r="N39" s="27">
        <v>19617654</v>
      </c>
      <c r="O39" s="27"/>
      <c r="P39" s="27"/>
      <c r="Q39" s="27" t="s">
        <v>181</v>
      </c>
      <c r="R39" s="27" t="s">
        <v>86</v>
      </c>
      <c r="S39" s="27" t="s">
        <v>87</v>
      </c>
      <c r="T39" s="27">
        <v>90750</v>
      </c>
      <c r="U39" s="27" t="s">
        <v>182</v>
      </c>
      <c r="V39" s="27" t="s">
        <v>69</v>
      </c>
      <c r="W39" s="27" t="s">
        <v>94</v>
      </c>
      <c r="X39" s="27" t="s">
        <v>71</v>
      </c>
      <c r="Y39" s="28">
        <v>42227</v>
      </c>
      <c r="Z39" s="27" t="s">
        <v>83</v>
      </c>
      <c r="AA39" s="28">
        <v>42227</v>
      </c>
      <c r="AB39" s="27" t="s">
        <v>72</v>
      </c>
      <c r="AC39" s="27">
        <v>61955792</v>
      </c>
      <c r="AD39" s="28">
        <v>42229</v>
      </c>
      <c r="AE39" s="27" t="s">
        <v>183</v>
      </c>
      <c r="AF39" s="27" t="s">
        <v>245</v>
      </c>
      <c r="AG39" s="27" t="s">
        <v>96</v>
      </c>
      <c r="AH39" s="27" t="s">
        <v>246</v>
      </c>
    </row>
    <row r="40" spans="1:34" x14ac:dyDescent="0.2">
      <c r="A40" s="27">
        <v>10018810</v>
      </c>
      <c r="B40" s="27" t="s">
        <v>26</v>
      </c>
      <c r="C40" s="27" t="s">
        <v>136</v>
      </c>
      <c r="D40" s="28">
        <v>42223</v>
      </c>
      <c r="E40" s="27">
        <v>93465854</v>
      </c>
      <c r="F40" s="28">
        <v>42219</v>
      </c>
      <c r="G40" s="27"/>
      <c r="H40" s="27">
        <v>1201047</v>
      </c>
      <c r="I40" s="27" t="s">
        <v>79</v>
      </c>
      <c r="J40" s="27">
        <v>1049975</v>
      </c>
      <c r="K40" s="27" t="s">
        <v>247</v>
      </c>
      <c r="L40" s="27">
        <v>1171089</v>
      </c>
      <c r="M40" s="27" t="s">
        <v>75</v>
      </c>
      <c r="N40" s="27">
        <v>44291716</v>
      </c>
      <c r="O40" s="27"/>
      <c r="P40" s="27"/>
      <c r="Q40" s="27" t="s">
        <v>181</v>
      </c>
      <c r="R40" s="27" t="s">
        <v>91</v>
      </c>
      <c r="S40" s="27" t="s">
        <v>92</v>
      </c>
      <c r="T40" s="27">
        <v>3537.36</v>
      </c>
      <c r="U40" s="27" t="s">
        <v>182</v>
      </c>
      <c r="V40" s="27" t="s">
        <v>69</v>
      </c>
      <c r="W40" s="27" t="s">
        <v>94</v>
      </c>
      <c r="X40" s="27" t="s">
        <v>95</v>
      </c>
      <c r="Y40" s="28">
        <v>42234</v>
      </c>
      <c r="Z40" s="27" t="s">
        <v>83</v>
      </c>
      <c r="AA40" s="28">
        <v>42243</v>
      </c>
      <c r="AB40" s="27" t="s">
        <v>100</v>
      </c>
      <c r="AC40" s="27">
        <v>61970031</v>
      </c>
      <c r="AD40" s="28">
        <v>42244</v>
      </c>
      <c r="AE40" s="27" t="s">
        <v>183</v>
      </c>
      <c r="AF40" s="27" t="s">
        <v>248</v>
      </c>
      <c r="AG40" s="27" t="s">
        <v>96</v>
      </c>
      <c r="AH40" s="27" t="s">
        <v>249</v>
      </c>
    </row>
    <row r="41" spans="1:34" x14ac:dyDescent="0.2">
      <c r="A41" s="27">
        <v>10018811</v>
      </c>
      <c r="B41" s="27" t="s">
        <v>18</v>
      </c>
      <c r="C41" s="27" t="s">
        <v>136</v>
      </c>
      <c r="D41" s="28">
        <v>42223</v>
      </c>
      <c r="E41" s="27">
        <v>93466035</v>
      </c>
      <c r="F41" s="28">
        <v>42219</v>
      </c>
      <c r="G41" s="27"/>
      <c r="H41" s="27">
        <v>1201120</v>
      </c>
      <c r="I41" s="27" t="s">
        <v>117</v>
      </c>
      <c r="J41" s="27">
        <v>1307782</v>
      </c>
      <c r="K41" s="27" t="s">
        <v>119</v>
      </c>
      <c r="L41" s="27">
        <v>1171090</v>
      </c>
      <c r="M41" s="27" t="s">
        <v>118</v>
      </c>
      <c r="N41" s="27" t="s">
        <v>250</v>
      </c>
      <c r="O41" s="27"/>
      <c r="P41" s="27"/>
      <c r="Q41" s="27" t="s">
        <v>181</v>
      </c>
      <c r="R41" s="27" t="s">
        <v>121</v>
      </c>
      <c r="S41" s="27" t="s">
        <v>122</v>
      </c>
      <c r="T41" s="27">
        <v>1331.22</v>
      </c>
      <c r="U41" s="27" t="s">
        <v>182</v>
      </c>
      <c r="V41" s="27" t="s">
        <v>63</v>
      </c>
      <c r="W41" s="27" t="s">
        <v>70</v>
      </c>
      <c r="X41" s="27" t="s">
        <v>76</v>
      </c>
      <c r="Y41" s="28">
        <v>42227</v>
      </c>
      <c r="Z41" s="27" t="s">
        <v>83</v>
      </c>
      <c r="AA41" s="28">
        <v>42229</v>
      </c>
      <c r="AB41" s="27"/>
      <c r="AC41" s="27"/>
      <c r="AD41" s="27"/>
      <c r="AE41" s="27" t="s">
        <v>183</v>
      </c>
      <c r="AF41" s="27">
        <v>-3663150</v>
      </c>
      <c r="AG41" s="27" t="s">
        <v>77</v>
      </c>
      <c r="AH41" s="27" t="s">
        <v>251</v>
      </c>
    </row>
    <row r="42" spans="1:34" x14ac:dyDescent="0.2">
      <c r="A42" s="27">
        <v>10018812</v>
      </c>
      <c r="B42" s="27" t="s">
        <v>26</v>
      </c>
      <c r="C42" s="27" t="s">
        <v>252</v>
      </c>
      <c r="D42" s="28">
        <v>42223</v>
      </c>
      <c r="E42" s="27">
        <v>93466447</v>
      </c>
      <c r="F42" s="28">
        <v>42219</v>
      </c>
      <c r="G42" s="27"/>
      <c r="H42" s="27">
        <v>1322827</v>
      </c>
      <c r="I42" s="27" t="s">
        <v>253</v>
      </c>
      <c r="J42" s="27">
        <v>1339507</v>
      </c>
      <c r="K42" s="27" t="s">
        <v>254</v>
      </c>
      <c r="L42" s="27">
        <v>1322827</v>
      </c>
      <c r="M42" s="27" t="s">
        <v>253</v>
      </c>
      <c r="N42" s="27">
        <v>1224232</v>
      </c>
      <c r="O42" s="27"/>
      <c r="P42" s="27"/>
      <c r="Q42" s="27" t="s">
        <v>181</v>
      </c>
      <c r="R42" s="27" t="s">
        <v>97</v>
      </c>
      <c r="S42" s="27" t="s">
        <v>98</v>
      </c>
      <c r="T42" s="27">
        <v>221.4</v>
      </c>
      <c r="U42" s="27" t="s">
        <v>182</v>
      </c>
      <c r="V42" s="27" t="s">
        <v>63</v>
      </c>
      <c r="W42" s="27" t="s">
        <v>81</v>
      </c>
      <c r="X42" s="27" t="s">
        <v>88</v>
      </c>
      <c r="Y42" s="28">
        <v>42247</v>
      </c>
      <c r="Z42" s="27" t="s">
        <v>64</v>
      </c>
      <c r="AA42" s="28">
        <v>42223</v>
      </c>
      <c r="AB42" s="27"/>
      <c r="AC42" s="27"/>
      <c r="AD42" s="27"/>
      <c r="AE42" s="27" t="s">
        <v>183</v>
      </c>
      <c r="AF42" s="27">
        <v>87944972356699</v>
      </c>
      <c r="AG42" s="27" t="s">
        <v>89</v>
      </c>
      <c r="AH42" s="27" t="s">
        <v>255</v>
      </c>
    </row>
    <row r="43" spans="1:34" x14ac:dyDescent="0.2">
      <c r="A43" s="27">
        <v>10018813</v>
      </c>
      <c r="B43" s="27" t="s">
        <v>18</v>
      </c>
      <c r="C43" s="27" t="s">
        <v>252</v>
      </c>
      <c r="D43" s="28">
        <v>42223</v>
      </c>
      <c r="E43" s="27">
        <v>93412937</v>
      </c>
      <c r="F43" s="28">
        <v>42177</v>
      </c>
      <c r="G43" s="28">
        <v>42179</v>
      </c>
      <c r="H43" s="27">
        <v>1201315</v>
      </c>
      <c r="I43" s="27" t="s">
        <v>256</v>
      </c>
      <c r="J43" s="27">
        <v>1319408</v>
      </c>
      <c r="K43" s="27" t="s">
        <v>256</v>
      </c>
      <c r="L43" s="27">
        <v>1201315</v>
      </c>
      <c r="M43" s="27" t="s">
        <v>256</v>
      </c>
      <c r="N43" s="27">
        <v>5564170</v>
      </c>
      <c r="O43" s="27"/>
      <c r="P43" s="27"/>
      <c r="Q43" s="27" t="s">
        <v>181</v>
      </c>
      <c r="R43" s="27" t="s">
        <v>67</v>
      </c>
      <c r="S43" s="27" t="s">
        <v>68</v>
      </c>
      <c r="T43" s="27">
        <v>120</v>
      </c>
      <c r="U43" s="27" t="s">
        <v>182</v>
      </c>
      <c r="V43" s="27" t="s">
        <v>69</v>
      </c>
      <c r="W43" s="27" t="s">
        <v>70</v>
      </c>
      <c r="X43" s="27" t="s">
        <v>76</v>
      </c>
      <c r="Y43" s="28">
        <v>42227</v>
      </c>
      <c r="Z43" s="27" t="s">
        <v>64</v>
      </c>
      <c r="AA43" s="28">
        <v>42223</v>
      </c>
      <c r="AB43" s="27" t="s">
        <v>100</v>
      </c>
      <c r="AC43" s="27">
        <v>61967142</v>
      </c>
      <c r="AD43" s="28">
        <v>42242</v>
      </c>
      <c r="AE43" s="27" t="s">
        <v>183</v>
      </c>
      <c r="AF43" s="27">
        <v>2795634170</v>
      </c>
      <c r="AG43" s="27" t="s">
        <v>77</v>
      </c>
      <c r="AH43" s="27" t="s">
        <v>257</v>
      </c>
    </row>
    <row r="44" spans="1:34" x14ac:dyDescent="0.2">
      <c r="A44" s="27">
        <v>10018814</v>
      </c>
      <c r="B44" s="27" t="s">
        <v>22</v>
      </c>
      <c r="C44" s="27" t="s">
        <v>136</v>
      </c>
      <c r="D44" s="28">
        <v>42226</v>
      </c>
      <c r="E44" s="27">
        <v>93466042</v>
      </c>
      <c r="F44" s="28">
        <v>42219</v>
      </c>
      <c r="G44" s="27"/>
      <c r="H44" s="27">
        <v>1201120</v>
      </c>
      <c r="I44" s="27" t="s">
        <v>117</v>
      </c>
      <c r="J44" s="27">
        <v>1307782</v>
      </c>
      <c r="K44" s="27" t="s">
        <v>119</v>
      </c>
      <c r="L44" s="27">
        <v>1171090</v>
      </c>
      <c r="M44" s="27" t="s">
        <v>118</v>
      </c>
      <c r="N44" s="27" t="s">
        <v>206</v>
      </c>
      <c r="O44" s="27"/>
      <c r="P44" s="27"/>
      <c r="Q44" s="27" t="s">
        <v>181</v>
      </c>
      <c r="R44" s="27" t="s">
        <v>121</v>
      </c>
      <c r="S44" s="27" t="s">
        <v>122</v>
      </c>
      <c r="T44" s="27">
        <v>262.5</v>
      </c>
      <c r="U44" s="27" t="s">
        <v>182</v>
      </c>
      <c r="V44" s="27" t="s">
        <v>63</v>
      </c>
      <c r="W44" s="27" t="s">
        <v>94</v>
      </c>
      <c r="X44" s="27" t="s">
        <v>141</v>
      </c>
      <c r="Y44" s="28">
        <v>42229</v>
      </c>
      <c r="Z44" s="27" t="s">
        <v>64</v>
      </c>
      <c r="AA44" s="28">
        <v>42226</v>
      </c>
      <c r="AB44" s="27"/>
      <c r="AC44" s="27"/>
      <c r="AD44" s="27"/>
      <c r="AE44" s="27" t="s">
        <v>183</v>
      </c>
      <c r="AF44" s="27">
        <v>-3663150</v>
      </c>
      <c r="AG44" s="27" t="s">
        <v>142</v>
      </c>
      <c r="AH44" s="27" t="s">
        <v>258</v>
      </c>
    </row>
    <row r="45" spans="1:34" x14ac:dyDescent="0.2">
      <c r="A45" s="27">
        <v>10018816</v>
      </c>
      <c r="B45" s="27" t="s">
        <v>18</v>
      </c>
      <c r="C45" s="27" t="s">
        <v>78</v>
      </c>
      <c r="D45" s="28">
        <v>42226</v>
      </c>
      <c r="E45" s="27">
        <v>93473177</v>
      </c>
      <c r="F45" s="28">
        <v>42223</v>
      </c>
      <c r="G45" s="27"/>
      <c r="H45" s="27">
        <v>1201120</v>
      </c>
      <c r="I45" s="27" t="s">
        <v>117</v>
      </c>
      <c r="J45" s="27">
        <v>1307782</v>
      </c>
      <c r="K45" s="27" t="s">
        <v>119</v>
      </c>
      <c r="L45" s="27">
        <v>1171090</v>
      </c>
      <c r="M45" s="27" t="s">
        <v>118</v>
      </c>
      <c r="N45" s="27" t="s">
        <v>259</v>
      </c>
      <c r="O45" s="27"/>
      <c r="P45" s="27"/>
      <c r="Q45" s="27" t="s">
        <v>181</v>
      </c>
      <c r="R45" s="27" t="s">
        <v>91</v>
      </c>
      <c r="S45" s="27" t="s">
        <v>92</v>
      </c>
      <c r="T45" s="27">
        <v>336</v>
      </c>
      <c r="U45" s="27" t="s">
        <v>182</v>
      </c>
      <c r="V45" s="27" t="s">
        <v>63</v>
      </c>
      <c r="W45" s="27" t="s">
        <v>70</v>
      </c>
      <c r="X45" s="27" t="s">
        <v>76</v>
      </c>
      <c r="Y45" s="28">
        <v>42227</v>
      </c>
      <c r="Z45" s="27" t="s">
        <v>64</v>
      </c>
      <c r="AA45" s="28">
        <v>42226</v>
      </c>
      <c r="AB45" s="27"/>
      <c r="AC45" s="27"/>
      <c r="AD45" s="27"/>
      <c r="AE45" s="27" t="s">
        <v>183</v>
      </c>
      <c r="AF45" s="27" t="s">
        <v>260</v>
      </c>
      <c r="AG45" s="27" t="s">
        <v>77</v>
      </c>
      <c r="AH45" s="27" t="s">
        <v>261</v>
      </c>
    </row>
    <row r="46" spans="1:34" x14ac:dyDescent="0.2">
      <c r="A46" s="27">
        <v>10018817</v>
      </c>
      <c r="B46" s="27" t="s">
        <v>18</v>
      </c>
      <c r="C46" s="27" t="s">
        <v>78</v>
      </c>
      <c r="D46" s="28">
        <v>42226</v>
      </c>
      <c r="E46" s="27">
        <v>93473163</v>
      </c>
      <c r="F46" s="28">
        <v>42223</v>
      </c>
      <c r="G46" s="27"/>
      <c r="H46" s="27">
        <v>1201120</v>
      </c>
      <c r="I46" s="27" t="s">
        <v>117</v>
      </c>
      <c r="J46" s="27">
        <v>1307782</v>
      </c>
      <c r="K46" s="27" t="s">
        <v>119</v>
      </c>
      <c r="L46" s="27">
        <v>1171090</v>
      </c>
      <c r="M46" s="27" t="s">
        <v>118</v>
      </c>
      <c r="N46" s="27" t="s">
        <v>262</v>
      </c>
      <c r="O46" s="27"/>
      <c r="P46" s="27"/>
      <c r="Q46" s="27" t="s">
        <v>181</v>
      </c>
      <c r="R46" s="27" t="s">
        <v>123</v>
      </c>
      <c r="S46" s="27" t="s">
        <v>124</v>
      </c>
      <c r="T46" s="27">
        <v>1631.08</v>
      </c>
      <c r="U46" s="27" t="s">
        <v>182</v>
      </c>
      <c r="V46" s="27" t="s">
        <v>63</v>
      </c>
      <c r="W46" s="27" t="s">
        <v>70</v>
      </c>
      <c r="X46" s="27" t="s">
        <v>76</v>
      </c>
      <c r="Y46" s="28">
        <v>42227</v>
      </c>
      <c r="Z46" s="27" t="s">
        <v>83</v>
      </c>
      <c r="AA46" s="28">
        <v>42229</v>
      </c>
      <c r="AB46" s="27"/>
      <c r="AC46" s="27"/>
      <c r="AD46" s="27"/>
      <c r="AE46" s="27" t="s">
        <v>183</v>
      </c>
      <c r="AF46" s="27" t="s">
        <v>263</v>
      </c>
      <c r="AG46" s="27" t="s">
        <v>77</v>
      </c>
      <c r="AH46" s="27" t="s">
        <v>191</v>
      </c>
    </row>
    <row r="47" spans="1:34" x14ac:dyDescent="0.2">
      <c r="A47" s="27">
        <v>10018818</v>
      </c>
      <c r="B47" s="27" t="s">
        <v>18</v>
      </c>
      <c r="C47" s="27" t="s">
        <v>78</v>
      </c>
      <c r="D47" s="28">
        <v>42226</v>
      </c>
      <c r="E47" s="27">
        <v>93467464</v>
      </c>
      <c r="F47" s="28">
        <v>42220</v>
      </c>
      <c r="G47" s="27"/>
      <c r="H47" s="27">
        <v>1201120</v>
      </c>
      <c r="I47" s="27" t="s">
        <v>117</v>
      </c>
      <c r="J47" s="27">
        <v>1307782</v>
      </c>
      <c r="K47" s="27" t="s">
        <v>119</v>
      </c>
      <c r="L47" s="27">
        <v>1171090</v>
      </c>
      <c r="M47" s="27" t="s">
        <v>118</v>
      </c>
      <c r="N47" s="27" t="s">
        <v>226</v>
      </c>
      <c r="O47" s="27"/>
      <c r="P47" s="27"/>
      <c r="Q47" s="27" t="s">
        <v>181</v>
      </c>
      <c r="R47" s="27" t="s">
        <v>97</v>
      </c>
      <c r="S47" s="27" t="s">
        <v>98</v>
      </c>
      <c r="T47" s="27">
        <v>22.5</v>
      </c>
      <c r="U47" s="27" t="s">
        <v>182</v>
      </c>
      <c r="V47" s="27" t="s">
        <v>63</v>
      </c>
      <c r="W47" s="27" t="s">
        <v>70</v>
      </c>
      <c r="X47" s="27" t="s">
        <v>76</v>
      </c>
      <c r="Y47" s="28">
        <v>42227</v>
      </c>
      <c r="Z47" s="27" t="s">
        <v>64</v>
      </c>
      <c r="AA47" s="28">
        <v>42226</v>
      </c>
      <c r="AB47" s="27"/>
      <c r="AC47" s="27"/>
      <c r="AD47" s="27"/>
      <c r="AE47" s="27" t="s">
        <v>183</v>
      </c>
      <c r="AF47" s="27" t="s">
        <v>264</v>
      </c>
      <c r="AG47" s="27" t="s">
        <v>77</v>
      </c>
      <c r="AH47" s="27" t="s">
        <v>127</v>
      </c>
    </row>
    <row r="48" spans="1:34" x14ac:dyDescent="0.2">
      <c r="A48" s="27">
        <v>10018819</v>
      </c>
      <c r="B48" s="27" t="s">
        <v>18</v>
      </c>
      <c r="C48" s="27" t="s">
        <v>136</v>
      </c>
      <c r="D48" s="28">
        <v>42226</v>
      </c>
      <c r="E48" s="27">
        <v>93456552</v>
      </c>
      <c r="F48" s="28">
        <v>42212</v>
      </c>
      <c r="G48" s="27"/>
      <c r="H48" s="27">
        <v>1201675</v>
      </c>
      <c r="I48" s="27" t="s">
        <v>165</v>
      </c>
      <c r="J48" s="27">
        <v>1201675</v>
      </c>
      <c r="K48" s="27" t="s">
        <v>165</v>
      </c>
      <c r="L48" s="27">
        <v>1172015</v>
      </c>
      <c r="M48" s="27" t="s">
        <v>165</v>
      </c>
      <c r="N48" s="27">
        <v>75490</v>
      </c>
      <c r="O48" s="27"/>
      <c r="P48" s="27"/>
      <c r="Q48" s="27" t="s">
        <v>181</v>
      </c>
      <c r="R48" s="27" t="s">
        <v>102</v>
      </c>
      <c r="S48" s="27" t="s">
        <v>103</v>
      </c>
      <c r="T48" s="27">
        <v>859.36</v>
      </c>
      <c r="U48" s="27" t="s">
        <v>182</v>
      </c>
      <c r="V48" s="27" t="s">
        <v>63</v>
      </c>
      <c r="W48" s="27" t="s">
        <v>70</v>
      </c>
      <c r="X48" s="27" t="s">
        <v>76</v>
      </c>
      <c r="Y48" s="28">
        <v>42227</v>
      </c>
      <c r="Z48" s="27" t="s">
        <v>64</v>
      </c>
      <c r="AA48" s="28">
        <v>42226</v>
      </c>
      <c r="AB48" s="27"/>
      <c r="AC48" s="27"/>
      <c r="AD48" s="27"/>
      <c r="AE48" s="27" t="s">
        <v>183</v>
      </c>
      <c r="AF48" s="27">
        <v>636808549314</v>
      </c>
      <c r="AG48" s="27" t="s">
        <v>77</v>
      </c>
      <c r="AH48" s="27" t="s">
        <v>265</v>
      </c>
    </row>
    <row r="49" spans="1:34" x14ac:dyDescent="0.2">
      <c r="A49" s="27">
        <v>10018821</v>
      </c>
      <c r="B49" s="27" t="s">
        <v>18</v>
      </c>
      <c r="C49" s="27" t="s">
        <v>78</v>
      </c>
      <c r="D49" s="28">
        <v>42226</v>
      </c>
      <c r="E49" s="27">
        <v>93467472</v>
      </c>
      <c r="F49" s="28">
        <v>42220</v>
      </c>
      <c r="G49" s="27"/>
      <c r="H49" s="27">
        <v>1201120</v>
      </c>
      <c r="I49" s="27" t="s">
        <v>117</v>
      </c>
      <c r="J49" s="27">
        <v>1307782</v>
      </c>
      <c r="K49" s="27" t="s">
        <v>119</v>
      </c>
      <c r="L49" s="27">
        <v>1171090</v>
      </c>
      <c r="M49" s="27" t="s">
        <v>118</v>
      </c>
      <c r="N49" s="27" t="s">
        <v>266</v>
      </c>
      <c r="O49" s="27"/>
      <c r="P49" s="27"/>
      <c r="Q49" s="27" t="s">
        <v>181</v>
      </c>
      <c r="R49" s="27" t="s">
        <v>102</v>
      </c>
      <c r="S49" s="27" t="s">
        <v>103</v>
      </c>
      <c r="T49" s="27">
        <v>25427.25</v>
      </c>
      <c r="U49" s="27" t="s">
        <v>182</v>
      </c>
      <c r="V49" s="27" t="s">
        <v>63</v>
      </c>
      <c r="W49" s="27" t="s">
        <v>70</v>
      </c>
      <c r="X49" s="27" t="s">
        <v>76</v>
      </c>
      <c r="Y49" s="28">
        <v>42227</v>
      </c>
      <c r="Z49" s="27" t="s">
        <v>83</v>
      </c>
      <c r="AA49" s="28">
        <v>42229</v>
      </c>
      <c r="AB49" s="27"/>
      <c r="AC49" s="27"/>
      <c r="AD49" s="27"/>
      <c r="AE49" s="27" t="s">
        <v>183</v>
      </c>
      <c r="AF49" s="27" t="s">
        <v>267</v>
      </c>
      <c r="AG49" s="27" t="s">
        <v>77</v>
      </c>
      <c r="AH49" s="27" t="s">
        <v>268</v>
      </c>
    </row>
    <row r="50" spans="1:34" x14ac:dyDescent="0.2">
      <c r="A50" s="27">
        <v>10018822</v>
      </c>
      <c r="B50" s="27" t="s">
        <v>22</v>
      </c>
      <c r="C50" s="27" t="s">
        <v>197</v>
      </c>
      <c r="D50" s="28">
        <v>42226</v>
      </c>
      <c r="E50" s="27">
        <v>93462479</v>
      </c>
      <c r="F50" s="28">
        <v>42215</v>
      </c>
      <c r="G50" s="27"/>
      <c r="H50" s="27">
        <v>1201550</v>
      </c>
      <c r="I50" s="27" t="s">
        <v>153</v>
      </c>
      <c r="J50" s="27">
        <v>1324095</v>
      </c>
      <c r="K50" s="27" t="s">
        <v>269</v>
      </c>
      <c r="L50" s="27">
        <v>1201550</v>
      </c>
      <c r="M50" s="27" t="s">
        <v>153</v>
      </c>
      <c r="N50" s="27">
        <v>50014530</v>
      </c>
      <c r="O50" s="27"/>
      <c r="P50" s="27"/>
      <c r="Q50" s="27" t="s">
        <v>181</v>
      </c>
      <c r="R50" s="27" t="s">
        <v>97</v>
      </c>
      <c r="S50" s="27" t="s">
        <v>98</v>
      </c>
      <c r="T50" s="27">
        <v>72.67</v>
      </c>
      <c r="U50" s="27" t="s">
        <v>182</v>
      </c>
      <c r="V50" s="27" t="s">
        <v>63</v>
      </c>
      <c r="W50" s="27" t="s">
        <v>94</v>
      </c>
      <c r="X50" s="27" t="s">
        <v>141</v>
      </c>
      <c r="Y50" s="28">
        <v>42229</v>
      </c>
      <c r="Z50" s="27" t="s">
        <v>64</v>
      </c>
      <c r="AA50" s="28">
        <v>42226</v>
      </c>
      <c r="AB50" s="27"/>
      <c r="AC50" s="27"/>
      <c r="AD50" s="27"/>
      <c r="AE50" s="27" t="s">
        <v>183</v>
      </c>
      <c r="AF50" s="27" t="s">
        <v>270</v>
      </c>
      <c r="AG50" s="27" t="s">
        <v>142</v>
      </c>
      <c r="AH50" s="27" t="s">
        <v>271</v>
      </c>
    </row>
    <row r="51" spans="1:34" x14ac:dyDescent="0.2">
      <c r="A51" s="27">
        <v>10018823</v>
      </c>
      <c r="B51" s="27" t="s">
        <v>26</v>
      </c>
      <c r="C51" s="27" t="s">
        <v>78</v>
      </c>
      <c r="D51" s="28">
        <v>42226</v>
      </c>
      <c r="E51" s="27">
        <v>93466033</v>
      </c>
      <c r="F51" s="28">
        <v>42219</v>
      </c>
      <c r="G51" s="27"/>
      <c r="H51" s="27">
        <v>1201120</v>
      </c>
      <c r="I51" s="27" t="s">
        <v>117</v>
      </c>
      <c r="J51" s="27">
        <v>1307782</v>
      </c>
      <c r="K51" s="27" t="s">
        <v>119</v>
      </c>
      <c r="L51" s="27">
        <v>1171090</v>
      </c>
      <c r="M51" s="27" t="s">
        <v>118</v>
      </c>
      <c r="N51" s="27" t="s">
        <v>272</v>
      </c>
      <c r="O51" s="27"/>
      <c r="P51" s="27"/>
      <c r="Q51" s="27" t="s">
        <v>181</v>
      </c>
      <c r="R51" s="27" t="s">
        <v>121</v>
      </c>
      <c r="S51" s="27" t="s">
        <v>122</v>
      </c>
      <c r="T51" s="27">
        <v>1800</v>
      </c>
      <c r="U51" s="27" t="s">
        <v>182</v>
      </c>
      <c r="V51" s="27" t="s">
        <v>69</v>
      </c>
      <c r="W51" s="27" t="s">
        <v>94</v>
      </c>
      <c r="X51" s="27" t="s">
        <v>95</v>
      </c>
      <c r="Y51" s="28">
        <v>42233</v>
      </c>
      <c r="Z51" s="27" t="s">
        <v>83</v>
      </c>
      <c r="AA51" s="28">
        <v>42233</v>
      </c>
      <c r="AB51" s="27" t="s">
        <v>100</v>
      </c>
      <c r="AC51" s="27">
        <v>61970051</v>
      </c>
      <c r="AD51" s="28">
        <v>42244</v>
      </c>
      <c r="AE51" s="27" t="s">
        <v>183</v>
      </c>
      <c r="AF51" s="27">
        <v>-3663150</v>
      </c>
      <c r="AG51" s="27" t="s">
        <v>96</v>
      </c>
      <c r="AH51" s="27" t="s">
        <v>273</v>
      </c>
    </row>
    <row r="52" spans="1:34" x14ac:dyDescent="0.2">
      <c r="A52" s="27">
        <v>10018826</v>
      </c>
      <c r="B52" s="27" t="s">
        <v>26</v>
      </c>
      <c r="C52" s="27" t="s">
        <v>78</v>
      </c>
      <c r="D52" s="28">
        <v>42226</v>
      </c>
      <c r="E52" s="27">
        <v>93466042</v>
      </c>
      <c r="F52" s="28">
        <v>42219</v>
      </c>
      <c r="G52" s="27"/>
      <c r="H52" s="27">
        <v>1201120</v>
      </c>
      <c r="I52" s="27" t="s">
        <v>117</v>
      </c>
      <c r="J52" s="27">
        <v>1307782</v>
      </c>
      <c r="K52" s="27" t="s">
        <v>119</v>
      </c>
      <c r="L52" s="27">
        <v>1171090</v>
      </c>
      <c r="M52" s="27" t="s">
        <v>118</v>
      </c>
      <c r="N52" s="27" t="s">
        <v>206</v>
      </c>
      <c r="O52" s="27"/>
      <c r="P52" s="27"/>
      <c r="Q52" s="27" t="s">
        <v>181</v>
      </c>
      <c r="R52" s="27" t="s">
        <v>121</v>
      </c>
      <c r="S52" s="27" t="s">
        <v>122</v>
      </c>
      <c r="T52" s="27">
        <v>337.5</v>
      </c>
      <c r="U52" s="27" t="s">
        <v>182</v>
      </c>
      <c r="V52" s="27" t="s">
        <v>63</v>
      </c>
      <c r="W52" s="27" t="s">
        <v>81</v>
      </c>
      <c r="X52" s="27" t="s">
        <v>88</v>
      </c>
      <c r="Y52" s="28">
        <v>42247</v>
      </c>
      <c r="Z52" s="27" t="s">
        <v>64</v>
      </c>
      <c r="AA52" s="28">
        <v>42226</v>
      </c>
      <c r="AB52" s="27"/>
      <c r="AC52" s="27"/>
      <c r="AD52" s="27"/>
      <c r="AE52" s="27" t="s">
        <v>183</v>
      </c>
      <c r="AF52" s="27">
        <v>-3663150</v>
      </c>
      <c r="AG52" s="27" t="s">
        <v>89</v>
      </c>
      <c r="AH52" s="27" t="s">
        <v>274</v>
      </c>
    </row>
    <row r="53" spans="1:34" x14ac:dyDescent="0.2">
      <c r="A53" s="27">
        <v>10018827</v>
      </c>
      <c r="B53" s="27" t="s">
        <v>18</v>
      </c>
      <c r="C53" s="27" t="s">
        <v>136</v>
      </c>
      <c r="D53" s="28">
        <v>42226</v>
      </c>
      <c r="E53" s="27">
        <v>93463628</v>
      </c>
      <c r="F53" s="28">
        <v>42216</v>
      </c>
      <c r="G53" s="28">
        <v>42220</v>
      </c>
      <c r="H53" s="27">
        <v>1022013</v>
      </c>
      <c r="I53" s="27" t="s">
        <v>114</v>
      </c>
      <c r="J53" s="27">
        <v>1022013</v>
      </c>
      <c r="K53" s="27" t="s">
        <v>114</v>
      </c>
      <c r="L53" s="27">
        <v>1022013</v>
      </c>
      <c r="M53" s="27" t="s">
        <v>114</v>
      </c>
      <c r="N53" s="27">
        <v>74207</v>
      </c>
      <c r="O53" s="27"/>
      <c r="P53" s="27"/>
      <c r="Q53" s="27" t="s">
        <v>181</v>
      </c>
      <c r="R53" s="27" t="s">
        <v>67</v>
      </c>
      <c r="S53" s="27" t="s">
        <v>68</v>
      </c>
      <c r="T53" s="27">
        <v>10.55</v>
      </c>
      <c r="U53" s="27" t="s">
        <v>182</v>
      </c>
      <c r="V53" s="27" t="s">
        <v>63</v>
      </c>
      <c r="W53" s="27" t="s">
        <v>70</v>
      </c>
      <c r="X53" s="27" t="s">
        <v>76</v>
      </c>
      <c r="Y53" s="28">
        <v>42227</v>
      </c>
      <c r="Z53" s="27" t="s">
        <v>64</v>
      </c>
      <c r="AA53" s="28">
        <v>42226</v>
      </c>
      <c r="AB53" s="27"/>
      <c r="AC53" s="27"/>
      <c r="AD53" s="27"/>
      <c r="AE53" s="27" t="s">
        <v>183</v>
      </c>
      <c r="AF53" s="27">
        <v>3511782341</v>
      </c>
      <c r="AG53" s="27" t="s">
        <v>77</v>
      </c>
      <c r="AH53" s="27" t="s">
        <v>275</v>
      </c>
    </row>
    <row r="54" spans="1:34" x14ac:dyDescent="0.2">
      <c r="A54" s="27">
        <v>10018829</v>
      </c>
      <c r="B54" s="27" t="s">
        <v>26</v>
      </c>
      <c r="C54" s="27" t="s">
        <v>149</v>
      </c>
      <c r="D54" s="28">
        <v>42226</v>
      </c>
      <c r="E54" s="27">
        <v>93463767</v>
      </c>
      <c r="F54" s="28">
        <v>42216</v>
      </c>
      <c r="G54" s="27"/>
      <c r="H54" s="27">
        <v>1201047</v>
      </c>
      <c r="I54" s="27" t="s">
        <v>79</v>
      </c>
      <c r="J54" s="27">
        <v>1051549</v>
      </c>
      <c r="K54" s="27" t="s">
        <v>85</v>
      </c>
      <c r="L54" s="27">
        <v>1171089</v>
      </c>
      <c r="M54" s="27" t="s">
        <v>75</v>
      </c>
      <c r="N54" s="27">
        <v>12903136</v>
      </c>
      <c r="O54" s="27"/>
      <c r="P54" s="27"/>
      <c r="Q54" s="27" t="s">
        <v>181</v>
      </c>
      <c r="R54" s="27" t="s">
        <v>91</v>
      </c>
      <c r="S54" s="27" t="s">
        <v>92</v>
      </c>
      <c r="T54" s="27">
        <v>189.6</v>
      </c>
      <c r="U54" s="27" t="s">
        <v>182</v>
      </c>
      <c r="V54" s="27" t="s">
        <v>69</v>
      </c>
      <c r="W54" s="27" t="s">
        <v>94</v>
      </c>
      <c r="X54" s="27" t="s">
        <v>95</v>
      </c>
      <c r="Y54" s="28">
        <v>42227</v>
      </c>
      <c r="Z54" s="27" t="s">
        <v>64</v>
      </c>
      <c r="AA54" s="28">
        <v>42226</v>
      </c>
      <c r="AB54" s="27" t="s">
        <v>100</v>
      </c>
      <c r="AC54" s="27">
        <v>61970032</v>
      </c>
      <c r="AD54" s="28">
        <v>42244</v>
      </c>
      <c r="AE54" s="27" t="s">
        <v>183</v>
      </c>
      <c r="AF54" s="27" t="s">
        <v>276</v>
      </c>
      <c r="AG54" s="27" t="s">
        <v>96</v>
      </c>
      <c r="AH54" s="27" t="s">
        <v>277</v>
      </c>
    </row>
    <row r="55" spans="1:34" x14ac:dyDescent="0.2">
      <c r="A55" s="27">
        <v>10018830</v>
      </c>
      <c r="B55" s="27" t="s">
        <v>26</v>
      </c>
      <c r="C55" s="27" t="s">
        <v>149</v>
      </c>
      <c r="D55" s="28">
        <v>42226</v>
      </c>
      <c r="E55" s="27">
        <v>93463726</v>
      </c>
      <c r="F55" s="28">
        <v>42216</v>
      </c>
      <c r="G55" s="27"/>
      <c r="H55" s="27">
        <v>1201047</v>
      </c>
      <c r="I55" s="27" t="s">
        <v>79</v>
      </c>
      <c r="J55" s="27">
        <v>1051549</v>
      </c>
      <c r="K55" s="27" t="s">
        <v>85</v>
      </c>
      <c r="L55" s="27">
        <v>1171089</v>
      </c>
      <c r="M55" s="27" t="s">
        <v>75</v>
      </c>
      <c r="N55" s="27">
        <v>12903136</v>
      </c>
      <c r="O55" s="27"/>
      <c r="P55" s="27"/>
      <c r="Q55" s="27" t="s">
        <v>181</v>
      </c>
      <c r="R55" s="27" t="s">
        <v>91</v>
      </c>
      <c r="S55" s="27" t="s">
        <v>92</v>
      </c>
      <c r="T55" s="27">
        <v>3498.24</v>
      </c>
      <c r="U55" s="27" t="s">
        <v>182</v>
      </c>
      <c r="V55" s="27" t="s">
        <v>69</v>
      </c>
      <c r="W55" s="27" t="s">
        <v>94</v>
      </c>
      <c r="X55" s="27" t="s">
        <v>95</v>
      </c>
      <c r="Y55" s="28">
        <v>42227</v>
      </c>
      <c r="Z55" s="27" t="s">
        <v>83</v>
      </c>
      <c r="AA55" s="28">
        <v>42229</v>
      </c>
      <c r="AB55" s="27" t="s">
        <v>100</v>
      </c>
      <c r="AC55" s="27">
        <v>61970033</v>
      </c>
      <c r="AD55" s="28">
        <v>42244</v>
      </c>
      <c r="AE55" s="27" t="s">
        <v>183</v>
      </c>
      <c r="AF55" s="27" t="s">
        <v>276</v>
      </c>
      <c r="AG55" s="27" t="s">
        <v>96</v>
      </c>
      <c r="AH55" s="27" t="s">
        <v>278</v>
      </c>
    </row>
    <row r="56" spans="1:34" x14ac:dyDescent="0.2">
      <c r="A56" s="27">
        <v>10018833</v>
      </c>
      <c r="B56" s="27" t="s">
        <v>23</v>
      </c>
      <c r="C56" s="27" t="s">
        <v>78</v>
      </c>
      <c r="D56" s="28">
        <v>42226</v>
      </c>
      <c r="E56" s="27">
        <v>93437362</v>
      </c>
      <c r="F56" s="28">
        <v>42196</v>
      </c>
      <c r="G56" s="27"/>
      <c r="H56" s="27">
        <v>1322515</v>
      </c>
      <c r="I56" s="27" t="s">
        <v>139</v>
      </c>
      <c r="J56" s="27">
        <v>1322536</v>
      </c>
      <c r="K56" s="27" t="s">
        <v>140</v>
      </c>
      <c r="L56" s="27">
        <v>1322515</v>
      </c>
      <c r="M56" s="27" t="s">
        <v>139</v>
      </c>
      <c r="N56" s="27">
        <v>234963</v>
      </c>
      <c r="O56" s="27"/>
      <c r="P56" s="27"/>
      <c r="Q56" s="27" t="s">
        <v>181</v>
      </c>
      <c r="R56" s="27" t="s">
        <v>279</v>
      </c>
      <c r="S56" s="27" t="s">
        <v>280</v>
      </c>
      <c r="T56" s="27">
        <v>33.799999999999997</v>
      </c>
      <c r="U56" s="27" t="s">
        <v>182</v>
      </c>
      <c r="V56" s="27" t="s">
        <v>69</v>
      </c>
      <c r="W56" s="27" t="s">
        <v>105</v>
      </c>
      <c r="X56" s="27" t="s">
        <v>82</v>
      </c>
      <c r="Y56" s="28">
        <v>42227</v>
      </c>
      <c r="Z56" s="27" t="s">
        <v>64</v>
      </c>
      <c r="AA56" s="28">
        <v>42226</v>
      </c>
      <c r="AB56" s="27" t="s">
        <v>100</v>
      </c>
      <c r="AC56" s="27">
        <v>61955790</v>
      </c>
      <c r="AD56" s="28">
        <v>42229</v>
      </c>
      <c r="AE56" s="27" t="s">
        <v>183</v>
      </c>
      <c r="AF56" s="27" t="s">
        <v>281</v>
      </c>
      <c r="AG56" s="27" t="s">
        <v>106</v>
      </c>
      <c r="AH56" s="27" t="s">
        <v>282</v>
      </c>
    </row>
    <row r="57" spans="1:34" x14ac:dyDescent="0.2">
      <c r="A57" s="27">
        <v>10018835</v>
      </c>
      <c r="B57" s="27" t="s">
        <v>18</v>
      </c>
      <c r="C57" s="27" t="s">
        <v>252</v>
      </c>
      <c r="D57" s="28">
        <v>42226</v>
      </c>
      <c r="E57" s="27">
        <v>93459715</v>
      </c>
      <c r="F57" s="28">
        <v>42214</v>
      </c>
      <c r="G57" s="28">
        <v>42221</v>
      </c>
      <c r="H57" s="27">
        <v>1201156</v>
      </c>
      <c r="I57" s="27" t="s">
        <v>131</v>
      </c>
      <c r="J57" s="27">
        <v>1319569</v>
      </c>
      <c r="K57" s="27" t="s">
        <v>132</v>
      </c>
      <c r="L57" s="27">
        <v>1201156</v>
      </c>
      <c r="M57" s="27" t="s">
        <v>131</v>
      </c>
      <c r="N57" s="27">
        <v>8305074</v>
      </c>
      <c r="O57" s="27"/>
      <c r="P57" s="27"/>
      <c r="Q57" s="27" t="s">
        <v>181</v>
      </c>
      <c r="R57" s="27" t="s">
        <v>61</v>
      </c>
      <c r="S57" s="27" t="s">
        <v>62</v>
      </c>
      <c r="T57" s="27">
        <v>720</v>
      </c>
      <c r="U57" s="27" t="s">
        <v>182</v>
      </c>
      <c r="V57" s="27" t="s">
        <v>69</v>
      </c>
      <c r="W57" s="27" t="s">
        <v>70</v>
      </c>
      <c r="X57" s="27" t="s">
        <v>71</v>
      </c>
      <c r="Y57" s="28">
        <v>42236</v>
      </c>
      <c r="Z57" s="27" t="s">
        <v>64</v>
      </c>
      <c r="AA57" s="28">
        <v>42226</v>
      </c>
      <c r="AB57" s="27" t="s">
        <v>72</v>
      </c>
      <c r="AC57" s="27">
        <v>61961305</v>
      </c>
      <c r="AD57" s="28">
        <v>42236</v>
      </c>
      <c r="AE57" s="27" t="s">
        <v>183</v>
      </c>
      <c r="AF57" s="27">
        <v>327755227</v>
      </c>
      <c r="AG57" s="27" t="s">
        <v>73</v>
      </c>
      <c r="AH57" s="27" t="s">
        <v>283</v>
      </c>
    </row>
    <row r="58" spans="1:34" x14ac:dyDescent="0.2">
      <c r="A58" s="27">
        <v>10018836</v>
      </c>
      <c r="B58" s="27" t="s">
        <v>18</v>
      </c>
      <c r="C58" s="27" t="s">
        <v>78</v>
      </c>
      <c r="D58" s="28">
        <v>42226</v>
      </c>
      <c r="E58" s="27">
        <v>93464084</v>
      </c>
      <c r="F58" s="28">
        <v>42216</v>
      </c>
      <c r="G58" s="28">
        <v>42221</v>
      </c>
      <c r="H58" s="27">
        <v>1201646</v>
      </c>
      <c r="I58" s="27" t="s">
        <v>164</v>
      </c>
      <c r="J58" s="27">
        <v>1201646</v>
      </c>
      <c r="K58" s="27" t="s">
        <v>164</v>
      </c>
      <c r="L58" s="27">
        <v>1201646</v>
      </c>
      <c r="M58" s="27" t="s">
        <v>164</v>
      </c>
      <c r="N58" s="27">
        <v>8044330</v>
      </c>
      <c r="O58" s="27"/>
      <c r="P58" s="27"/>
      <c r="Q58" s="27" t="s">
        <v>181</v>
      </c>
      <c r="R58" s="27" t="s">
        <v>67</v>
      </c>
      <c r="S58" s="27" t="s">
        <v>68</v>
      </c>
      <c r="T58" s="27">
        <v>136.96</v>
      </c>
      <c r="U58" s="27" t="s">
        <v>182</v>
      </c>
      <c r="V58" s="27" t="s">
        <v>69</v>
      </c>
      <c r="W58" s="27" t="s">
        <v>70</v>
      </c>
      <c r="X58" s="27" t="s">
        <v>76</v>
      </c>
      <c r="Y58" s="28">
        <v>42229</v>
      </c>
      <c r="Z58" s="27" t="s">
        <v>83</v>
      </c>
      <c r="AA58" s="28">
        <v>42229</v>
      </c>
      <c r="AB58" s="27" t="s">
        <v>100</v>
      </c>
      <c r="AC58" s="27">
        <v>61978321</v>
      </c>
      <c r="AD58" s="28">
        <v>42257</v>
      </c>
      <c r="AE58" s="27" t="s">
        <v>183</v>
      </c>
      <c r="AF58" s="27">
        <v>3511782396</v>
      </c>
      <c r="AG58" s="27" t="s">
        <v>77</v>
      </c>
      <c r="AH58" s="27" t="s">
        <v>191</v>
      </c>
    </row>
    <row r="59" spans="1:34" x14ac:dyDescent="0.2">
      <c r="A59" s="27">
        <v>10018837</v>
      </c>
      <c r="B59" s="27" t="s">
        <v>26</v>
      </c>
      <c r="C59" s="27" t="s">
        <v>252</v>
      </c>
      <c r="D59" s="28">
        <v>42226</v>
      </c>
      <c r="E59" s="27">
        <v>93441746</v>
      </c>
      <c r="F59" s="28">
        <v>42200</v>
      </c>
      <c r="G59" s="27"/>
      <c r="H59" s="27">
        <v>1201315</v>
      </c>
      <c r="I59" s="27" t="s">
        <v>256</v>
      </c>
      <c r="J59" s="27">
        <v>1319381</v>
      </c>
      <c r="K59" s="27" t="s">
        <v>256</v>
      </c>
      <c r="L59" s="27">
        <v>1201315</v>
      </c>
      <c r="M59" s="27" t="s">
        <v>256</v>
      </c>
      <c r="N59" s="27">
        <v>5580660</v>
      </c>
      <c r="O59" s="27"/>
      <c r="P59" s="27"/>
      <c r="Q59" s="27" t="s">
        <v>181</v>
      </c>
      <c r="R59" s="27" t="s">
        <v>97</v>
      </c>
      <c r="S59" s="27" t="s">
        <v>98</v>
      </c>
      <c r="T59" s="27">
        <v>559</v>
      </c>
      <c r="U59" s="27" t="s">
        <v>182</v>
      </c>
      <c r="V59" s="27" t="s">
        <v>63</v>
      </c>
      <c r="W59" s="27" t="s">
        <v>81</v>
      </c>
      <c r="X59" s="27" t="s">
        <v>88</v>
      </c>
      <c r="Y59" s="28">
        <v>42247</v>
      </c>
      <c r="Z59" s="27" t="s">
        <v>64</v>
      </c>
      <c r="AA59" s="28">
        <v>42226</v>
      </c>
      <c r="AB59" s="27"/>
      <c r="AC59" s="27"/>
      <c r="AD59" s="27"/>
      <c r="AE59" s="27" t="s">
        <v>183</v>
      </c>
      <c r="AF59" s="27">
        <v>87944972277314</v>
      </c>
      <c r="AG59" s="27" t="s">
        <v>89</v>
      </c>
      <c r="AH59" s="27" t="s">
        <v>274</v>
      </c>
    </row>
    <row r="60" spans="1:34" x14ac:dyDescent="0.2">
      <c r="A60" s="27">
        <v>10018838</v>
      </c>
      <c r="B60" s="27" t="s">
        <v>26</v>
      </c>
      <c r="C60" s="27" t="s">
        <v>149</v>
      </c>
      <c r="D60" s="28">
        <v>42226</v>
      </c>
      <c r="E60" s="27">
        <v>93462177</v>
      </c>
      <c r="F60" s="28">
        <v>42215</v>
      </c>
      <c r="G60" s="28">
        <v>42216</v>
      </c>
      <c r="H60" s="27">
        <v>1201047</v>
      </c>
      <c r="I60" s="27" t="s">
        <v>79</v>
      </c>
      <c r="J60" s="27">
        <v>1307128</v>
      </c>
      <c r="K60" s="27" t="s">
        <v>85</v>
      </c>
      <c r="L60" s="27">
        <v>1171089</v>
      </c>
      <c r="M60" s="27" t="s">
        <v>75</v>
      </c>
      <c r="N60" s="27">
        <v>10480618</v>
      </c>
      <c r="O60" s="27"/>
      <c r="P60" s="27"/>
      <c r="Q60" s="27" t="s">
        <v>181</v>
      </c>
      <c r="R60" s="27" t="s">
        <v>91</v>
      </c>
      <c r="S60" s="27" t="s">
        <v>92</v>
      </c>
      <c r="T60" s="27">
        <v>1409.4</v>
      </c>
      <c r="U60" s="27" t="s">
        <v>182</v>
      </c>
      <c r="V60" s="27" t="s">
        <v>69</v>
      </c>
      <c r="W60" s="27" t="s">
        <v>94</v>
      </c>
      <c r="X60" s="27" t="s">
        <v>95</v>
      </c>
      <c r="Y60" s="28">
        <v>42240</v>
      </c>
      <c r="Z60" s="27" t="s">
        <v>83</v>
      </c>
      <c r="AA60" s="28">
        <v>42229</v>
      </c>
      <c r="AB60" s="27" t="s">
        <v>100</v>
      </c>
      <c r="AC60" s="27">
        <v>61980641</v>
      </c>
      <c r="AD60" s="28">
        <v>42261</v>
      </c>
      <c r="AE60" s="27" t="s">
        <v>183</v>
      </c>
      <c r="AF60" s="27" t="s">
        <v>284</v>
      </c>
      <c r="AG60" s="27" t="s">
        <v>96</v>
      </c>
      <c r="AH60" s="27" t="s">
        <v>285</v>
      </c>
    </row>
    <row r="61" spans="1:34" x14ac:dyDescent="0.2">
      <c r="A61" s="27">
        <v>10018839</v>
      </c>
      <c r="B61" s="27" t="s">
        <v>25</v>
      </c>
      <c r="C61" s="27" t="s">
        <v>78</v>
      </c>
      <c r="D61" s="28">
        <v>42226</v>
      </c>
      <c r="E61" s="27">
        <v>93438651</v>
      </c>
      <c r="F61" s="28">
        <v>42198</v>
      </c>
      <c r="G61" s="27"/>
      <c r="H61" s="27">
        <v>1201399</v>
      </c>
      <c r="I61" s="27" t="s">
        <v>144</v>
      </c>
      <c r="J61" s="27">
        <v>1334926</v>
      </c>
      <c r="K61" s="27" t="s">
        <v>145</v>
      </c>
      <c r="L61" s="27">
        <v>1171970</v>
      </c>
      <c r="M61" s="27" t="s">
        <v>144</v>
      </c>
      <c r="N61" s="27">
        <v>8106667912</v>
      </c>
      <c r="O61" s="27"/>
      <c r="P61" s="27"/>
      <c r="Q61" s="27" t="s">
        <v>181</v>
      </c>
      <c r="R61" s="27" t="s">
        <v>97</v>
      </c>
      <c r="S61" s="27" t="s">
        <v>98</v>
      </c>
      <c r="T61" s="27">
        <v>65710.080000000002</v>
      </c>
      <c r="U61" s="27" t="s">
        <v>182</v>
      </c>
      <c r="V61" s="27" t="s">
        <v>69</v>
      </c>
      <c r="W61" s="27" t="s">
        <v>107</v>
      </c>
      <c r="X61" s="27" t="s">
        <v>71</v>
      </c>
      <c r="Y61" s="28">
        <v>42236</v>
      </c>
      <c r="Z61" s="27" t="s">
        <v>64</v>
      </c>
      <c r="AA61" s="28">
        <v>42226</v>
      </c>
      <c r="AB61" s="27" t="s">
        <v>72</v>
      </c>
      <c r="AC61" s="27">
        <v>61961304</v>
      </c>
      <c r="AD61" s="28">
        <v>42236</v>
      </c>
      <c r="AE61" s="27" t="s">
        <v>183</v>
      </c>
      <c r="AF61" s="27" t="s">
        <v>286</v>
      </c>
      <c r="AG61" s="27" t="s">
        <v>107</v>
      </c>
      <c r="AH61" s="27" t="s">
        <v>287</v>
      </c>
    </row>
    <row r="62" spans="1:34" x14ac:dyDescent="0.2">
      <c r="A62" s="27">
        <v>10018840</v>
      </c>
      <c r="B62" s="27" t="s">
        <v>18</v>
      </c>
      <c r="C62" s="27" t="s">
        <v>136</v>
      </c>
      <c r="D62" s="28">
        <v>42226</v>
      </c>
      <c r="E62" s="27">
        <v>93467595</v>
      </c>
      <c r="F62" s="28">
        <v>42220</v>
      </c>
      <c r="G62" s="27"/>
      <c r="H62" s="27">
        <v>1201399</v>
      </c>
      <c r="I62" s="27" t="s">
        <v>144</v>
      </c>
      <c r="J62" s="27">
        <v>1334926</v>
      </c>
      <c r="K62" s="27" t="s">
        <v>145</v>
      </c>
      <c r="L62" s="27">
        <v>1171970</v>
      </c>
      <c r="M62" s="27" t="s">
        <v>144</v>
      </c>
      <c r="N62" s="27">
        <v>8106667920</v>
      </c>
      <c r="O62" s="27"/>
      <c r="P62" s="27"/>
      <c r="Q62" s="27" t="s">
        <v>181</v>
      </c>
      <c r="R62" s="27" t="s">
        <v>91</v>
      </c>
      <c r="S62" s="27" t="s">
        <v>92</v>
      </c>
      <c r="T62" s="27">
        <v>12096</v>
      </c>
      <c r="U62" s="27" t="s">
        <v>182</v>
      </c>
      <c r="V62" s="27" t="s">
        <v>69</v>
      </c>
      <c r="W62" s="27" t="s">
        <v>70</v>
      </c>
      <c r="X62" s="27" t="s">
        <v>76</v>
      </c>
      <c r="Y62" s="28">
        <v>42229</v>
      </c>
      <c r="Z62" s="27" t="s">
        <v>83</v>
      </c>
      <c r="AA62" s="28">
        <v>42229</v>
      </c>
      <c r="AB62" s="27" t="s">
        <v>100</v>
      </c>
      <c r="AC62" s="27">
        <v>61988281</v>
      </c>
      <c r="AD62" s="28">
        <v>42271</v>
      </c>
      <c r="AE62" s="27" t="s">
        <v>183</v>
      </c>
      <c r="AF62" s="27" t="s">
        <v>288</v>
      </c>
      <c r="AG62" s="27" t="s">
        <v>77</v>
      </c>
      <c r="AH62" s="27" t="s">
        <v>289</v>
      </c>
    </row>
    <row r="63" spans="1:34" x14ac:dyDescent="0.2">
      <c r="A63" s="27">
        <v>10018841</v>
      </c>
      <c r="B63" s="27" t="s">
        <v>26</v>
      </c>
      <c r="C63" s="27" t="s">
        <v>78</v>
      </c>
      <c r="D63" s="28">
        <v>42226</v>
      </c>
      <c r="E63" s="27">
        <v>93462224</v>
      </c>
      <c r="F63" s="28">
        <v>42215</v>
      </c>
      <c r="G63" s="27"/>
      <c r="H63" s="27">
        <v>1201047</v>
      </c>
      <c r="I63" s="27" t="s">
        <v>79</v>
      </c>
      <c r="J63" s="27">
        <v>1338648</v>
      </c>
      <c r="K63" s="27" t="s">
        <v>93</v>
      </c>
      <c r="L63" s="27">
        <v>1171089</v>
      </c>
      <c r="M63" s="27" t="s">
        <v>75</v>
      </c>
      <c r="N63" s="27">
        <v>63128508</v>
      </c>
      <c r="O63" s="27"/>
      <c r="P63" s="27"/>
      <c r="Q63" s="27" t="s">
        <v>181</v>
      </c>
      <c r="R63" s="27" t="s">
        <v>102</v>
      </c>
      <c r="S63" s="27" t="s">
        <v>103</v>
      </c>
      <c r="T63" s="27">
        <v>9758.8799999999992</v>
      </c>
      <c r="U63" s="27" t="s">
        <v>182</v>
      </c>
      <c r="V63" s="27" t="s">
        <v>63</v>
      </c>
      <c r="W63" s="27" t="s">
        <v>81</v>
      </c>
      <c r="X63" s="27" t="s">
        <v>88</v>
      </c>
      <c r="Y63" s="28">
        <v>42243</v>
      </c>
      <c r="Z63" s="27"/>
      <c r="AA63" s="27"/>
      <c r="AB63" s="27"/>
      <c r="AC63" s="27"/>
      <c r="AD63" s="27"/>
      <c r="AE63" s="27" t="s">
        <v>183</v>
      </c>
      <c r="AF63" s="27">
        <v>636808555114</v>
      </c>
      <c r="AG63" s="27" t="s">
        <v>89</v>
      </c>
      <c r="AH63" s="27" t="s">
        <v>290</v>
      </c>
    </row>
    <row r="64" spans="1:34" x14ac:dyDescent="0.2">
      <c r="A64" s="27">
        <v>10018842</v>
      </c>
      <c r="B64" s="27" t="s">
        <v>18</v>
      </c>
      <c r="C64" s="27" t="s">
        <v>78</v>
      </c>
      <c r="D64" s="28">
        <v>42226</v>
      </c>
      <c r="E64" s="27">
        <v>93444986</v>
      </c>
      <c r="F64" s="28">
        <v>42202</v>
      </c>
      <c r="G64" s="28">
        <v>42203</v>
      </c>
      <c r="H64" s="27">
        <v>1201120</v>
      </c>
      <c r="I64" s="27" t="s">
        <v>117</v>
      </c>
      <c r="J64" s="27">
        <v>1307782</v>
      </c>
      <c r="K64" s="27" t="s">
        <v>119</v>
      </c>
      <c r="L64" s="27">
        <v>1171090</v>
      </c>
      <c r="M64" s="27" t="s">
        <v>118</v>
      </c>
      <c r="N64" s="27" t="s">
        <v>291</v>
      </c>
      <c r="O64" s="27"/>
      <c r="P64" s="27"/>
      <c r="Q64" s="27" t="s">
        <v>181</v>
      </c>
      <c r="R64" s="27" t="s">
        <v>91</v>
      </c>
      <c r="S64" s="27" t="s">
        <v>92</v>
      </c>
      <c r="T64" s="27">
        <v>2776.58</v>
      </c>
      <c r="U64" s="27" t="s">
        <v>182</v>
      </c>
      <c r="V64" s="27" t="s">
        <v>63</v>
      </c>
      <c r="W64" s="27" t="s">
        <v>70</v>
      </c>
      <c r="X64" s="27" t="s">
        <v>76</v>
      </c>
      <c r="Y64" s="28">
        <v>42229</v>
      </c>
      <c r="Z64" s="27" t="s">
        <v>83</v>
      </c>
      <c r="AA64" s="28">
        <v>42229</v>
      </c>
      <c r="AB64" s="27"/>
      <c r="AC64" s="27"/>
      <c r="AD64" s="27"/>
      <c r="AE64" s="27" t="s">
        <v>183</v>
      </c>
      <c r="AF64" s="27" t="s">
        <v>292</v>
      </c>
      <c r="AG64" s="27" t="s">
        <v>77</v>
      </c>
      <c r="AH64" s="27" t="s">
        <v>211</v>
      </c>
    </row>
    <row r="65" spans="1:34" x14ac:dyDescent="0.2">
      <c r="A65" s="27">
        <v>10018843</v>
      </c>
      <c r="B65" s="27" t="s">
        <v>18</v>
      </c>
      <c r="C65" s="27" t="s">
        <v>78</v>
      </c>
      <c r="D65" s="28">
        <v>42226</v>
      </c>
      <c r="E65" s="27">
        <v>93466182</v>
      </c>
      <c r="F65" s="28">
        <v>42219</v>
      </c>
      <c r="G65" s="27"/>
      <c r="H65" s="27">
        <v>1201399</v>
      </c>
      <c r="I65" s="27" t="s">
        <v>144</v>
      </c>
      <c r="J65" s="27">
        <v>1336527</v>
      </c>
      <c r="K65" s="27" t="s">
        <v>293</v>
      </c>
      <c r="L65" s="27">
        <v>1171970</v>
      </c>
      <c r="M65" s="27" t="s">
        <v>144</v>
      </c>
      <c r="N65" s="27">
        <v>2100033853</v>
      </c>
      <c r="O65" s="27"/>
      <c r="P65" s="27"/>
      <c r="Q65" s="27" t="s">
        <v>181</v>
      </c>
      <c r="R65" s="27" t="s">
        <v>102</v>
      </c>
      <c r="S65" s="27" t="s">
        <v>103</v>
      </c>
      <c r="T65" s="27">
        <v>1820</v>
      </c>
      <c r="U65" s="27" t="s">
        <v>182</v>
      </c>
      <c r="V65" s="27" t="s">
        <v>63</v>
      </c>
      <c r="W65" s="27" t="s">
        <v>70</v>
      </c>
      <c r="X65" s="27" t="s">
        <v>76</v>
      </c>
      <c r="Y65" s="28">
        <v>42229</v>
      </c>
      <c r="Z65" s="27" t="s">
        <v>83</v>
      </c>
      <c r="AA65" s="28">
        <v>42229</v>
      </c>
      <c r="AB65" s="27"/>
      <c r="AC65" s="27"/>
      <c r="AD65" s="27"/>
      <c r="AE65" s="27" t="s">
        <v>183</v>
      </c>
      <c r="AF65" s="27">
        <v>636808559120</v>
      </c>
      <c r="AG65" s="27" t="s">
        <v>77</v>
      </c>
      <c r="AH65" s="27" t="s">
        <v>294</v>
      </c>
    </row>
    <row r="66" spans="1:34" x14ac:dyDescent="0.2">
      <c r="A66" s="27">
        <v>10018844</v>
      </c>
      <c r="B66" s="27" t="s">
        <v>26</v>
      </c>
      <c r="C66" s="27" t="s">
        <v>197</v>
      </c>
      <c r="D66" s="28">
        <v>42226</v>
      </c>
      <c r="E66" s="27">
        <v>93473288</v>
      </c>
      <c r="F66" s="28">
        <v>42223</v>
      </c>
      <c r="G66" s="28">
        <v>42226</v>
      </c>
      <c r="H66" s="27">
        <v>1201643</v>
      </c>
      <c r="I66" s="27" t="s">
        <v>162</v>
      </c>
      <c r="J66" s="27">
        <v>1329411</v>
      </c>
      <c r="K66" s="27" t="s">
        <v>163</v>
      </c>
      <c r="L66" s="27">
        <v>1201643</v>
      </c>
      <c r="M66" s="27" t="s">
        <v>162</v>
      </c>
      <c r="N66" s="27">
        <v>23365</v>
      </c>
      <c r="O66" s="27"/>
      <c r="P66" s="27"/>
      <c r="Q66" s="27" t="s">
        <v>181</v>
      </c>
      <c r="R66" s="27" t="s">
        <v>67</v>
      </c>
      <c r="S66" s="27" t="s">
        <v>68</v>
      </c>
      <c r="T66" s="27">
        <v>22897.8</v>
      </c>
      <c r="U66" s="27" t="s">
        <v>182</v>
      </c>
      <c r="V66" s="27" t="s">
        <v>69</v>
      </c>
      <c r="W66" s="27" t="s">
        <v>94</v>
      </c>
      <c r="X66" s="27" t="s">
        <v>71</v>
      </c>
      <c r="Y66" s="28">
        <v>42229</v>
      </c>
      <c r="Z66" s="27" t="s">
        <v>83</v>
      </c>
      <c r="AA66" s="28">
        <v>42229</v>
      </c>
      <c r="AB66" s="27" t="s">
        <v>72</v>
      </c>
      <c r="AC66" s="27">
        <v>61968395</v>
      </c>
      <c r="AD66" s="28">
        <v>42243</v>
      </c>
      <c r="AE66" s="27" t="s">
        <v>183</v>
      </c>
      <c r="AF66" s="27">
        <v>3511785270</v>
      </c>
      <c r="AG66" s="27" t="s">
        <v>96</v>
      </c>
      <c r="AH66" s="27" t="s">
        <v>295</v>
      </c>
    </row>
    <row r="67" spans="1:34" x14ac:dyDescent="0.2">
      <c r="A67" s="27">
        <v>10018845</v>
      </c>
      <c r="B67" s="27" t="s">
        <v>26</v>
      </c>
      <c r="C67" s="27" t="s">
        <v>78</v>
      </c>
      <c r="D67" s="28">
        <v>42226</v>
      </c>
      <c r="E67" s="27">
        <v>93467284</v>
      </c>
      <c r="F67" s="28">
        <v>42220</v>
      </c>
      <c r="G67" s="27"/>
      <c r="H67" s="27">
        <v>1201047</v>
      </c>
      <c r="I67" s="27" t="s">
        <v>79</v>
      </c>
      <c r="J67" s="27">
        <v>1019056</v>
      </c>
      <c r="K67" s="27" t="s">
        <v>80</v>
      </c>
      <c r="L67" s="27">
        <v>1171089</v>
      </c>
      <c r="M67" s="27" t="s">
        <v>75</v>
      </c>
      <c r="N67" s="27">
        <v>41389366</v>
      </c>
      <c r="O67" s="27"/>
      <c r="P67" s="27"/>
      <c r="Q67" s="27" t="s">
        <v>181</v>
      </c>
      <c r="R67" s="27" t="s">
        <v>86</v>
      </c>
      <c r="S67" s="27" t="s">
        <v>87</v>
      </c>
      <c r="T67" s="27">
        <v>273</v>
      </c>
      <c r="U67" s="27" t="s">
        <v>182</v>
      </c>
      <c r="V67" s="27" t="s">
        <v>69</v>
      </c>
      <c r="W67" s="27" t="s">
        <v>94</v>
      </c>
      <c r="X67" s="27" t="s">
        <v>95</v>
      </c>
      <c r="Y67" s="28">
        <v>42235</v>
      </c>
      <c r="Z67" s="27" t="s">
        <v>64</v>
      </c>
      <c r="AA67" s="28">
        <v>42226</v>
      </c>
      <c r="AB67" s="27" t="s">
        <v>100</v>
      </c>
      <c r="AC67" s="27">
        <v>61970034</v>
      </c>
      <c r="AD67" s="28">
        <v>42244</v>
      </c>
      <c r="AE67" s="27" t="s">
        <v>183</v>
      </c>
      <c r="AF67" s="27" t="s">
        <v>296</v>
      </c>
      <c r="AG67" s="27" t="s">
        <v>96</v>
      </c>
      <c r="AH67" s="27" t="s">
        <v>297</v>
      </c>
    </row>
    <row r="68" spans="1:34" x14ac:dyDescent="0.2">
      <c r="A68" s="27">
        <v>10018846</v>
      </c>
      <c r="B68" s="27" t="s">
        <v>18</v>
      </c>
      <c r="C68" s="27" t="s">
        <v>78</v>
      </c>
      <c r="D68" s="28">
        <v>42226</v>
      </c>
      <c r="E68" s="27">
        <v>93463726</v>
      </c>
      <c r="F68" s="28">
        <v>42216</v>
      </c>
      <c r="G68" s="27"/>
      <c r="H68" s="27">
        <v>1201047</v>
      </c>
      <c r="I68" s="27" t="s">
        <v>79</v>
      </c>
      <c r="J68" s="27">
        <v>1051549</v>
      </c>
      <c r="K68" s="27" t="s">
        <v>85</v>
      </c>
      <c r="L68" s="27">
        <v>1171089</v>
      </c>
      <c r="M68" s="27" t="s">
        <v>75</v>
      </c>
      <c r="N68" s="27">
        <v>12903136</v>
      </c>
      <c r="O68" s="27"/>
      <c r="P68" s="27"/>
      <c r="Q68" s="27" t="s">
        <v>181</v>
      </c>
      <c r="R68" s="27" t="s">
        <v>91</v>
      </c>
      <c r="S68" s="27" t="s">
        <v>92</v>
      </c>
      <c r="T68" s="27">
        <v>3300</v>
      </c>
      <c r="U68" s="27" t="s">
        <v>182</v>
      </c>
      <c r="V68" s="27" t="s">
        <v>69</v>
      </c>
      <c r="W68" s="27" t="s">
        <v>70</v>
      </c>
      <c r="X68" s="27" t="s">
        <v>76</v>
      </c>
      <c r="Y68" s="28">
        <v>42229</v>
      </c>
      <c r="Z68" s="27" t="s">
        <v>83</v>
      </c>
      <c r="AA68" s="28">
        <v>42229</v>
      </c>
      <c r="AB68" s="27" t="s">
        <v>100</v>
      </c>
      <c r="AC68" s="27">
        <v>61980664</v>
      </c>
      <c r="AD68" s="28">
        <v>42261</v>
      </c>
      <c r="AE68" s="27" t="s">
        <v>183</v>
      </c>
      <c r="AF68" s="27" t="s">
        <v>276</v>
      </c>
      <c r="AG68" s="27" t="s">
        <v>77</v>
      </c>
      <c r="AH68" s="27" t="s">
        <v>298</v>
      </c>
    </row>
    <row r="69" spans="1:34" x14ac:dyDescent="0.2">
      <c r="A69" s="27">
        <v>10018847</v>
      </c>
      <c r="B69" s="27" t="s">
        <v>18</v>
      </c>
      <c r="C69" s="27" t="s">
        <v>78</v>
      </c>
      <c r="D69" s="28">
        <v>42226</v>
      </c>
      <c r="E69" s="27">
        <v>93463756</v>
      </c>
      <c r="F69" s="28">
        <v>42216</v>
      </c>
      <c r="G69" s="27"/>
      <c r="H69" s="27">
        <v>1201047</v>
      </c>
      <c r="I69" s="27" t="s">
        <v>79</v>
      </c>
      <c r="J69" s="27">
        <v>1051549</v>
      </c>
      <c r="K69" s="27" t="s">
        <v>85</v>
      </c>
      <c r="L69" s="27">
        <v>1171089</v>
      </c>
      <c r="M69" s="27" t="s">
        <v>75</v>
      </c>
      <c r="N69" s="27">
        <v>12903219</v>
      </c>
      <c r="O69" s="27"/>
      <c r="P69" s="27"/>
      <c r="Q69" s="27" t="s">
        <v>181</v>
      </c>
      <c r="R69" s="27" t="s">
        <v>91</v>
      </c>
      <c r="S69" s="27" t="s">
        <v>92</v>
      </c>
      <c r="T69" s="27">
        <v>99.06</v>
      </c>
      <c r="U69" s="27" t="s">
        <v>182</v>
      </c>
      <c r="V69" s="27" t="s">
        <v>69</v>
      </c>
      <c r="W69" s="27" t="s">
        <v>70</v>
      </c>
      <c r="X69" s="27" t="s">
        <v>76</v>
      </c>
      <c r="Y69" s="28">
        <v>42229</v>
      </c>
      <c r="Z69" s="27" t="s">
        <v>64</v>
      </c>
      <c r="AA69" s="28">
        <v>42226</v>
      </c>
      <c r="AB69" s="27" t="s">
        <v>100</v>
      </c>
      <c r="AC69" s="27">
        <v>61980663</v>
      </c>
      <c r="AD69" s="28">
        <v>42261</v>
      </c>
      <c r="AE69" s="27" t="s">
        <v>183</v>
      </c>
      <c r="AF69" s="27" t="s">
        <v>276</v>
      </c>
      <c r="AG69" s="27" t="s">
        <v>77</v>
      </c>
      <c r="AH69" s="27" t="s">
        <v>228</v>
      </c>
    </row>
    <row r="70" spans="1:34" x14ac:dyDescent="0.2">
      <c r="A70" s="27">
        <v>10018848</v>
      </c>
      <c r="B70" s="27" t="s">
        <v>26</v>
      </c>
      <c r="C70" s="27" t="s">
        <v>78</v>
      </c>
      <c r="D70" s="28">
        <v>42226</v>
      </c>
      <c r="E70" s="27">
        <v>93471213</v>
      </c>
      <c r="F70" s="28">
        <v>42222</v>
      </c>
      <c r="G70" s="27"/>
      <c r="H70" s="27">
        <v>1201047</v>
      </c>
      <c r="I70" s="27" t="s">
        <v>79</v>
      </c>
      <c r="J70" s="27">
        <v>1307128</v>
      </c>
      <c r="K70" s="27" t="s">
        <v>85</v>
      </c>
      <c r="L70" s="27">
        <v>1171089</v>
      </c>
      <c r="M70" s="27" t="s">
        <v>75</v>
      </c>
      <c r="N70" s="27">
        <v>10481482</v>
      </c>
      <c r="O70" s="27"/>
      <c r="P70" s="27"/>
      <c r="Q70" s="27" t="s">
        <v>181</v>
      </c>
      <c r="R70" s="27" t="s">
        <v>279</v>
      </c>
      <c r="S70" s="27" t="s">
        <v>280</v>
      </c>
      <c r="T70" s="27">
        <v>76950</v>
      </c>
      <c r="U70" s="27" t="s">
        <v>182</v>
      </c>
      <c r="V70" s="27" t="s">
        <v>63</v>
      </c>
      <c r="W70" s="27" t="s">
        <v>81</v>
      </c>
      <c r="X70" s="27" t="s">
        <v>88</v>
      </c>
      <c r="Y70" s="28">
        <v>42244</v>
      </c>
      <c r="Z70" s="27"/>
      <c r="AA70" s="27"/>
      <c r="AB70" s="27"/>
      <c r="AC70" s="27"/>
      <c r="AD70" s="27"/>
      <c r="AE70" s="27" t="s">
        <v>183</v>
      </c>
      <c r="AF70" s="27" t="s">
        <v>299</v>
      </c>
      <c r="AG70" s="27" t="s">
        <v>89</v>
      </c>
      <c r="AH70" s="27" t="s">
        <v>300</v>
      </c>
    </row>
    <row r="71" spans="1:34" x14ac:dyDescent="0.2">
      <c r="A71" s="27">
        <v>10018849</v>
      </c>
      <c r="B71" s="27" t="s">
        <v>18</v>
      </c>
      <c r="C71" s="27" t="s">
        <v>78</v>
      </c>
      <c r="D71" s="28">
        <v>42226</v>
      </c>
      <c r="E71" s="27">
        <v>93469423</v>
      </c>
      <c r="F71" s="28">
        <v>42221</v>
      </c>
      <c r="G71" s="28">
        <v>42223</v>
      </c>
      <c r="H71" s="27">
        <v>1201047</v>
      </c>
      <c r="I71" s="27" t="s">
        <v>79</v>
      </c>
      <c r="J71" s="27">
        <v>1034532</v>
      </c>
      <c r="K71" s="27" t="s">
        <v>301</v>
      </c>
      <c r="L71" s="27">
        <v>1171089</v>
      </c>
      <c r="M71" s="27" t="s">
        <v>75</v>
      </c>
      <c r="N71" s="27">
        <v>25426965</v>
      </c>
      <c r="O71" s="27"/>
      <c r="P71" s="27"/>
      <c r="Q71" s="27" t="s">
        <v>181</v>
      </c>
      <c r="R71" s="27" t="s">
        <v>67</v>
      </c>
      <c r="S71" s="27" t="s">
        <v>68</v>
      </c>
      <c r="T71" s="27">
        <v>3300</v>
      </c>
      <c r="U71" s="27" t="s">
        <v>182</v>
      </c>
      <c r="V71" s="27" t="s">
        <v>69</v>
      </c>
      <c r="W71" s="27" t="s">
        <v>70</v>
      </c>
      <c r="X71" s="27" t="s">
        <v>71</v>
      </c>
      <c r="Y71" s="28">
        <v>42229</v>
      </c>
      <c r="Z71" s="27" t="s">
        <v>83</v>
      </c>
      <c r="AA71" s="28">
        <v>42229</v>
      </c>
      <c r="AB71" s="27" t="s">
        <v>72</v>
      </c>
      <c r="AC71" s="27">
        <v>61968397</v>
      </c>
      <c r="AD71" s="28">
        <v>42243</v>
      </c>
      <c r="AE71" s="27" t="s">
        <v>183</v>
      </c>
      <c r="AF71" s="27">
        <v>3511784942</v>
      </c>
      <c r="AG71" s="27" t="s">
        <v>73</v>
      </c>
      <c r="AH71" s="27" t="s">
        <v>302</v>
      </c>
    </row>
    <row r="72" spans="1:34" x14ac:dyDescent="0.2">
      <c r="A72" s="27">
        <v>10018850</v>
      </c>
      <c r="B72" s="27" t="s">
        <v>22</v>
      </c>
      <c r="C72" s="27" t="s">
        <v>78</v>
      </c>
      <c r="D72" s="28">
        <v>42226</v>
      </c>
      <c r="E72" s="27">
        <v>93442975</v>
      </c>
      <c r="F72" s="28">
        <v>42201</v>
      </c>
      <c r="G72" s="27"/>
      <c r="H72" s="27">
        <v>1201047</v>
      </c>
      <c r="I72" s="27" t="s">
        <v>79</v>
      </c>
      <c r="J72" s="27">
        <v>1309880</v>
      </c>
      <c r="K72" s="27" t="s">
        <v>108</v>
      </c>
      <c r="L72" s="27">
        <v>1171089</v>
      </c>
      <c r="M72" s="27" t="s">
        <v>75</v>
      </c>
      <c r="N72" s="27">
        <v>18742364</v>
      </c>
      <c r="O72" s="27"/>
      <c r="P72" s="27"/>
      <c r="Q72" s="27" t="s">
        <v>181</v>
      </c>
      <c r="R72" s="27" t="s">
        <v>91</v>
      </c>
      <c r="S72" s="27" t="s">
        <v>92</v>
      </c>
      <c r="T72" s="27">
        <v>24426</v>
      </c>
      <c r="U72" s="27" t="s">
        <v>182</v>
      </c>
      <c r="V72" s="27" t="s">
        <v>63</v>
      </c>
      <c r="W72" s="27" t="s">
        <v>94</v>
      </c>
      <c r="X72" s="27" t="s">
        <v>141</v>
      </c>
      <c r="Y72" s="28">
        <v>42242</v>
      </c>
      <c r="Z72" s="27" t="s">
        <v>64</v>
      </c>
      <c r="AA72" s="28">
        <v>42226</v>
      </c>
      <c r="AB72" s="27"/>
      <c r="AC72" s="27"/>
      <c r="AD72" s="27"/>
      <c r="AE72" s="27" t="s">
        <v>183</v>
      </c>
      <c r="AF72" s="27" t="s">
        <v>303</v>
      </c>
      <c r="AG72" s="27" t="s">
        <v>142</v>
      </c>
      <c r="AH72" s="27" t="s">
        <v>304</v>
      </c>
    </row>
    <row r="73" spans="1:34" x14ac:dyDescent="0.2">
      <c r="A73" s="27">
        <v>10018858</v>
      </c>
      <c r="B73" s="27" t="s">
        <v>26</v>
      </c>
      <c r="C73" s="27" t="s">
        <v>78</v>
      </c>
      <c r="D73" s="28">
        <v>42227</v>
      </c>
      <c r="E73" s="27">
        <v>93463645</v>
      </c>
      <c r="F73" s="28">
        <v>42216</v>
      </c>
      <c r="G73" s="28">
        <v>42221</v>
      </c>
      <c r="H73" s="27">
        <v>1201044</v>
      </c>
      <c r="I73" s="27" t="s">
        <v>65</v>
      </c>
      <c r="J73" s="27">
        <v>1033809</v>
      </c>
      <c r="K73" s="27" t="s">
        <v>66</v>
      </c>
      <c r="L73" s="27">
        <v>1201044</v>
      </c>
      <c r="M73" s="27" t="s">
        <v>65</v>
      </c>
      <c r="N73" s="27">
        <v>10439531</v>
      </c>
      <c r="O73" s="27"/>
      <c r="P73" s="27"/>
      <c r="Q73" s="27" t="s">
        <v>181</v>
      </c>
      <c r="R73" s="27" t="s">
        <v>67</v>
      </c>
      <c r="S73" s="27" t="s">
        <v>68</v>
      </c>
      <c r="T73" s="27">
        <v>106.8</v>
      </c>
      <c r="U73" s="27" t="s">
        <v>182</v>
      </c>
      <c r="V73" s="27" t="s">
        <v>69</v>
      </c>
      <c r="W73" s="27" t="s">
        <v>70</v>
      </c>
      <c r="X73" s="27" t="s">
        <v>71</v>
      </c>
      <c r="Y73" s="28">
        <v>42229</v>
      </c>
      <c r="Z73" s="27" t="s">
        <v>64</v>
      </c>
      <c r="AA73" s="28">
        <v>42227</v>
      </c>
      <c r="AB73" s="27" t="s">
        <v>72</v>
      </c>
      <c r="AC73" s="27">
        <v>61955810</v>
      </c>
      <c r="AD73" s="28">
        <v>42229</v>
      </c>
      <c r="AE73" s="27" t="s">
        <v>183</v>
      </c>
      <c r="AF73" s="27">
        <v>3511782293</v>
      </c>
      <c r="AG73" s="27" t="s">
        <v>73</v>
      </c>
      <c r="AH73" s="27" t="s">
        <v>302</v>
      </c>
    </row>
    <row r="74" spans="1:34" x14ac:dyDescent="0.2">
      <c r="A74" s="27">
        <v>10018859</v>
      </c>
      <c r="B74" s="27" t="s">
        <v>18</v>
      </c>
      <c r="C74" s="27" t="s">
        <v>78</v>
      </c>
      <c r="D74" s="28">
        <v>42227</v>
      </c>
      <c r="E74" s="27">
        <v>93471556</v>
      </c>
      <c r="F74" s="28">
        <v>42222</v>
      </c>
      <c r="G74" s="27"/>
      <c r="H74" s="27">
        <v>1201547</v>
      </c>
      <c r="I74" s="27" t="s">
        <v>305</v>
      </c>
      <c r="J74" s="27">
        <v>1201547</v>
      </c>
      <c r="K74" s="27" t="s">
        <v>305</v>
      </c>
      <c r="L74" s="27">
        <v>1201547</v>
      </c>
      <c r="M74" s="27" t="s">
        <v>305</v>
      </c>
      <c r="N74" s="27">
        <v>94848</v>
      </c>
      <c r="O74" s="27"/>
      <c r="P74" s="27"/>
      <c r="Q74" s="27" t="s">
        <v>181</v>
      </c>
      <c r="R74" s="27" t="s">
        <v>97</v>
      </c>
      <c r="S74" s="27" t="s">
        <v>98</v>
      </c>
      <c r="T74" s="27">
        <v>701.46</v>
      </c>
      <c r="U74" s="27" t="s">
        <v>182</v>
      </c>
      <c r="V74" s="27" t="s">
        <v>69</v>
      </c>
      <c r="W74" s="27" t="s">
        <v>105</v>
      </c>
      <c r="X74" s="27" t="s">
        <v>76</v>
      </c>
      <c r="Y74" s="28">
        <v>42229</v>
      </c>
      <c r="Z74" s="27" t="s">
        <v>64</v>
      </c>
      <c r="AA74" s="28">
        <v>42227</v>
      </c>
      <c r="AB74" s="27" t="s">
        <v>100</v>
      </c>
      <c r="AC74" s="27">
        <v>61978294</v>
      </c>
      <c r="AD74" s="28">
        <v>42257</v>
      </c>
      <c r="AE74" s="27" t="s">
        <v>183</v>
      </c>
      <c r="AF74" s="27">
        <v>87944972380687</v>
      </c>
      <c r="AG74" s="27" t="s">
        <v>106</v>
      </c>
      <c r="AH74" s="27" t="s">
        <v>306</v>
      </c>
    </row>
    <row r="75" spans="1:34" x14ac:dyDescent="0.2">
      <c r="A75" s="27">
        <v>10018860</v>
      </c>
      <c r="B75" s="27" t="s">
        <v>18</v>
      </c>
      <c r="C75" s="27" t="s">
        <v>78</v>
      </c>
      <c r="D75" s="28">
        <v>42227</v>
      </c>
      <c r="E75" s="27">
        <v>93450914</v>
      </c>
      <c r="F75" s="28">
        <v>42207</v>
      </c>
      <c r="G75" s="27"/>
      <c r="H75" s="27">
        <v>1201047</v>
      </c>
      <c r="I75" s="27" t="s">
        <v>79</v>
      </c>
      <c r="J75" s="27">
        <v>1311011</v>
      </c>
      <c r="K75" s="27" t="s">
        <v>85</v>
      </c>
      <c r="L75" s="27">
        <v>1171089</v>
      </c>
      <c r="M75" s="27" t="s">
        <v>75</v>
      </c>
      <c r="N75" s="27">
        <v>19614969</v>
      </c>
      <c r="O75" s="27"/>
      <c r="P75" s="27"/>
      <c r="Q75" s="27" t="s">
        <v>181</v>
      </c>
      <c r="R75" s="27" t="s">
        <v>86</v>
      </c>
      <c r="S75" s="27" t="s">
        <v>87</v>
      </c>
      <c r="T75" s="27">
        <v>12512.64</v>
      </c>
      <c r="U75" s="27" t="s">
        <v>182</v>
      </c>
      <c r="V75" s="27" t="s">
        <v>63</v>
      </c>
      <c r="W75" s="27" t="s">
        <v>70</v>
      </c>
      <c r="X75" s="27" t="s">
        <v>76</v>
      </c>
      <c r="Y75" s="28">
        <v>42229</v>
      </c>
      <c r="Z75" s="27" t="s">
        <v>83</v>
      </c>
      <c r="AA75" s="28">
        <v>42229</v>
      </c>
      <c r="AB75" s="27"/>
      <c r="AC75" s="27"/>
      <c r="AD75" s="27"/>
      <c r="AE75" s="27" t="s">
        <v>183</v>
      </c>
      <c r="AF75" s="27" t="s">
        <v>307</v>
      </c>
      <c r="AG75" s="27" t="s">
        <v>77</v>
      </c>
      <c r="AH75" s="27" t="s">
        <v>308</v>
      </c>
    </row>
    <row r="76" spans="1:34" x14ac:dyDescent="0.2">
      <c r="A76" s="27">
        <v>10018861</v>
      </c>
      <c r="B76" s="27" t="s">
        <v>26</v>
      </c>
      <c r="C76" s="27" t="s">
        <v>78</v>
      </c>
      <c r="D76" s="28">
        <v>42227</v>
      </c>
      <c r="E76" s="27">
        <v>93460104</v>
      </c>
      <c r="F76" s="28">
        <v>42214</v>
      </c>
      <c r="G76" s="27"/>
      <c r="H76" s="27">
        <v>1322827</v>
      </c>
      <c r="I76" s="27" t="s">
        <v>253</v>
      </c>
      <c r="J76" s="27">
        <v>1325727</v>
      </c>
      <c r="K76" s="27" t="s">
        <v>253</v>
      </c>
      <c r="L76" s="27">
        <v>1322827</v>
      </c>
      <c r="M76" s="27" t="s">
        <v>253</v>
      </c>
      <c r="N76" s="27">
        <v>1220909</v>
      </c>
      <c r="O76" s="27"/>
      <c r="P76" s="27"/>
      <c r="Q76" s="27" t="s">
        <v>181</v>
      </c>
      <c r="R76" s="27" t="s">
        <v>97</v>
      </c>
      <c r="S76" s="27" t="s">
        <v>98</v>
      </c>
      <c r="T76" s="27">
        <v>1323.72</v>
      </c>
      <c r="U76" s="27" t="s">
        <v>182</v>
      </c>
      <c r="V76" s="27" t="s">
        <v>69</v>
      </c>
      <c r="W76" s="27" t="s">
        <v>94</v>
      </c>
      <c r="X76" s="27" t="s">
        <v>95</v>
      </c>
      <c r="Y76" s="28">
        <v>42240</v>
      </c>
      <c r="Z76" s="27" t="s">
        <v>83</v>
      </c>
      <c r="AA76" s="28">
        <v>42229</v>
      </c>
      <c r="AB76" s="27" t="s">
        <v>100</v>
      </c>
      <c r="AC76" s="27">
        <v>61974892</v>
      </c>
      <c r="AD76" s="28">
        <v>42250</v>
      </c>
      <c r="AE76" s="27" t="s">
        <v>183</v>
      </c>
      <c r="AF76" s="27" t="s">
        <v>309</v>
      </c>
      <c r="AG76" s="27" t="s">
        <v>96</v>
      </c>
      <c r="AH76" s="27" t="s">
        <v>310</v>
      </c>
    </row>
    <row r="77" spans="1:34" x14ac:dyDescent="0.2">
      <c r="A77" s="27">
        <v>10018869</v>
      </c>
      <c r="B77" s="27" t="s">
        <v>26</v>
      </c>
      <c r="C77" s="27" t="s">
        <v>78</v>
      </c>
      <c r="D77" s="28">
        <v>42227</v>
      </c>
      <c r="E77" s="27">
        <v>93471513</v>
      </c>
      <c r="F77" s="28">
        <v>42222</v>
      </c>
      <c r="G77" s="27"/>
      <c r="H77" s="27">
        <v>1201399</v>
      </c>
      <c r="I77" s="27" t="s">
        <v>144</v>
      </c>
      <c r="J77" s="27">
        <v>1334926</v>
      </c>
      <c r="K77" s="27" t="s">
        <v>145</v>
      </c>
      <c r="L77" s="27">
        <v>1171970</v>
      </c>
      <c r="M77" s="27" t="s">
        <v>144</v>
      </c>
      <c r="N77" s="27">
        <v>8106668497</v>
      </c>
      <c r="O77" s="27"/>
      <c r="P77" s="27"/>
      <c r="Q77" s="27" t="s">
        <v>181</v>
      </c>
      <c r="R77" s="27" t="s">
        <v>97</v>
      </c>
      <c r="S77" s="27" t="s">
        <v>98</v>
      </c>
      <c r="T77" s="27">
        <v>134.44</v>
      </c>
      <c r="U77" s="27" t="s">
        <v>182</v>
      </c>
      <c r="V77" s="27" t="s">
        <v>63</v>
      </c>
      <c r="W77" s="27" t="s">
        <v>81</v>
      </c>
      <c r="X77" s="27" t="s">
        <v>88</v>
      </c>
      <c r="Y77" s="28">
        <v>42247</v>
      </c>
      <c r="Z77" s="27" t="s">
        <v>166</v>
      </c>
      <c r="AA77" s="28">
        <v>42230</v>
      </c>
      <c r="AB77" s="27"/>
      <c r="AC77" s="27"/>
      <c r="AD77" s="27"/>
      <c r="AE77" s="27" t="s">
        <v>183</v>
      </c>
      <c r="AF77" s="27">
        <v>87944972379353</v>
      </c>
      <c r="AG77" s="27" t="s">
        <v>89</v>
      </c>
      <c r="AH77" s="27" t="s">
        <v>311</v>
      </c>
    </row>
    <row r="78" spans="1:34" x14ac:dyDescent="0.2">
      <c r="A78" s="27">
        <v>10018872</v>
      </c>
      <c r="B78" s="27" t="s">
        <v>26</v>
      </c>
      <c r="C78" s="27" t="s">
        <v>78</v>
      </c>
      <c r="D78" s="28">
        <v>42227</v>
      </c>
      <c r="E78" s="27">
        <v>93463767</v>
      </c>
      <c r="F78" s="28">
        <v>42216</v>
      </c>
      <c r="G78" s="27"/>
      <c r="H78" s="27">
        <v>1201047</v>
      </c>
      <c r="I78" s="27" t="s">
        <v>79</v>
      </c>
      <c r="J78" s="27">
        <v>1051549</v>
      </c>
      <c r="K78" s="27" t="s">
        <v>85</v>
      </c>
      <c r="L78" s="27">
        <v>1171089</v>
      </c>
      <c r="M78" s="27" t="s">
        <v>75</v>
      </c>
      <c r="N78" s="27">
        <v>12903136</v>
      </c>
      <c r="O78" s="27"/>
      <c r="P78" s="27"/>
      <c r="Q78" s="27" t="s">
        <v>181</v>
      </c>
      <c r="R78" s="27" t="s">
        <v>91</v>
      </c>
      <c r="S78" s="27" t="s">
        <v>92</v>
      </c>
      <c r="T78" s="27">
        <v>2918.4</v>
      </c>
      <c r="U78" s="27" t="s">
        <v>182</v>
      </c>
      <c r="V78" s="27" t="s">
        <v>69</v>
      </c>
      <c r="W78" s="27" t="s">
        <v>94</v>
      </c>
      <c r="X78" s="27" t="s">
        <v>95</v>
      </c>
      <c r="Y78" s="28">
        <v>42235</v>
      </c>
      <c r="Z78" s="27" t="s">
        <v>83</v>
      </c>
      <c r="AA78" s="28">
        <v>42243</v>
      </c>
      <c r="AB78" s="27" t="s">
        <v>100</v>
      </c>
      <c r="AC78" s="27">
        <v>61970035</v>
      </c>
      <c r="AD78" s="28">
        <v>42244</v>
      </c>
      <c r="AE78" s="27" t="s">
        <v>183</v>
      </c>
      <c r="AF78" s="27" t="s">
        <v>276</v>
      </c>
      <c r="AG78" s="27" t="s">
        <v>96</v>
      </c>
      <c r="AH78" s="27" t="s">
        <v>312</v>
      </c>
    </row>
    <row r="79" spans="1:34" x14ac:dyDescent="0.2">
      <c r="A79" s="27">
        <v>10018873</v>
      </c>
      <c r="B79" s="27" t="s">
        <v>18</v>
      </c>
      <c r="C79" s="27" t="s">
        <v>78</v>
      </c>
      <c r="D79" s="28">
        <v>42227</v>
      </c>
      <c r="E79" s="27">
        <v>93438167</v>
      </c>
      <c r="F79" s="28">
        <v>42198</v>
      </c>
      <c r="G79" s="27"/>
      <c r="H79" s="27">
        <v>1201047</v>
      </c>
      <c r="I79" s="27" t="s">
        <v>79</v>
      </c>
      <c r="J79" s="27">
        <v>1300235</v>
      </c>
      <c r="K79" s="27" t="s">
        <v>109</v>
      </c>
      <c r="L79" s="27">
        <v>1171089</v>
      </c>
      <c r="M79" s="27" t="s">
        <v>75</v>
      </c>
      <c r="N79" s="27">
        <v>8361937</v>
      </c>
      <c r="O79" s="27"/>
      <c r="P79" s="27"/>
      <c r="Q79" s="27" t="s">
        <v>181</v>
      </c>
      <c r="R79" s="27" t="s">
        <v>102</v>
      </c>
      <c r="S79" s="27" t="s">
        <v>103</v>
      </c>
      <c r="T79" s="27">
        <v>77776.2</v>
      </c>
      <c r="U79" s="27" t="s">
        <v>182</v>
      </c>
      <c r="V79" s="27" t="s">
        <v>63</v>
      </c>
      <c r="W79" s="27" t="s">
        <v>70</v>
      </c>
      <c r="X79" s="27" t="s">
        <v>76</v>
      </c>
      <c r="Y79" s="28">
        <v>42229</v>
      </c>
      <c r="Z79" s="27" t="s">
        <v>83</v>
      </c>
      <c r="AA79" s="28">
        <v>42230</v>
      </c>
      <c r="AB79" s="27"/>
      <c r="AC79" s="27"/>
      <c r="AD79" s="27"/>
      <c r="AE79" s="27" t="s">
        <v>183</v>
      </c>
      <c r="AF79" s="27">
        <v>636808527456</v>
      </c>
      <c r="AG79" s="27" t="s">
        <v>77</v>
      </c>
      <c r="AH79" s="27" t="s">
        <v>313</v>
      </c>
    </row>
    <row r="80" spans="1:34" x14ac:dyDescent="0.2">
      <c r="A80" s="27">
        <v>10018874</v>
      </c>
      <c r="B80" s="27" t="s">
        <v>25</v>
      </c>
      <c r="C80" s="27" t="s">
        <v>78</v>
      </c>
      <c r="D80" s="28">
        <v>42227</v>
      </c>
      <c r="E80" s="27">
        <v>93469648</v>
      </c>
      <c r="F80" s="28">
        <v>42221</v>
      </c>
      <c r="G80" s="27"/>
      <c r="H80" s="27">
        <v>1201120</v>
      </c>
      <c r="I80" s="27" t="s">
        <v>117</v>
      </c>
      <c r="J80" s="27">
        <v>1050787</v>
      </c>
      <c r="K80" s="27" t="s">
        <v>119</v>
      </c>
      <c r="L80" s="27">
        <v>1171090</v>
      </c>
      <c r="M80" s="27" t="s">
        <v>118</v>
      </c>
      <c r="N80" s="27" t="s">
        <v>314</v>
      </c>
      <c r="O80" s="27"/>
      <c r="P80" s="27"/>
      <c r="Q80" s="27" t="s">
        <v>181</v>
      </c>
      <c r="R80" s="27" t="s">
        <v>97</v>
      </c>
      <c r="S80" s="27" t="s">
        <v>98</v>
      </c>
      <c r="T80" s="27">
        <v>2039.04</v>
      </c>
      <c r="U80" s="27" t="s">
        <v>182</v>
      </c>
      <c r="V80" s="27" t="s">
        <v>69</v>
      </c>
      <c r="W80" s="27" t="s">
        <v>81</v>
      </c>
      <c r="X80" s="27" t="s">
        <v>71</v>
      </c>
      <c r="Y80" s="28">
        <v>42242</v>
      </c>
      <c r="Z80" s="27" t="s">
        <v>64</v>
      </c>
      <c r="AA80" s="28">
        <v>42227</v>
      </c>
      <c r="AB80" s="27" t="s">
        <v>72</v>
      </c>
      <c r="AC80" s="27">
        <v>61968398</v>
      </c>
      <c r="AD80" s="28">
        <v>42243</v>
      </c>
      <c r="AE80" s="27" t="s">
        <v>183</v>
      </c>
      <c r="AF80" s="27" t="s">
        <v>315</v>
      </c>
      <c r="AG80" s="27" t="s">
        <v>135</v>
      </c>
      <c r="AH80" s="27" t="s">
        <v>316</v>
      </c>
    </row>
    <row r="81" spans="1:34" x14ac:dyDescent="0.2">
      <c r="A81" s="27">
        <v>10018877</v>
      </c>
      <c r="B81" s="27" t="s">
        <v>26</v>
      </c>
      <c r="C81" s="27" t="s">
        <v>78</v>
      </c>
      <c r="D81" s="28">
        <v>42228</v>
      </c>
      <c r="E81" s="27">
        <v>93469429</v>
      </c>
      <c r="F81" s="28">
        <v>42221</v>
      </c>
      <c r="G81" s="27"/>
      <c r="H81" s="27">
        <v>1201047</v>
      </c>
      <c r="I81" s="27" t="s">
        <v>79</v>
      </c>
      <c r="J81" s="27">
        <v>1311671</v>
      </c>
      <c r="K81" s="27" t="s">
        <v>90</v>
      </c>
      <c r="L81" s="27">
        <v>1171089</v>
      </c>
      <c r="M81" s="27" t="s">
        <v>75</v>
      </c>
      <c r="N81" s="27">
        <v>21455008</v>
      </c>
      <c r="O81" s="27"/>
      <c r="P81" s="27"/>
      <c r="Q81" s="27" t="s">
        <v>181</v>
      </c>
      <c r="R81" s="27" t="s">
        <v>279</v>
      </c>
      <c r="S81" s="27" t="s">
        <v>280</v>
      </c>
      <c r="T81" s="27">
        <v>262.5</v>
      </c>
      <c r="U81" s="27" t="s">
        <v>182</v>
      </c>
      <c r="V81" s="27" t="s">
        <v>69</v>
      </c>
      <c r="W81" s="27" t="s">
        <v>94</v>
      </c>
      <c r="X81" s="27" t="s">
        <v>95</v>
      </c>
      <c r="Y81" s="28">
        <v>42235</v>
      </c>
      <c r="Z81" s="27" t="s">
        <v>64</v>
      </c>
      <c r="AA81" s="28">
        <v>42228</v>
      </c>
      <c r="AB81" s="27" t="s">
        <v>100</v>
      </c>
      <c r="AC81" s="27">
        <v>61970036</v>
      </c>
      <c r="AD81" s="28">
        <v>42244</v>
      </c>
      <c r="AE81" s="27" t="s">
        <v>183</v>
      </c>
      <c r="AF81" s="27">
        <v>3663180</v>
      </c>
      <c r="AG81" s="27" t="s">
        <v>96</v>
      </c>
      <c r="AH81" s="27" t="s">
        <v>317</v>
      </c>
    </row>
    <row r="82" spans="1:34" x14ac:dyDescent="0.2">
      <c r="A82" s="27">
        <v>10018878</v>
      </c>
      <c r="B82" s="27" t="s">
        <v>18</v>
      </c>
      <c r="C82" s="27" t="s">
        <v>78</v>
      </c>
      <c r="D82" s="28">
        <v>42228</v>
      </c>
      <c r="E82" s="27">
        <v>93471338</v>
      </c>
      <c r="F82" s="28">
        <v>42222</v>
      </c>
      <c r="G82" s="27"/>
      <c r="H82" s="27">
        <v>1201120</v>
      </c>
      <c r="I82" s="27" t="s">
        <v>117</v>
      </c>
      <c r="J82" s="27">
        <v>1307782</v>
      </c>
      <c r="K82" s="27" t="s">
        <v>119</v>
      </c>
      <c r="L82" s="27">
        <v>1171090</v>
      </c>
      <c r="M82" s="27" t="s">
        <v>118</v>
      </c>
      <c r="N82" s="27" t="s">
        <v>318</v>
      </c>
      <c r="O82" s="27"/>
      <c r="P82" s="27"/>
      <c r="Q82" s="27" t="s">
        <v>181</v>
      </c>
      <c r="R82" s="27" t="s">
        <v>97</v>
      </c>
      <c r="S82" s="27" t="s">
        <v>98</v>
      </c>
      <c r="T82" s="27">
        <v>245.52</v>
      </c>
      <c r="U82" s="27" t="s">
        <v>182</v>
      </c>
      <c r="V82" s="27" t="s">
        <v>63</v>
      </c>
      <c r="W82" s="27" t="s">
        <v>70</v>
      </c>
      <c r="X82" s="27" t="s">
        <v>76</v>
      </c>
      <c r="Y82" s="28">
        <v>42229</v>
      </c>
      <c r="Z82" s="27" t="s">
        <v>64</v>
      </c>
      <c r="AA82" s="28">
        <v>42228</v>
      </c>
      <c r="AB82" s="27"/>
      <c r="AC82" s="27"/>
      <c r="AD82" s="27"/>
      <c r="AE82" s="27" t="s">
        <v>183</v>
      </c>
      <c r="AF82" s="27" t="s">
        <v>319</v>
      </c>
      <c r="AG82" s="27" t="s">
        <v>77</v>
      </c>
      <c r="AH82" s="27" t="s">
        <v>320</v>
      </c>
    </row>
    <row r="83" spans="1:34" x14ac:dyDescent="0.2">
      <c r="A83" s="27">
        <v>10018879</v>
      </c>
      <c r="B83" s="27" t="s">
        <v>18</v>
      </c>
      <c r="C83" s="27" t="s">
        <v>78</v>
      </c>
      <c r="D83" s="28">
        <v>42228</v>
      </c>
      <c r="E83" s="27">
        <v>93474862</v>
      </c>
      <c r="F83" s="28">
        <v>42226</v>
      </c>
      <c r="G83" s="27"/>
      <c r="H83" s="27">
        <v>1201120</v>
      </c>
      <c r="I83" s="27" t="s">
        <v>117</v>
      </c>
      <c r="J83" s="27">
        <v>1307782</v>
      </c>
      <c r="K83" s="27" t="s">
        <v>119</v>
      </c>
      <c r="L83" s="27">
        <v>1171090</v>
      </c>
      <c r="M83" s="27" t="s">
        <v>118</v>
      </c>
      <c r="N83" s="27" t="s">
        <v>321</v>
      </c>
      <c r="O83" s="27"/>
      <c r="P83" s="27"/>
      <c r="Q83" s="27" t="s">
        <v>181</v>
      </c>
      <c r="R83" s="27" t="s">
        <v>121</v>
      </c>
      <c r="S83" s="27" t="s">
        <v>122</v>
      </c>
      <c r="T83" s="27">
        <v>1388.29</v>
      </c>
      <c r="U83" s="27" t="s">
        <v>182</v>
      </c>
      <c r="V83" s="27" t="s">
        <v>63</v>
      </c>
      <c r="W83" s="27" t="s">
        <v>70</v>
      </c>
      <c r="X83" s="27" t="s">
        <v>76</v>
      </c>
      <c r="Y83" s="28">
        <v>42229</v>
      </c>
      <c r="Z83" s="27" t="s">
        <v>83</v>
      </c>
      <c r="AA83" s="28">
        <v>42230</v>
      </c>
      <c r="AB83" s="27"/>
      <c r="AC83" s="27"/>
      <c r="AD83" s="27"/>
      <c r="AE83" s="27" t="s">
        <v>183</v>
      </c>
      <c r="AF83" s="27" t="s">
        <v>322</v>
      </c>
      <c r="AG83" s="27" t="s">
        <v>77</v>
      </c>
      <c r="AH83" s="27" t="s">
        <v>323</v>
      </c>
    </row>
    <row r="84" spans="1:34" x14ac:dyDescent="0.2">
      <c r="A84" s="27">
        <v>10018880</v>
      </c>
      <c r="B84" s="27" t="s">
        <v>18</v>
      </c>
      <c r="C84" s="27" t="s">
        <v>78</v>
      </c>
      <c r="D84" s="28">
        <v>42228</v>
      </c>
      <c r="E84" s="27">
        <v>93473263</v>
      </c>
      <c r="F84" s="28">
        <v>42223</v>
      </c>
      <c r="G84" s="28">
        <v>42226</v>
      </c>
      <c r="H84" s="27">
        <v>1201483</v>
      </c>
      <c r="I84" s="27" t="s">
        <v>147</v>
      </c>
      <c r="J84" s="27">
        <v>1001169</v>
      </c>
      <c r="K84" s="27" t="s">
        <v>148</v>
      </c>
      <c r="L84" s="27">
        <v>1201483</v>
      </c>
      <c r="M84" s="27" t="s">
        <v>147</v>
      </c>
      <c r="N84" s="27">
        <v>92786</v>
      </c>
      <c r="O84" s="27"/>
      <c r="P84" s="27"/>
      <c r="Q84" s="27" t="s">
        <v>181</v>
      </c>
      <c r="R84" s="27" t="s">
        <v>67</v>
      </c>
      <c r="S84" s="27" t="s">
        <v>68</v>
      </c>
      <c r="T84" s="27">
        <v>15.69</v>
      </c>
      <c r="U84" s="27" t="s">
        <v>182</v>
      </c>
      <c r="V84" s="27" t="s">
        <v>63</v>
      </c>
      <c r="W84" s="27" t="s">
        <v>70</v>
      </c>
      <c r="X84" s="27" t="s">
        <v>76</v>
      </c>
      <c r="Y84" s="28">
        <v>42229</v>
      </c>
      <c r="Z84" s="27" t="s">
        <v>64</v>
      </c>
      <c r="AA84" s="28">
        <v>42228</v>
      </c>
      <c r="AB84" s="27"/>
      <c r="AC84" s="27"/>
      <c r="AD84" s="27"/>
      <c r="AE84" s="27" t="s">
        <v>183</v>
      </c>
      <c r="AF84" s="27">
        <v>3511785104</v>
      </c>
      <c r="AG84" s="27" t="s">
        <v>77</v>
      </c>
      <c r="AH84" s="27" t="s">
        <v>323</v>
      </c>
    </row>
    <row r="85" spans="1:34" x14ac:dyDescent="0.2">
      <c r="A85" s="27">
        <v>10018881</v>
      </c>
      <c r="B85" s="27" t="s">
        <v>26</v>
      </c>
      <c r="C85" s="27" t="s">
        <v>197</v>
      </c>
      <c r="D85" s="28">
        <v>42228</v>
      </c>
      <c r="E85" s="27">
        <v>93440804</v>
      </c>
      <c r="F85" s="28">
        <v>42199</v>
      </c>
      <c r="G85" s="28">
        <v>42200</v>
      </c>
      <c r="H85" s="27">
        <v>1201643</v>
      </c>
      <c r="I85" s="27" t="s">
        <v>162</v>
      </c>
      <c r="J85" s="27">
        <v>1329411</v>
      </c>
      <c r="K85" s="27" t="s">
        <v>163</v>
      </c>
      <c r="L85" s="27">
        <v>1201643</v>
      </c>
      <c r="M85" s="27" t="s">
        <v>162</v>
      </c>
      <c r="N85" s="27">
        <v>23047</v>
      </c>
      <c r="O85" s="27"/>
      <c r="P85" s="27"/>
      <c r="Q85" s="27" t="s">
        <v>181</v>
      </c>
      <c r="R85" s="27" t="s">
        <v>67</v>
      </c>
      <c r="S85" s="27" t="s">
        <v>68</v>
      </c>
      <c r="T85" s="27">
        <v>10.5</v>
      </c>
      <c r="U85" s="27" t="s">
        <v>182</v>
      </c>
      <c r="V85" s="27" t="s">
        <v>63</v>
      </c>
      <c r="W85" s="27" t="s">
        <v>105</v>
      </c>
      <c r="X85" s="27" t="s">
        <v>82</v>
      </c>
      <c r="Y85" s="28">
        <v>42244</v>
      </c>
      <c r="Z85" s="27" t="s">
        <v>64</v>
      </c>
      <c r="AA85" s="28">
        <v>42228</v>
      </c>
      <c r="AB85" s="27"/>
      <c r="AC85" s="27"/>
      <c r="AD85" s="27"/>
      <c r="AE85" s="27" t="s">
        <v>183</v>
      </c>
      <c r="AF85" s="27">
        <v>3511780215</v>
      </c>
      <c r="AG85" s="27" t="s">
        <v>89</v>
      </c>
      <c r="AH85" s="27" t="s">
        <v>324</v>
      </c>
    </row>
    <row r="86" spans="1:34" x14ac:dyDescent="0.2">
      <c r="A86" s="27">
        <v>10018882</v>
      </c>
      <c r="B86" s="27" t="s">
        <v>22</v>
      </c>
      <c r="C86" s="27" t="s">
        <v>78</v>
      </c>
      <c r="D86" s="28">
        <v>42228</v>
      </c>
      <c r="E86" s="27">
        <v>93466135</v>
      </c>
      <c r="F86" s="28">
        <v>42219</v>
      </c>
      <c r="G86" s="27"/>
      <c r="H86" s="27">
        <v>1201315</v>
      </c>
      <c r="I86" s="27" t="s">
        <v>256</v>
      </c>
      <c r="J86" s="27">
        <v>1321854</v>
      </c>
      <c r="K86" s="27" t="s">
        <v>256</v>
      </c>
      <c r="L86" s="27">
        <v>1201315</v>
      </c>
      <c r="M86" s="27" t="s">
        <v>256</v>
      </c>
      <c r="N86" s="27">
        <v>5590971</v>
      </c>
      <c r="O86" s="27"/>
      <c r="P86" s="27"/>
      <c r="Q86" s="27" t="s">
        <v>181</v>
      </c>
      <c r="R86" s="27" t="s">
        <v>97</v>
      </c>
      <c r="S86" s="27" t="s">
        <v>98</v>
      </c>
      <c r="T86" s="27">
        <v>82.06</v>
      </c>
      <c r="U86" s="27" t="s">
        <v>182</v>
      </c>
      <c r="V86" s="27" t="s">
        <v>63</v>
      </c>
      <c r="W86" s="27" t="s">
        <v>94</v>
      </c>
      <c r="X86" s="27" t="s">
        <v>141</v>
      </c>
      <c r="Y86" s="28">
        <v>42233</v>
      </c>
      <c r="Z86" s="27" t="s">
        <v>64</v>
      </c>
      <c r="AA86" s="28">
        <v>42228</v>
      </c>
      <c r="AB86" s="27"/>
      <c r="AC86" s="27"/>
      <c r="AD86" s="27"/>
      <c r="AE86" s="27" t="s">
        <v>183</v>
      </c>
      <c r="AF86" s="27">
        <v>87944972353735</v>
      </c>
      <c r="AG86" s="27" t="s">
        <v>142</v>
      </c>
      <c r="AH86" s="27" t="s">
        <v>325</v>
      </c>
    </row>
    <row r="87" spans="1:34" x14ac:dyDescent="0.2">
      <c r="A87" s="27">
        <v>10018883</v>
      </c>
      <c r="B87" s="27" t="s">
        <v>22</v>
      </c>
      <c r="C87" s="27" t="s">
        <v>78</v>
      </c>
      <c r="D87" s="28">
        <v>42228</v>
      </c>
      <c r="E87" s="27">
        <v>93447532</v>
      </c>
      <c r="F87" s="28">
        <v>42205</v>
      </c>
      <c r="G87" s="27"/>
      <c r="H87" s="27">
        <v>1201047</v>
      </c>
      <c r="I87" s="27" t="s">
        <v>79</v>
      </c>
      <c r="J87" s="27">
        <v>1058305</v>
      </c>
      <c r="K87" s="27" t="s">
        <v>99</v>
      </c>
      <c r="L87" s="27">
        <v>1171089</v>
      </c>
      <c r="M87" s="27" t="s">
        <v>75</v>
      </c>
      <c r="N87" s="27">
        <v>52925678</v>
      </c>
      <c r="O87" s="27"/>
      <c r="P87" s="27"/>
      <c r="Q87" s="27" t="s">
        <v>181</v>
      </c>
      <c r="R87" s="27" t="s">
        <v>97</v>
      </c>
      <c r="S87" s="27" t="s">
        <v>98</v>
      </c>
      <c r="T87" s="27">
        <v>1762.56</v>
      </c>
      <c r="U87" s="27" t="s">
        <v>182</v>
      </c>
      <c r="V87" s="27" t="s">
        <v>63</v>
      </c>
      <c r="W87" s="27" t="s">
        <v>94</v>
      </c>
      <c r="X87" s="27" t="s">
        <v>82</v>
      </c>
      <c r="Y87" s="28">
        <v>42237</v>
      </c>
      <c r="Z87" s="27" t="s">
        <v>64</v>
      </c>
      <c r="AA87" s="28">
        <v>42228</v>
      </c>
      <c r="AB87" s="27"/>
      <c r="AC87" s="27"/>
      <c r="AD87" s="27"/>
      <c r="AE87" s="27" t="s">
        <v>183</v>
      </c>
      <c r="AF87" s="27">
        <v>87944972288426</v>
      </c>
      <c r="AG87" s="27" t="s">
        <v>142</v>
      </c>
      <c r="AH87" s="27" t="s">
        <v>326</v>
      </c>
    </row>
    <row r="88" spans="1:34" x14ac:dyDescent="0.2">
      <c r="A88" s="27">
        <v>10018884</v>
      </c>
      <c r="B88" s="27" t="s">
        <v>26</v>
      </c>
      <c r="C88" s="27" t="s">
        <v>78</v>
      </c>
      <c r="D88" s="28">
        <v>42228</v>
      </c>
      <c r="E88" s="27">
        <v>93465872</v>
      </c>
      <c r="F88" s="28">
        <v>42219</v>
      </c>
      <c r="G88" s="27"/>
      <c r="H88" s="27">
        <v>1201047</v>
      </c>
      <c r="I88" s="27" t="s">
        <v>79</v>
      </c>
      <c r="J88" s="27">
        <v>1338648</v>
      </c>
      <c r="K88" s="27" t="s">
        <v>93</v>
      </c>
      <c r="L88" s="27">
        <v>1171089</v>
      </c>
      <c r="M88" s="27" t="s">
        <v>75</v>
      </c>
      <c r="N88" s="27">
        <v>63134088</v>
      </c>
      <c r="O88" s="27"/>
      <c r="P88" s="27"/>
      <c r="Q88" s="27" t="s">
        <v>181</v>
      </c>
      <c r="R88" s="27" t="s">
        <v>86</v>
      </c>
      <c r="S88" s="27" t="s">
        <v>87</v>
      </c>
      <c r="T88" s="27">
        <v>590.4</v>
      </c>
      <c r="U88" s="27" t="s">
        <v>182</v>
      </c>
      <c r="V88" s="27" t="s">
        <v>69</v>
      </c>
      <c r="W88" s="27" t="s">
        <v>94</v>
      </c>
      <c r="X88" s="27" t="s">
        <v>95</v>
      </c>
      <c r="Y88" s="28">
        <v>42235</v>
      </c>
      <c r="Z88" s="27" t="s">
        <v>64</v>
      </c>
      <c r="AA88" s="28">
        <v>42228</v>
      </c>
      <c r="AB88" s="27" t="s">
        <v>100</v>
      </c>
      <c r="AC88" s="27">
        <v>61970037</v>
      </c>
      <c r="AD88" s="28">
        <v>42244</v>
      </c>
      <c r="AE88" s="27" t="s">
        <v>183</v>
      </c>
      <c r="AF88" s="27" t="s">
        <v>327</v>
      </c>
      <c r="AG88" s="27" t="s">
        <v>96</v>
      </c>
      <c r="AH88" s="27" t="s">
        <v>273</v>
      </c>
    </row>
    <row r="89" spans="1:34" x14ac:dyDescent="0.2">
      <c r="A89" s="27">
        <v>10018885</v>
      </c>
      <c r="B89" s="27" t="s">
        <v>26</v>
      </c>
      <c r="C89" s="27" t="s">
        <v>78</v>
      </c>
      <c r="D89" s="28">
        <v>42228</v>
      </c>
      <c r="E89" s="27">
        <v>93465860</v>
      </c>
      <c r="F89" s="28">
        <v>42219</v>
      </c>
      <c r="G89" s="27"/>
      <c r="H89" s="27">
        <v>1201047</v>
      </c>
      <c r="I89" s="27" t="s">
        <v>79</v>
      </c>
      <c r="J89" s="27">
        <v>1338648</v>
      </c>
      <c r="K89" s="27" t="s">
        <v>93</v>
      </c>
      <c r="L89" s="27">
        <v>1171089</v>
      </c>
      <c r="M89" s="27" t="s">
        <v>75</v>
      </c>
      <c r="N89" s="27">
        <v>63134088</v>
      </c>
      <c r="O89" s="27"/>
      <c r="P89" s="27"/>
      <c r="Q89" s="27" t="s">
        <v>181</v>
      </c>
      <c r="R89" s="27" t="s">
        <v>86</v>
      </c>
      <c r="S89" s="27" t="s">
        <v>87</v>
      </c>
      <c r="T89" s="27">
        <v>1409.4</v>
      </c>
      <c r="U89" s="27" t="s">
        <v>182</v>
      </c>
      <c r="V89" s="27" t="s">
        <v>69</v>
      </c>
      <c r="W89" s="27" t="s">
        <v>94</v>
      </c>
      <c r="X89" s="27" t="s">
        <v>95</v>
      </c>
      <c r="Y89" s="28">
        <v>42240</v>
      </c>
      <c r="Z89" s="27" t="s">
        <v>83</v>
      </c>
      <c r="AA89" s="28">
        <v>42230</v>
      </c>
      <c r="AB89" s="27" t="s">
        <v>100</v>
      </c>
      <c r="AC89" s="27">
        <v>61980642</v>
      </c>
      <c r="AD89" s="28">
        <v>42261</v>
      </c>
      <c r="AE89" s="27" t="s">
        <v>183</v>
      </c>
      <c r="AF89" s="27" t="s">
        <v>327</v>
      </c>
      <c r="AG89" s="27" t="s">
        <v>96</v>
      </c>
      <c r="AH89" s="27" t="s">
        <v>328</v>
      </c>
    </row>
    <row r="90" spans="1:34" x14ac:dyDescent="0.2">
      <c r="A90" s="27">
        <v>10018886</v>
      </c>
      <c r="B90" s="27" t="s">
        <v>18</v>
      </c>
      <c r="C90" s="27" t="s">
        <v>252</v>
      </c>
      <c r="D90" s="28">
        <v>42228</v>
      </c>
      <c r="E90" s="27">
        <v>93459988</v>
      </c>
      <c r="F90" s="28">
        <v>42214</v>
      </c>
      <c r="G90" s="28">
        <v>42216</v>
      </c>
      <c r="H90" s="27">
        <v>1201547</v>
      </c>
      <c r="I90" s="27" t="s">
        <v>305</v>
      </c>
      <c r="J90" s="27">
        <v>1201547</v>
      </c>
      <c r="K90" s="27" t="s">
        <v>305</v>
      </c>
      <c r="L90" s="27">
        <v>1201547</v>
      </c>
      <c r="M90" s="27" t="s">
        <v>305</v>
      </c>
      <c r="N90" s="27">
        <v>94828</v>
      </c>
      <c r="O90" s="27"/>
      <c r="P90" s="27"/>
      <c r="Q90" s="27" t="s">
        <v>181</v>
      </c>
      <c r="R90" s="27" t="s">
        <v>67</v>
      </c>
      <c r="S90" s="27" t="s">
        <v>68</v>
      </c>
      <c r="T90" s="27">
        <v>20</v>
      </c>
      <c r="U90" s="27" t="s">
        <v>182</v>
      </c>
      <c r="V90" s="27" t="s">
        <v>69</v>
      </c>
      <c r="W90" s="27" t="s">
        <v>70</v>
      </c>
      <c r="X90" s="27" t="s">
        <v>76</v>
      </c>
      <c r="Y90" s="28">
        <v>42229</v>
      </c>
      <c r="Z90" s="27" t="s">
        <v>64</v>
      </c>
      <c r="AA90" s="28">
        <v>42228</v>
      </c>
      <c r="AB90" s="27" t="s">
        <v>100</v>
      </c>
      <c r="AC90" s="27">
        <v>61978297</v>
      </c>
      <c r="AD90" s="28">
        <v>42257</v>
      </c>
      <c r="AE90" s="27" t="s">
        <v>183</v>
      </c>
      <c r="AF90" s="27">
        <v>3511782190</v>
      </c>
      <c r="AG90" s="27" t="s">
        <v>77</v>
      </c>
      <c r="AH90" s="27" t="s">
        <v>329</v>
      </c>
    </row>
    <row r="91" spans="1:34" x14ac:dyDescent="0.2">
      <c r="A91" s="27">
        <v>10018887</v>
      </c>
      <c r="B91" s="27" t="s">
        <v>26</v>
      </c>
      <c r="C91" s="27" t="s">
        <v>197</v>
      </c>
      <c r="D91" s="28">
        <v>42228</v>
      </c>
      <c r="E91" s="27">
        <v>93476511</v>
      </c>
      <c r="F91" s="28">
        <v>42227</v>
      </c>
      <c r="G91" s="28">
        <v>42228</v>
      </c>
      <c r="H91" s="27">
        <v>1337184</v>
      </c>
      <c r="I91" s="27" t="s">
        <v>330</v>
      </c>
      <c r="J91" s="27">
        <v>1337199</v>
      </c>
      <c r="K91" s="27" t="s">
        <v>331</v>
      </c>
      <c r="L91" s="27">
        <v>1201767</v>
      </c>
      <c r="M91" s="27" t="s">
        <v>330</v>
      </c>
      <c r="N91" s="27" t="s">
        <v>332</v>
      </c>
      <c r="O91" s="27"/>
      <c r="P91" s="27"/>
      <c r="Q91" s="27" t="s">
        <v>181</v>
      </c>
      <c r="R91" s="27" t="s">
        <v>67</v>
      </c>
      <c r="S91" s="27" t="s">
        <v>68</v>
      </c>
      <c r="T91" s="27">
        <v>139.9</v>
      </c>
      <c r="U91" s="27" t="s">
        <v>182</v>
      </c>
      <c r="V91" s="27" t="s">
        <v>63</v>
      </c>
      <c r="W91" s="27" t="s">
        <v>94</v>
      </c>
      <c r="X91" s="27" t="s">
        <v>95</v>
      </c>
      <c r="Y91" s="28">
        <v>42235</v>
      </c>
      <c r="Z91" s="27" t="s">
        <v>64</v>
      </c>
      <c r="AA91" s="28">
        <v>42228</v>
      </c>
      <c r="AB91" s="27"/>
      <c r="AC91" s="27"/>
      <c r="AD91" s="27"/>
      <c r="AE91" s="27" t="s">
        <v>183</v>
      </c>
      <c r="AF91" s="27">
        <v>3511785675</v>
      </c>
      <c r="AG91" s="27" t="s">
        <v>96</v>
      </c>
      <c r="AH91" s="27" t="s">
        <v>333</v>
      </c>
    </row>
    <row r="92" spans="1:34" x14ac:dyDescent="0.2">
      <c r="A92" s="27">
        <v>10018888</v>
      </c>
      <c r="B92" s="27" t="s">
        <v>26</v>
      </c>
      <c r="C92" s="27" t="s">
        <v>78</v>
      </c>
      <c r="D92" s="28">
        <v>42228</v>
      </c>
      <c r="E92" s="27">
        <v>93469997</v>
      </c>
      <c r="F92" s="28">
        <v>42221</v>
      </c>
      <c r="G92" s="28">
        <v>42223</v>
      </c>
      <c r="H92" s="27">
        <v>1201540</v>
      </c>
      <c r="I92" s="27" t="s">
        <v>150</v>
      </c>
      <c r="J92" s="27">
        <v>1312297</v>
      </c>
      <c r="K92" s="27" t="s">
        <v>151</v>
      </c>
      <c r="L92" s="27">
        <v>1201540</v>
      </c>
      <c r="M92" s="27" t="s">
        <v>150</v>
      </c>
      <c r="N92" s="27" t="s">
        <v>234</v>
      </c>
      <c r="O92" s="27"/>
      <c r="P92" s="27"/>
      <c r="Q92" s="27" t="s">
        <v>181</v>
      </c>
      <c r="R92" s="27" t="s">
        <v>67</v>
      </c>
      <c r="S92" s="27" t="s">
        <v>68</v>
      </c>
      <c r="T92" s="27">
        <v>323.27999999999997</v>
      </c>
      <c r="U92" s="27" t="s">
        <v>182</v>
      </c>
      <c r="V92" s="27" t="s">
        <v>69</v>
      </c>
      <c r="W92" s="27" t="s">
        <v>94</v>
      </c>
      <c r="X92" s="27" t="s">
        <v>95</v>
      </c>
      <c r="Y92" s="28">
        <v>42235</v>
      </c>
      <c r="Z92" s="27" t="s">
        <v>64</v>
      </c>
      <c r="AA92" s="28">
        <v>42228</v>
      </c>
      <c r="AB92" s="27" t="s">
        <v>100</v>
      </c>
      <c r="AC92" s="27">
        <v>61964677</v>
      </c>
      <c r="AD92" s="28">
        <v>42240</v>
      </c>
      <c r="AE92" s="27" t="s">
        <v>183</v>
      </c>
      <c r="AF92" s="27">
        <v>3511784931</v>
      </c>
      <c r="AG92" s="27" t="s">
        <v>96</v>
      </c>
      <c r="AH92" s="27" t="s">
        <v>334</v>
      </c>
    </row>
    <row r="93" spans="1:34" x14ac:dyDescent="0.2">
      <c r="A93" s="27">
        <v>10018889</v>
      </c>
      <c r="B93" s="27" t="s">
        <v>18</v>
      </c>
      <c r="C93" s="27" t="s">
        <v>78</v>
      </c>
      <c r="D93" s="28">
        <v>42228</v>
      </c>
      <c r="E93" s="27">
        <v>93473293</v>
      </c>
      <c r="F93" s="28">
        <v>42223</v>
      </c>
      <c r="G93" s="27"/>
      <c r="H93" s="27">
        <v>1201675</v>
      </c>
      <c r="I93" s="27" t="s">
        <v>165</v>
      </c>
      <c r="J93" s="27">
        <v>1201675</v>
      </c>
      <c r="K93" s="27" t="s">
        <v>165</v>
      </c>
      <c r="L93" s="27">
        <v>1172015</v>
      </c>
      <c r="M93" s="27" t="s">
        <v>165</v>
      </c>
      <c r="N93" s="27" t="s">
        <v>335</v>
      </c>
      <c r="O93" s="27"/>
      <c r="P93" s="27"/>
      <c r="Q93" s="27" t="s">
        <v>181</v>
      </c>
      <c r="R93" s="27" t="s">
        <v>102</v>
      </c>
      <c r="S93" s="27" t="s">
        <v>103</v>
      </c>
      <c r="T93" s="27">
        <v>257.56</v>
      </c>
      <c r="U93" s="27" t="s">
        <v>182</v>
      </c>
      <c r="V93" s="27" t="s">
        <v>69</v>
      </c>
      <c r="W93" s="27" t="s">
        <v>70</v>
      </c>
      <c r="X93" s="27" t="s">
        <v>76</v>
      </c>
      <c r="Y93" s="28">
        <v>42229</v>
      </c>
      <c r="Z93" s="27" t="s">
        <v>64</v>
      </c>
      <c r="AA93" s="28">
        <v>42228</v>
      </c>
      <c r="AB93" s="27" t="s">
        <v>100</v>
      </c>
      <c r="AC93" s="27">
        <v>61978293</v>
      </c>
      <c r="AD93" s="28">
        <v>42257</v>
      </c>
      <c r="AE93" s="27" t="s">
        <v>183</v>
      </c>
      <c r="AF93" s="27">
        <v>636808570732</v>
      </c>
      <c r="AG93" s="27" t="s">
        <v>77</v>
      </c>
      <c r="AH93" s="27" t="s">
        <v>191</v>
      </c>
    </row>
    <row r="94" spans="1:34" x14ac:dyDescent="0.2">
      <c r="A94" s="27">
        <v>10018891</v>
      </c>
      <c r="B94" s="27" t="s">
        <v>26</v>
      </c>
      <c r="C94" s="27" t="s">
        <v>78</v>
      </c>
      <c r="D94" s="28">
        <v>42228</v>
      </c>
      <c r="E94" s="27">
        <v>93471170</v>
      </c>
      <c r="F94" s="28">
        <v>42222</v>
      </c>
      <c r="G94" s="27"/>
      <c r="H94" s="27">
        <v>1201047</v>
      </c>
      <c r="I94" s="27" t="s">
        <v>79</v>
      </c>
      <c r="J94" s="27">
        <v>1311011</v>
      </c>
      <c r="K94" s="27" t="s">
        <v>85</v>
      </c>
      <c r="L94" s="27">
        <v>1171089</v>
      </c>
      <c r="M94" s="27" t="s">
        <v>75</v>
      </c>
      <c r="N94" s="27">
        <v>19618349</v>
      </c>
      <c r="O94" s="27"/>
      <c r="P94" s="27"/>
      <c r="Q94" s="27" t="s">
        <v>181</v>
      </c>
      <c r="R94" s="27" t="s">
        <v>86</v>
      </c>
      <c r="S94" s="27" t="s">
        <v>87</v>
      </c>
      <c r="T94" s="27">
        <v>3110.4</v>
      </c>
      <c r="U94" s="27" t="s">
        <v>182</v>
      </c>
      <c r="V94" s="27" t="s">
        <v>69</v>
      </c>
      <c r="W94" s="27" t="s">
        <v>94</v>
      </c>
      <c r="X94" s="27" t="s">
        <v>95</v>
      </c>
      <c r="Y94" s="28">
        <v>42234</v>
      </c>
      <c r="Z94" s="27" t="s">
        <v>83</v>
      </c>
      <c r="AA94" s="28">
        <v>42243</v>
      </c>
      <c r="AB94" s="27" t="s">
        <v>100</v>
      </c>
      <c r="AC94" s="27">
        <v>61970038</v>
      </c>
      <c r="AD94" s="28">
        <v>42244</v>
      </c>
      <c r="AE94" s="27" t="s">
        <v>183</v>
      </c>
      <c r="AF94" s="27" t="s">
        <v>336</v>
      </c>
      <c r="AG94" s="27" t="s">
        <v>96</v>
      </c>
      <c r="AH94" s="27" t="s">
        <v>337</v>
      </c>
    </row>
    <row r="95" spans="1:34" x14ac:dyDescent="0.2">
      <c r="A95" s="27">
        <v>10018892</v>
      </c>
      <c r="B95" s="27" t="s">
        <v>18</v>
      </c>
      <c r="C95" s="27" t="s">
        <v>252</v>
      </c>
      <c r="D95" s="28">
        <v>42228</v>
      </c>
      <c r="E95" s="27">
        <v>93467533</v>
      </c>
      <c r="F95" s="28">
        <v>42220</v>
      </c>
      <c r="G95" s="28">
        <v>42222</v>
      </c>
      <c r="H95" s="27">
        <v>1201315</v>
      </c>
      <c r="I95" s="27" t="s">
        <v>256</v>
      </c>
      <c r="J95" s="27">
        <v>1319408</v>
      </c>
      <c r="K95" s="27" t="s">
        <v>256</v>
      </c>
      <c r="L95" s="27">
        <v>1201315</v>
      </c>
      <c r="M95" s="27" t="s">
        <v>256</v>
      </c>
      <c r="N95" s="27">
        <v>5590043</v>
      </c>
      <c r="O95" s="27"/>
      <c r="P95" s="27"/>
      <c r="Q95" s="27" t="s">
        <v>181</v>
      </c>
      <c r="R95" s="27" t="s">
        <v>67</v>
      </c>
      <c r="S95" s="27" t="s">
        <v>68</v>
      </c>
      <c r="T95" s="27">
        <v>5470.56</v>
      </c>
      <c r="U95" s="27" t="s">
        <v>182</v>
      </c>
      <c r="V95" s="27" t="s">
        <v>69</v>
      </c>
      <c r="W95" s="27" t="s">
        <v>70</v>
      </c>
      <c r="X95" s="27" t="s">
        <v>76</v>
      </c>
      <c r="Y95" s="28">
        <v>42235</v>
      </c>
      <c r="Z95" s="27" t="s">
        <v>83</v>
      </c>
      <c r="AA95" s="28">
        <v>42230</v>
      </c>
      <c r="AB95" s="27" t="s">
        <v>100</v>
      </c>
      <c r="AC95" s="27">
        <v>61967141</v>
      </c>
      <c r="AD95" s="28">
        <v>42242</v>
      </c>
      <c r="AE95" s="27" t="s">
        <v>183</v>
      </c>
      <c r="AF95" s="27">
        <v>3511782540</v>
      </c>
      <c r="AG95" s="27" t="s">
        <v>77</v>
      </c>
      <c r="AH95" s="27" t="s">
        <v>338</v>
      </c>
    </row>
    <row r="96" spans="1:34" x14ac:dyDescent="0.2">
      <c r="A96" s="27">
        <v>10018897</v>
      </c>
      <c r="B96" s="27" t="s">
        <v>26</v>
      </c>
      <c r="C96" s="27" t="s">
        <v>78</v>
      </c>
      <c r="D96" s="28">
        <v>42229</v>
      </c>
      <c r="E96" s="27">
        <v>93465938</v>
      </c>
      <c r="F96" s="28">
        <v>42219</v>
      </c>
      <c r="G96" s="27"/>
      <c r="H96" s="27">
        <v>1201047</v>
      </c>
      <c r="I96" s="27" t="s">
        <v>79</v>
      </c>
      <c r="J96" s="27">
        <v>1317086</v>
      </c>
      <c r="K96" s="27" t="s">
        <v>85</v>
      </c>
      <c r="L96" s="27">
        <v>1171089</v>
      </c>
      <c r="M96" s="27" t="s">
        <v>75</v>
      </c>
      <c r="N96" s="27">
        <v>23602525</v>
      </c>
      <c r="O96" s="27"/>
      <c r="P96" s="27"/>
      <c r="Q96" s="27" t="s">
        <v>181</v>
      </c>
      <c r="R96" s="27" t="s">
        <v>97</v>
      </c>
      <c r="S96" s="27" t="s">
        <v>98</v>
      </c>
      <c r="T96" s="27">
        <v>13344.48</v>
      </c>
      <c r="U96" s="27" t="s">
        <v>182</v>
      </c>
      <c r="V96" s="27" t="s">
        <v>63</v>
      </c>
      <c r="W96" s="27" t="s">
        <v>81</v>
      </c>
      <c r="X96" s="27" t="s">
        <v>88</v>
      </c>
      <c r="Y96" s="28">
        <v>42244</v>
      </c>
      <c r="Z96" s="27"/>
      <c r="AA96" s="27"/>
      <c r="AB96" s="27"/>
      <c r="AC96" s="27"/>
      <c r="AD96" s="27"/>
      <c r="AE96" s="27" t="s">
        <v>183</v>
      </c>
      <c r="AF96" s="27" t="s">
        <v>339</v>
      </c>
      <c r="AG96" s="27" t="s">
        <v>89</v>
      </c>
      <c r="AH96" s="27" t="s">
        <v>340</v>
      </c>
    </row>
    <row r="97" spans="1:34" x14ac:dyDescent="0.2">
      <c r="A97" s="27">
        <v>10018898</v>
      </c>
      <c r="B97" s="27" t="s">
        <v>26</v>
      </c>
      <c r="C97" s="27" t="s">
        <v>78</v>
      </c>
      <c r="D97" s="28">
        <v>42229</v>
      </c>
      <c r="E97" s="27">
        <v>93475259</v>
      </c>
      <c r="F97" s="28">
        <v>42226</v>
      </c>
      <c r="G97" s="27"/>
      <c r="H97" s="27">
        <v>1318826</v>
      </c>
      <c r="I97" s="27" t="s">
        <v>110</v>
      </c>
      <c r="J97" s="27">
        <v>1334311</v>
      </c>
      <c r="K97" s="27" t="s">
        <v>113</v>
      </c>
      <c r="L97" s="27">
        <v>1318826</v>
      </c>
      <c r="M97" s="27" t="s">
        <v>110</v>
      </c>
      <c r="N97" s="27">
        <v>2048510</v>
      </c>
      <c r="O97" s="27"/>
      <c r="P97" s="27"/>
      <c r="Q97" s="27" t="s">
        <v>181</v>
      </c>
      <c r="R97" s="27" t="s">
        <v>102</v>
      </c>
      <c r="S97" s="27" t="s">
        <v>103</v>
      </c>
      <c r="T97" s="27">
        <v>1180.8</v>
      </c>
      <c r="U97" s="27" t="s">
        <v>182</v>
      </c>
      <c r="V97" s="27" t="s">
        <v>63</v>
      </c>
      <c r="W97" s="27" t="s">
        <v>94</v>
      </c>
      <c r="X97" s="27" t="s">
        <v>95</v>
      </c>
      <c r="Y97" s="28">
        <v>42234</v>
      </c>
      <c r="Z97" s="27" t="s">
        <v>83</v>
      </c>
      <c r="AA97" s="28">
        <v>42243</v>
      </c>
      <c r="AB97" s="27"/>
      <c r="AC97" s="27"/>
      <c r="AD97" s="27"/>
      <c r="AE97" s="27" t="s">
        <v>183</v>
      </c>
      <c r="AF97" s="27" t="s">
        <v>341</v>
      </c>
      <c r="AG97" s="27" t="s">
        <v>96</v>
      </c>
      <c r="AH97" s="27" t="s">
        <v>337</v>
      </c>
    </row>
    <row r="98" spans="1:34" x14ac:dyDescent="0.2">
      <c r="A98" s="27">
        <v>10018899</v>
      </c>
      <c r="B98" s="27" t="s">
        <v>18</v>
      </c>
      <c r="C98" s="27" t="s">
        <v>78</v>
      </c>
      <c r="D98" s="28">
        <v>42229</v>
      </c>
      <c r="E98" s="27">
        <v>93476461</v>
      </c>
      <c r="F98" s="28">
        <v>42227</v>
      </c>
      <c r="G98" s="27"/>
      <c r="H98" s="27">
        <v>1201731</v>
      </c>
      <c r="I98" s="27" t="s">
        <v>342</v>
      </c>
      <c r="J98" s="27">
        <v>1319945</v>
      </c>
      <c r="K98" s="27" t="s">
        <v>343</v>
      </c>
      <c r="L98" s="27">
        <v>1171089</v>
      </c>
      <c r="M98" s="27" t="s">
        <v>75</v>
      </c>
      <c r="N98" s="27">
        <v>300072310</v>
      </c>
      <c r="O98" s="27"/>
      <c r="P98" s="27"/>
      <c r="Q98" s="27" t="s">
        <v>181</v>
      </c>
      <c r="R98" s="27" t="s">
        <v>102</v>
      </c>
      <c r="S98" s="27" t="s">
        <v>103</v>
      </c>
      <c r="T98" s="27">
        <v>2226</v>
      </c>
      <c r="U98" s="27" t="s">
        <v>182</v>
      </c>
      <c r="V98" s="27" t="s">
        <v>69</v>
      </c>
      <c r="W98" s="27" t="s">
        <v>70</v>
      </c>
      <c r="X98" s="27" t="s">
        <v>76</v>
      </c>
      <c r="Y98" s="28">
        <v>42235</v>
      </c>
      <c r="Z98" s="27" t="s">
        <v>83</v>
      </c>
      <c r="AA98" s="28">
        <v>42230</v>
      </c>
      <c r="AB98" s="27" t="s">
        <v>100</v>
      </c>
      <c r="AC98" s="27">
        <v>61981603</v>
      </c>
      <c r="AD98" s="28">
        <v>42262</v>
      </c>
      <c r="AE98" s="27" t="s">
        <v>183</v>
      </c>
      <c r="AF98" s="27" t="s">
        <v>344</v>
      </c>
      <c r="AG98" s="27" t="s">
        <v>77</v>
      </c>
      <c r="AH98" s="27" t="s">
        <v>345</v>
      </c>
    </row>
    <row r="99" spans="1:34" x14ac:dyDescent="0.2">
      <c r="A99" s="27">
        <v>10018900</v>
      </c>
      <c r="B99" s="27" t="s">
        <v>18</v>
      </c>
      <c r="C99" s="27" t="s">
        <v>78</v>
      </c>
      <c r="D99" s="28">
        <v>42229</v>
      </c>
      <c r="E99" s="27">
        <v>93474628</v>
      </c>
      <c r="F99" s="28">
        <v>42226</v>
      </c>
      <c r="G99" s="28">
        <v>42228</v>
      </c>
      <c r="H99" s="27">
        <v>1022013</v>
      </c>
      <c r="I99" s="27" t="s">
        <v>114</v>
      </c>
      <c r="J99" s="27">
        <v>1335507</v>
      </c>
      <c r="K99" s="27" t="s">
        <v>114</v>
      </c>
      <c r="L99" s="27">
        <v>1022013</v>
      </c>
      <c r="M99" s="27" t="s">
        <v>114</v>
      </c>
      <c r="N99" s="27">
        <v>74344</v>
      </c>
      <c r="O99" s="27"/>
      <c r="P99" s="27"/>
      <c r="Q99" s="27" t="s">
        <v>181</v>
      </c>
      <c r="R99" s="27" t="s">
        <v>67</v>
      </c>
      <c r="S99" s="27" t="s">
        <v>68</v>
      </c>
      <c r="T99" s="27">
        <v>27.43</v>
      </c>
      <c r="U99" s="27" t="s">
        <v>182</v>
      </c>
      <c r="V99" s="27" t="s">
        <v>69</v>
      </c>
      <c r="W99" s="27" t="s">
        <v>70</v>
      </c>
      <c r="X99" s="27" t="s">
        <v>76</v>
      </c>
      <c r="Y99" s="28">
        <v>42235</v>
      </c>
      <c r="Z99" s="27" t="s">
        <v>64</v>
      </c>
      <c r="AA99" s="28">
        <v>42229</v>
      </c>
      <c r="AB99" s="27" t="s">
        <v>100</v>
      </c>
      <c r="AC99" s="27">
        <v>61982254</v>
      </c>
      <c r="AD99" s="28">
        <v>42263</v>
      </c>
      <c r="AE99" s="27" t="s">
        <v>183</v>
      </c>
      <c r="AF99" s="27">
        <v>3511785642</v>
      </c>
      <c r="AG99" s="27" t="s">
        <v>77</v>
      </c>
      <c r="AH99" s="27" t="s">
        <v>346</v>
      </c>
    </row>
    <row r="100" spans="1:34" x14ac:dyDescent="0.2">
      <c r="A100" s="27">
        <v>10018901</v>
      </c>
      <c r="B100" s="27" t="s">
        <v>26</v>
      </c>
      <c r="C100" s="27" t="s">
        <v>78</v>
      </c>
      <c r="D100" s="28">
        <v>42229</v>
      </c>
      <c r="E100" s="27">
        <v>93469530</v>
      </c>
      <c r="F100" s="28">
        <v>42221</v>
      </c>
      <c r="G100" s="27"/>
      <c r="H100" s="27">
        <v>1201047</v>
      </c>
      <c r="I100" s="27" t="s">
        <v>79</v>
      </c>
      <c r="J100" s="27">
        <v>1051549</v>
      </c>
      <c r="K100" s="27" t="s">
        <v>85</v>
      </c>
      <c r="L100" s="27">
        <v>1171089</v>
      </c>
      <c r="M100" s="27" t="s">
        <v>75</v>
      </c>
      <c r="N100" s="27">
        <v>12903844</v>
      </c>
      <c r="O100" s="27"/>
      <c r="P100" s="27"/>
      <c r="Q100" s="27" t="s">
        <v>181</v>
      </c>
      <c r="R100" s="27" t="s">
        <v>102</v>
      </c>
      <c r="S100" s="27" t="s">
        <v>103</v>
      </c>
      <c r="T100" s="27">
        <v>1530.12</v>
      </c>
      <c r="U100" s="27" t="s">
        <v>182</v>
      </c>
      <c r="V100" s="27" t="s">
        <v>63</v>
      </c>
      <c r="W100" s="27" t="s">
        <v>81</v>
      </c>
      <c r="X100" s="27" t="s">
        <v>88</v>
      </c>
      <c r="Y100" s="28">
        <v>42234</v>
      </c>
      <c r="Z100" s="27"/>
      <c r="AA100" s="27"/>
      <c r="AB100" s="27"/>
      <c r="AC100" s="27"/>
      <c r="AD100" s="27"/>
      <c r="AE100" s="27" t="s">
        <v>183</v>
      </c>
      <c r="AF100" s="27" t="s">
        <v>347</v>
      </c>
      <c r="AG100" s="27" t="s">
        <v>89</v>
      </c>
      <c r="AH100" s="27" t="s">
        <v>348</v>
      </c>
    </row>
    <row r="101" spans="1:34" x14ac:dyDescent="0.2">
      <c r="A101" s="27">
        <v>10018902</v>
      </c>
      <c r="B101" s="27"/>
      <c r="C101" s="27" t="s">
        <v>78</v>
      </c>
      <c r="D101" s="28">
        <v>42229</v>
      </c>
      <c r="E101" s="27">
        <v>93463854</v>
      </c>
      <c r="F101" s="28">
        <v>42216</v>
      </c>
      <c r="G101" s="28">
        <v>42221</v>
      </c>
      <c r="H101" s="27">
        <v>1201156</v>
      </c>
      <c r="I101" s="27" t="s">
        <v>131</v>
      </c>
      <c r="J101" s="27">
        <v>1308906</v>
      </c>
      <c r="K101" s="27" t="s">
        <v>349</v>
      </c>
      <c r="L101" s="27">
        <v>1201156</v>
      </c>
      <c r="M101" s="27" t="s">
        <v>131</v>
      </c>
      <c r="N101" s="27">
        <v>5311343</v>
      </c>
      <c r="O101" s="27"/>
      <c r="P101" s="27"/>
      <c r="Q101" s="27" t="s">
        <v>181</v>
      </c>
      <c r="R101" s="27" t="s">
        <v>61</v>
      </c>
      <c r="S101" s="27" t="s">
        <v>62</v>
      </c>
      <c r="T101" s="27">
        <v>19.670000000000002</v>
      </c>
      <c r="U101" s="27" t="s">
        <v>182</v>
      </c>
      <c r="V101" s="27" t="s">
        <v>120</v>
      </c>
      <c r="W101" s="27"/>
      <c r="X101" s="27"/>
      <c r="Y101" s="27"/>
      <c r="Z101" s="27"/>
      <c r="AA101" s="27"/>
      <c r="AB101" s="27"/>
      <c r="AC101" s="27"/>
      <c r="AD101" s="27"/>
      <c r="AE101" s="27" t="s">
        <v>183</v>
      </c>
      <c r="AF101" s="27">
        <v>327755235</v>
      </c>
      <c r="AG101" s="27"/>
      <c r="AH101" s="27"/>
    </row>
    <row r="102" spans="1:34" x14ac:dyDescent="0.2">
      <c r="A102" s="27">
        <v>10018904</v>
      </c>
      <c r="B102" s="27" t="s">
        <v>21</v>
      </c>
      <c r="C102" s="27" t="s">
        <v>78</v>
      </c>
      <c r="D102" s="28">
        <v>42229</v>
      </c>
      <c r="E102" s="27">
        <v>93467580</v>
      </c>
      <c r="F102" s="28">
        <v>42220</v>
      </c>
      <c r="G102" s="27"/>
      <c r="H102" s="27">
        <v>1201399</v>
      </c>
      <c r="I102" s="27" t="s">
        <v>144</v>
      </c>
      <c r="J102" s="27">
        <v>1170569</v>
      </c>
      <c r="K102" s="27" t="s">
        <v>350</v>
      </c>
      <c r="L102" s="27">
        <v>1171970</v>
      </c>
      <c r="M102" s="27" t="s">
        <v>144</v>
      </c>
      <c r="N102" s="27" t="s">
        <v>351</v>
      </c>
      <c r="O102" s="27"/>
      <c r="P102" s="27"/>
      <c r="Q102" s="27" t="s">
        <v>181</v>
      </c>
      <c r="R102" s="27" t="s">
        <v>97</v>
      </c>
      <c r="S102" s="27" t="s">
        <v>98</v>
      </c>
      <c r="T102" s="27">
        <v>4032</v>
      </c>
      <c r="U102" s="27" t="s">
        <v>182</v>
      </c>
      <c r="V102" s="27" t="s">
        <v>69</v>
      </c>
      <c r="W102" s="27" t="s">
        <v>104</v>
      </c>
      <c r="X102" s="27" t="s">
        <v>71</v>
      </c>
      <c r="Y102" s="28">
        <v>42242</v>
      </c>
      <c r="Z102" s="27" t="s">
        <v>64</v>
      </c>
      <c r="AA102" s="28">
        <v>42229</v>
      </c>
      <c r="AB102" s="27" t="s">
        <v>72</v>
      </c>
      <c r="AC102" s="27">
        <v>61968403</v>
      </c>
      <c r="AD102" s="28">
        <v>42243</v>
      </c>
      <c r="AE102" s="27" t="s">
        <v>183</v>
      </c>
      <c r="AF102" s="27">
        <v>87944972364052</v>
      </c>
      <c r="AG102" s="27" t="s">
        <v>352</v>
      </c>
      <c r="AH102" s="27" t="s">
        <v>353</v>
      </c>
    </row>
    <row r="103" spans="1:34" x14ac:dyDescent="0.2">
      <c r="A103" s="27">
        <v>10018905</v>
      </c>
      <c r="B103" s="27" t="s">
        <v>18</v>
      </c>
      <c r="C103" s="27" t="s">
        <v>78</v>
      </c>
      <c r="D103" s="28">
        <v>42229</v>
      </c>
      <c r="E103" s="27">
        <v>93471115</v>
      </c>
      <c r="F103" s="28">
        <v>42222</v>
      </c>
      <c r="G103" s="27"/>
      <c r="H103" s="27">
        <v>1201047</v>
      </c>
      <c r="I103" s="27" t="s">
        <v>79</v>
      </c>
      <c r="J103" s="27">
        <v>1022214</v>
      </c>
      <c r="K103" s="27" t="s">
        <v>80</v>
      </c>
      <c r="L103" s="27">
        <v>1171089</v>
      </c>
      <c r="M103" s="27" t="s">
        <v>75</v>
      </c>
      <c r="N103" s="27">
        <v>4736374</v>
      </c>
      <c r="O103" s="27"/>
      <c r="P103" s="27"/>
      <c r="Q103" s="27" t="s">
        <v>181</v>
      </c>
      <c r="R103" s="27" t="s">
        <v>102</v>
      </c>
      <c r="S103" s="27" t="s">
        <v>103</v>
      </c>
      <c r="T103" s="27">
        <v>178.08</v>
      </c>
      <c r="U103" s="27" t="s">
        <v>182</v>
      </c>
      <c r="V103" s="27" t="s">
        <v>69</v>
      </c>
      <c r="W103" s="27" t="s">
        <v>70</v>
      </c>
      <c r="X103" s="27" t="s">
        <v>76</v>
      </c>
      <c r="Y103" s="28">
        <v>42235</v>
      </c>
      <c r="Z103" s="27" t="s">
        <v>64</v>
      </c>
      <c r="AA103" s="28">
        <v>42229</v>
      </c>
      <c r="AB103" s="27" t="s">
        <v>100</v>
      </c>
      <c r="AC103" s="27">
        <v>61980666</v>
      </c>
      <c r="AD103" s="28">
        <v>42261</v>
      </c>
      <c r="AE103" s="27" t="s">
        <v>183</v>
      </c>
      <c r="AF103" s="27" t="s">
        <v>354</v>
      </c>
      <c r="AG103" s="27" t="s">
        <v>77</v>
      </c>
      <c r="AH103" s="27" t="s">
        <v>355</v>
      </c>
    </row>
    <row r="104" spans="1:34" x14ac:dyDescent="0.2">
      <c r="A104" s="27">
        <v>10018906</v>
      </c>
      <c r="B104" s="27" t="s">
        <v>26</v>
      </c>
      <c r="C104" s="27" t="s">
        <v>78</v>
      </c>
      <c r="D104" s="28">
        <v>42229</v>
      </c>
      <c r="E104" s="27">
        <v>93475131</v>
      </c>
      <c r="F104" s="28">
        <v>42226</v>
      </c>
      <c r="G104" s="28">
        <v>42228</v>
      </c>
      <c r="H104" s="27">
        <v>1201605</v>
      </c>
      <c r="I104" s="27" t="s">
        <v>155</v>
      </c>
      <c r="J104" s="27">
        <v>1310002</v>
      </c>
      <c r="K104" s="27" t="s">
        <v>155</v>
      </c>
      <c r="L104" s="27">
        <v>1172017</v>
      </c>
      <c r="M104" s="27" t="s">
        <v>156</v>
      </c>
      <c r="N104" s="27">
        <v>525788</v>
      </c>
      <c r="O104" s="27"/>
      <c r="P104" s="27"/>
      <c r="Q104" s="27" t="s">
        <v>181</v>
      </c>
      <c r="R104" s="27" t="s">
        <v>67</v>
      </c>
      <c r="S104" s="27" t="s">
        <v>68</v>
      </c>
      <c r="T104" s="27">
        <v>26.95</v>
      </c>
      <c r="U104" s="27" t="s">
        <v>182</v>
      </c>
      <c r="V104" s="27" t="s">
        <v>63</v>
      </c>
      <c r="W104" s="27" t="s">
        <v>105</v>
      </c>
      <c r="X104" s="27" t="s">
        <v>82</v>
      </c>
      <c r="Y104" s="28">
        <v>42247</v>
      </c>
      <c r="Z104" s="27" t="s">
        <v>64</v>
      </c>
      <c r="AA104" s="28">
        <v>42229</v>
      </c>
      <c r="AB104" s="27"/>
      <c r="AC104" s="27"/>
      <c r="AD104" s="27"/>
      <c r="AE104" s="27" t="s">
        <v>183</v>
      </c>
      <c r="AF104" s="27">
        <v>3511785561</v>
      </c>
      <c r="AG104" s="27" t="s">
        <v>89</v>
      </c>
      <c r="AH104" s="27" t="s">
        <v>356</v>
      </c>
    </row>
    <row r="105" spans="1:34" x14ac:dyDescent="0.2">
      <c r="A105" s="27">
        <v>10018907</v>
      </c>
      <c r="B105" s="27" t="s">
        <v>18</v>
      </c>
      <c r="C105" s="27" t="s">
        <v>78</v>
      </c>
      <c r="D105" s="28">
        <v>42229</v>
      </c>
      <c r="E105" s="27">
        <v>93463644</v>
      </c>
      <c r="F105" s="28">
        <v>42216</v>
      </c>
      <c r="G105" s="28">
        <v>42221</v>
      </c>
      <c r="H105" s="27">
        <v>1201014</v>
      </c>
      <c r="I105" s="27" t="s">
        <v>58</v>
      </c>
      <c r="J105" s="27">
        <v>1334901</v>
      </c>
      <c r="K105" s="27" t="s">
        <v>59</v>
      </c>
      <c r="L105" s="27">
        <v>1021986</v>
      </c>
      <c r="M105" s="27" t="s">
        <v>60</v>
      </c>
      <c r="N105" s="27">
        <v>220199601</v>
      </c>
      <c r="O105" s="27"/>
      <c r="P105" s="27"/>
      <c r="Q105" s="27" t="s">
        <v>181</v>
      </c>
      <c r="R105" s="27" t="s">
        <v>61</v>
      </c>
      <c r="S105" s="27" t="s">
        <v>62</v>
      </c>
      <c r="T105" s="27">
        <v>1396.68</v>
      </c>
      <c r="U105" s="27" t="s">
        <v>182</v>
      </c>
      <c r="V105" s="27" t="s">
        <v>69</v>
      </c>
      <c r="W105" s="27" t="s">
        <v>70</v>
      </c>
      <c r="X105" s="27" t="s">
        <v>76</v>
      </c>
      <c r="Y105" s="28">
        <v>42235</v>
      </c>
      <c r="Z105" s="27" t="s">
        <v>83</v>
      </c>
      <c r="AA105" s="28">
        <v>42233</v>
      </c>
      <c r="AB105" s="27" t="s">
        <v>100</v>
      </c>
      <c r="AC105" s="27">
        <v>61982256</v>
      </c>
      <c r="AD105" s="28">
        <v>42263</v>
      </c>
      <c r="AE105" s="27" t="s">
        <v>183</v>
      </c>
      <c r="AF105" s="27">
        <v>327755240</v>
      </c>
      <c r="AG105" s="27" t="s">
        <v>77</v>
      </c>
      <c r="AH105" s="27" t="s">
        <v>357</v>
      </c>
    </row>
    <row r="106" spans="1:34" x14ac:dyDescent="0.2">
      <c r="A106" s="27">
        <v>10018908</v>
      </c>
      <c r="B106" s="27" t="s">
        <v>26</v>
      </c>
      <c r="C106" s="27" t="s">
        <v>78</v>
      </c>
      <c r="D106" s="28">
        <v>42229</v>
      </c>
      <c r="E106" s="27">
        <v>93473079</v>
      </c>
      <c r="F106" s="28">
        <v>42223</v>
      </c>
      <c r="G106" s="28">
        <v>42227</v>
      </c>
      <c r="H106" s="27">
        <v>1201047</v>
      </c>
      <c r="I106" s="27" t="s">
        <v>79</v>
      </c>
      <c r="J106" s="27">
        <v>1321618</v>
      </c>
      <c r="K106" s="27" t="s">
        <v>85</v>
      </c>
      <c r="L106" s="27">
        <v>1171089</v>
      </c>
      <c r="M106" s="27" t="s">
        <v>75</v>
      </c>
      <c r="N106" s="27">
        <v>55517945</v>
      </c>
      <c r="O106" s="27"/>
      <c r="P106" s="27"/>
      <c r="Q106" s="27" t="s">
        <v>181</v>
      </c>
      <c r="R106" s="27" t="s">
        <v>67</v>
      </c>
      <c r="S106" s="27" t="s">
        <v>68</v>
      </c>
      <c r="T106" s="27">
        <v>1602</v>
      </c>
      <c r="U106" s="27" t="s">
        <v>182</v>
      </c>
      <c r="V106" s="27" t="s">
        <v>69</v>
      </c>
      <c r="W106" s="27" t="s">
        <v>94</v>
      </c>
      <c r="X106" s="27" t="s">
        <v>95</v>
      </c>
      <c r="Y106" s="28">
        <v>42244</v>
      </c>
      <c r="Z106" s="27" t="s">
        <v>83</v>
      </c>
      <c r="AA106" s="28">
        <v>42249</v>
      </c>
      <c r="AB106" s="27" t="s">
        <v>100</v>
      </c>
      <c r="AC106" s="27">
        <v>61980643</v>
      </c>
      <c r="AD106" s="28">
        <v>42261</v>
      </c>
      <c r="AE106" s="27" t="s">
        <v>183</v>
      </c>
      <c r="AF106" s="27">
        <v>3511785281</v>
      </c>
      <c r="AG106" s="27" t="s">
        <v>96</v>
      </c>
      <c r="AH106" s="27" t="s">
        <v>358</v>
      </c>
    </row>
    <row r="107" spans="1:34" x14ac:dyDescent="0.2">
      <c r="A107" s="27">
        <v>10018909</v>
      </c>
      <c r="B107" s="27" t="s">
        <v>26</v>
      </c>
      <c r="C107" s="27" t="s">
        <v>252</v>
      </c>
      <c r="D107" s="28">
        <v>42229</v>
      </c>
      <c r="E107" s="27">
        <v>93467533</v>
      </c>
      <c r="F107" s="28">
        <v>42220</v>
      </c>
      <c r="G107" s="28">
        <v>42222</v>
      </c>
      <c r="H107" s="27">
        <v>1201315</v>
      </c>
      <c r="I107" s="27" t="s">
        <v>256</v>
      </c>
      <c r="J107" s="27">
        <v>1319408</v>
      </c>
      <c r="K107" s="27" t="s">
        <v>256</v>
      </c>
      <c r="L107" s="27">
        <v>1201315</v>
      </c>
      <c r="M107" s="27" t="s">
        <v>256</v>
      </c>
      <c r="N107" s="27">
        <v>5590043</v>
      </c>
      <c r="O107" s="27"/>
      <c r="P107" s="27"/>
      <c r="Q107" s="27" t="s">
        <v>181</v>
      </c>
      <c r="R107" s="27" t="s">
        <v>67</v>
      </c>
      <c r="S107" s="27" t="s">
        <v>68</v>
      </c>
      <c r="T107" s="27">
        <v>384</v>
      </c>
      <c r="U107" s="27" t="s">
        <v>182</v>
      </c>
      <c r="V107" s="27" t="s">
        <v>63</v>
      </c>
      <c r="W107" s="27" t="s">
        <v>81</v>
      </c>
      <c r="X107" s="27" t="s">
        <v>88</v>
      </c>
      <c r="Y107" s="28">
        <v>42247</v>
      </c>
      <c r="Z107" s="27" t="s">
        <v>64</v>
      </c>
      <c r="AA107" s="28">
        <v>42229</v>
      </c>
      <c r="AB107" s="27"/>
      <c r="AC107" s="27"/>
      <c r="AD107" s="27"/>
      <c r="AE107" s="27" t="s">
        <v>183</v>
      </c>
      <c r="AF107" s="27">
        <v>3511782540</v>
      </c>
      <c r="AG107" s="27" t="s">
        <v>89</v>
      </c>
      <c r="AH107" s="27" t="s">
        <v>274</v>
      </c>
    </row>
    <row r="108" spans="1:34" x14ac:dyDescent="0.2">
      <c r="A108" s="27">
        <v>10018910</v>
      </c>
      <c r="B108" s="27" t="s">
        <v>26</v>
      </c>
      <c r="C108" s="27" t="s">
        <v>78</v>
      </c>
      <c r="D108" s="28">
        <v>42229</v>
      </c>
      <c r="E108" s="27">
        <v>93469997</v>
      </c>
      <c r="F108" s="28">
        <v>42221</v>
      </c>
      <c r="G108" s="28">
        <v>42223</v>
      </c>
      <c r="H108" s="27">
        <v>1201540</v>
      </c>
      <c r="I108" s="27" t="s">
        <v>150</v>
      </c>
      <c r="J108" s="27">
        <v>1312297</v>
      </c>
      <c r="K108" s="27" t="s">
        <v>151</v>
      </c>
      <c r="L108" s="27">
        <v>1201540</v>
      </c>
      <c r="M108" s="27" t="s">
        <v>150</v>
      </c>
      <c r="N108" s="27" t="s">
        <v>234</v>
      </c>
      <c r="O108" s="27"/>
      <c r="P108" s="27"/>
      <c r="Q108" s="27" t="s">
        <v>181</v>
      </c>
      <c r="R108" s="27" t="s">
        <v>67</v>
      </c>
      <c r="S108" s="27" t="s">
        <v>68</v>
      </c>
      <c r="T108" s="27">
        <v>1166.1600000000001</v>
      </c>
      <c r="U108" s="27" t="s">
        <v>182</v>
      </c>
      <c r="V108" s="27" t="s">
        <v>63</v>
      </c>
      <c r="W108" s="27" t="s">
        <v>81</v>
      </c>
      <c r="X108" s="27" t="s">
        <v>88</v>
      </c>
      <c r="Y108" s="28">
        <v>42248</v>
      </c>
      <c r="Z108" s="27"/>
      <c r="AA108" s="27"/>
      <c r="AB108" s="27"/>
      <c r="AC108" s="27"/>
      <c r="AD108" s="27"/>
      <c r="AE108" s="27" t="s">
        <v>183</v>
      </c>
      <c r="AF108" s="27">
        <v>3511784931</v>
      </c>
      <c r="AG108" s="27" t="s">
        <v>89</v>
      </c>
      <c r="AH108" s="27" t="s">
        <v>359</v>
      </c>
    </row>
    <row r="109" spans="1:34" x14ac:dyDescent="0.2">
      <c r="A109" s="27">
        <v>10018911</v>
      </c>
      <c r="B109" s="27" t="s">
        <v>18</v>
      </c>
      <c r="C109" s="27" t="s">
        <v>78</v>
      </c>
      <c r="D109" s="28">
        <v>42229</v>
      </c>
      <c r="E109" s="27">
        <v>93470052</v>
      </c>
      <c r="F109" s="28">
        <v>42221</v>
      </c>
      <c r="G109" s="28">
        <v>42228</v>
      </c>
      <c r="H109" s="27">
        <v>1201646</v>
      </c>
      <c r="I109" s="27" t="s">
        <v>164</v>
      </c>
      <c r="J109" s="27">
        <v>1201646</v>
      </c>
      <c r="K109" s="27" t="s">
        <v>164</v>
      </c>
      <c r="L109" s="27">
        <v>1201646</v>
      </c>
      <c r="M109" s="27" t="s">
        <v>164</v>
      </c>
      <c r="N109" s="27">
        <v>8044382</v>
      </c>
      <c r="O109" s="27"/>
      <c r="P109" s="27"/>
      <c r="Q109" s="27" t="s">
        <v>181</v>
      </c>
      <c r="R109" s="27" t="s">
        <v>67</v>
      </c>
      <c r="S109" s="27" t="s">
        <v>68</v>
      </c>
      <c r="T109" s="27">
        <v>141.87</v>
      </c>
      <c r="U109" s="27" t="s">
        <v>182</v>
      </c>
      <c r="V109" s="27" t="s">
        <v>69</v>
      </c>
      <c r="W109" s="27" t="s">
        <v>70</v>
      </c>
      <c r="X109" s="27" t="s">
        <v>76</v>
      </c>
      <c r="Y109" s="28">
        <v>42235</v>
      </c>
      <c r="Z109" s="27" t="s">
        <v>64</v>
      </c>
      <c r="AA109" s="28">
        <v>42229</v>
      </c>
      <c r="AB109" s="27" t="s">
        <v>100</v>
      </c>
      <c r="AC109" s="27">
        <v>61978298</v>
      </c>
      <c r="AD109" s="28">
        <v>42257</v>
      </c>
      <c r="AE109" s="27" t="s">
        <v>183</v>
      </c>
      <c r="AF109" s="27">
        <v>3511782746</v>
      </c>
      <c r="AG109" s="27" t="s">
        <v>77</v>
      </c>
      <c r="AH109" s="27" t="s">
        <v>360</v>
      </c>
    </row>
    <row r="110" spans="1:34" x14ac:dyDescent="0.2">
      <c r="A110" s="27">
        <v>10018912</v>
      </c>
      <c r="B110" s="27" t="s">
        <v>22</v>
      </c>
      <c r="C110" s="27" t="s">
        <v>136</v>
      </c>
      <c r="D110" s="28">
        <v>42230</v>
      </c>
      <c r="E110" s="27"/>
      <c r="F110" s="27"/>
      <c r="G110" s="27"/>
      <c r="H110" s="27">
        <v>1201605</v>
      </c>
      <c r="I110" s="27" t="s">
        <v>155</v>
      </c>
      <c r="J110" s="27">
        <v>1310002</v>
      </c>
      <c r="K110" s="27" t="s">
        <v>155</v>
      </c>
      <c r="L110" s="27">
        <v>1172017</v>
      </c>
      <c r="M110" s="27" t="s">
        <v>156</v>
      </c>
      <c r="N110" s="27" t="s">
        <v>361</v>
      </c>
      <c r="O110" s="27"/>
      <c r="P110" s="27"/>
      <c r="Q110" s="27" t="s">
        <v>181</v>
      </c>
      <c r="R110" s="27"/>
      <c r="S110" s="27"/>
      <c r="T110" s="27">
        <v>0</v>
      </c>
      <c r="U110" s="27" t="s">
        <v>182</v>
      </c>
      <c r="V110" s="27" t="s">
        <v>63</v>
      </c>
      <c r="W110" s="27" t="s">
        <v>94</v>
      </c>
      <c r="X110" s="27" t="s">
        <v>82</v>
      </c>
      <c r="Y110" s="28">
        <v>42236</v>
      </c>
      <c r="Z110" s="27" t="s">
        <v>64</v>
      </c>
      <c r="AA110" s="28">
        <v>42230</v>
      </c>
      <c r="AB110" s="27"/>
      <c r="AC110" s="27"/>
      <c r="AD110" s="27"/>
      <c r="AE110" s="27" t="s">
        <v>183</v>
      </c>
      <c r="AF110" s="27"/>
      <c r="AG110" s="27" t="s">
        <v>142</v>
      </c>
      <c r="AH110" s="27" t="s">
        <v>362</v>
      </c>
    </row>
    <row r="111" spans="1:34" x14ac:dyDescent="0.2">
      <c r="A111" s="27">
        <v>10018913</v>
      </c>
      <c r="B111" s="27" t="s">
        <v>18</v>
      </c>
      <c r="C111" s="27" t="s">
        <v>78</v>
      </c>
      <c r="D111" s="28">
        <v>42230</v>
      </c>
      <c r="E111" s="27">
        <v>93475993</v>
      </c>
      <c r="F111" s="28">
        <v>42227</v>
      </c>
      <c r="G111" s="27"/>
      <c r="H111" s="27">
        <v>1057544</v>
      </c>
      <c r="I111" s="27" t="s">
        <v>363</v>
      </c>
      <c r="J111" s="27">
        <v>1327308</v>
      </c>
      <c r="K111" s="27" t="s">
        <v>363</v>
      </c>
      <c r="L111" s="27">
        <v>1057544</v>
      </c>
      <c r="M111" s="27" t="s">
        <v>363</v>
      </c>
      <c r="N111" s="27">
        <v>8116693</v>
      </c>
      <c r="O111" s="27"/>
      <c r="P111" s="27"/>
      <c r="Q111" s="27" t="s">
        <v>181</v>
      </c>
      <c r="R111" s="27" t="s">
        <v>102</v>
      </c>
      <c r="S111" s="27" t="s">
        <v>103</v>
      </c>
      <c r="T111" s="27">
        <v>144</v>
      </c>
      <c r="U111" s="27" t="s">
        <v>182</v>
      </c>
      <c r="V111" s="27" t="s">
        <v>63</v>
      </c>
      <c r="W111" s="27" t="s">
        <v>70</v>
      </c>
      <c r="X111" s="27" t="s">
        <v>76</v>
      </c>
      <c r="Y111" s="28">
        <v>42235</v>
      </c>
      <c r="Z111" s="27" t="s">
        <v>64</v>
      </c>
      <c r="AA111" s="28">
        <v>42230</v>
      </c>
      <c r="AB111" s="27"/>
      <c r="AC111" s="27"/>
      <c r="AD111" s="27"/>
      <c r="AE111" s="27" t="s">
        <v>183</v>
      </c>
      <c r="AF111" s="27">
        <v>636808587738</v>
      </c>
      <c r="AG111" s="27" t="s">
        <v>77</v>
      </c>
      <c r="AH111" s="27" t="s">
        <v>364</v>
      </c>
    </row>
    <row r="112" spans="1:34" x14ac:dyDescent="0.2">
      <c r="A112" s="27">
        <v>10018914</v>
      </c>
      <c r="B112" s="27" t="s">
        <v>18</v>
      </c>
      <c r="C112" s="27" t="s">
        <v>78</v>
      </c>
      <c r="D112" s="28">
        <v>42230</v>
      </c>
      <c r="E112" s="27">
        <v>93476440</v>
      </c>
      <c r="F112" s="28">
        <v>42227</v>
      </c>
      <c r="G112" s="28">
        <v>42229</v>
      </c>
      <c r="H112" s="27">
        <v>1201605</v>
      </c>
      <c r="I112" s="27" t="s">
        <v>155</v>
      </c>
      <c r="J112" s="27">
        <v>1323069</v>
      </c>
      <c r="K112" s="27" t="s">
        <v>155</v>
      </c>
      <c r="L112" s="27">
        <v>1172017</v>
      </c>
      <c r="M112" s="27" t="s">
        <v>156</v>
      </c>
      <c r="N112" s="27">
        <v>525790</v>
      </c>
      <c r="O112" s="27"/>
      <c r="P112" s="27"/>
      <c r="Q112" s="27" t="s">
        <v>181</v>
      </c>
      <c r="R112" s="27" t="s">
        <v>67</v>
      </c>
      <c r="S112" s="27" t="s">
        <v>68</v>
      </c>
      <c r="T112" s="27">
        <v>1519.24</v>
      </c>
      <c r="U112" s="27" t="s">
        <v>182</v>
      </c>
      <c r="V112" s="27" t="s">
        <v>63</v>
      </c>
      <c r="W112" s="27" t="s">
        <v>70</v>
      </c>
      <c r="X112" s="27" t="s">
        <v>76</v>
      </c>
      <c r="Y112" s="28">
        <v>42235</v>
      </c>
      <c r="Z112" s="27" t="s">
        <v>83</v>
      </c>
      <c r="AA112" s="28">
        <v>42233</v>
      </c>
      <c r="AB112" s="27"/>
      <c r="AC112" s="27"/>
      <c r="AD112" s="27"/>
      <c r="AE112" s="27" t="s">
        <v>183</v>
      </c>
      <c r="AF112" s="27">
        <v>3511785830</v>
      </c>
      <c r="AG112" s="27" t="s">
        <v>77</v>
      </c>
      <c r="AH112" s="27" t="s">
        <v>365</v>
      </c>
    </row>
    <row r="113" spans="1:34" x14ac:dyDescent="0.2">
      <c r="A113" s="27">
        <v>10018915</v>
      </c>
      <c r="B113" s="27" t="s">
        <v>26</v>
      </c>
      <c r="C113" s="27" t="s">
        <v>78</v>
      </c>
      <c r="D113" s="28">
        <v>42230</v>
      </c>
      <c r="E113" s="27">
        <v>93471642</v>
      </c>
      <c r="F113" s="28">
        <v>42222</v>
      </c>
      <c r="G113" s="27"/>
      <c r="H113" s="27">
        <v>1318826</v>
      </c>
      <c r="I113" s="27" t="s">
        <v>110</v>
      </c>
      <c r="J113" s="27">
        <v>1131869</v>
      </c>
      <c r="K113" s="27" t="s">
        <v>366</v>
      </c>
      <c r="L113" s="27">
        <v>1318826</v>
      </c>
      <c r="M113" s="27" t="s">
        <v>110</v>
      </c>
      <c r="N113" s="27">
        <v>3013318</v>
      </c>
      <c r="O113" s="27"/>
      <c r="P113" s="27"/>
      <c r="Q113" s="27" t="s">
        <v>181</v>
      </c>
      <c r="R113" s="27" t="s">
        <v>97</v>
      </c>
      <c r="S113" s="27" t="s">
        <v>98</v>
      </c>
      <c r="T113" s="27">
        <v>72.72</v>
      </c>
      <c r="U113" s="27" t="s">
        <v>182</v>
      </c>
      <c r="V113" s="27" t="s">
        <v>63</v>
      </c>
      <c r="W113" s="27" t="s">
        <v>94</v>
      </c>
      <c r="X113" s="27" t="s">
        <v>95</v>
      </c>
      <c r="Y113" s="28">
        <v>42250</v>
      </c>
      <c r="Z113" s="27" t="s">
        <v>64</v>
      </c>
      <c r="AA113" s="28">
        <v>42230</v>
      </c>
      <c r="AB113" s="27"/>
      <c r="AC113" s="27"/>
      <c r="AD113" s="27"/>
      <c r="AE113" s="27" t="s">
        <v>183</v>
      </c>
      <c r="AF113" s="27">
        <v>87944972376734</v>
      </c>
      <c r="AG113" s="27" t="s">
        <v>96</v>
      </c>
      <c r="AH113" s="27" t="s">
        <v>367</v>
      </c>
    </row>
    <row r="114" spans="1:34" x14ac:dyDescent="0.2">
      <c r="A114" s="27">
        <v>10018916</v>
      </c>
      <c r="B114" s="27" t="s">
        <v>22</v>
      </c>
      <c r="C114" s="27" t="s">
        <v>78</v>
      </c>
      <c r="D114" s="28">
        <v>42230</v>
      </c>
      <c r="E114" s="27"/>
      <c r="F114" s="27"/>
      <c r="G114" s="27"/>
      <c r="H114" s="27">
        <v>1318826</v>
      </c>
      <c r="I114" s="27" t="s">
        <v>110</v>
      </c>
      <c r="J114" s="27">
        <v>1131869</v>
      </c>
      <c r="K114" s="27" t="s">
        <v>366</v>
      </c>
      <c r="L114" s="27">
        <v>1318826</v>
      </c>
      <c r="M114" s="27" t="s">
        <v>110</v>
      </c>
      <c r="N114" s="27">
        <v>3013318</v>
      </c>
      <c r="O114" s="27"/>
      <c r="P114" s="27"/>
      <c r="Q114" s="27" t="s">
        <v>181</v>
      </c>
      <c r="R114" s="27"/>
      <c r="S114" s="27"/>
      <c r="T114" s="27">
        <v>61.2</v>
      </c>
      <c r="U114" s="27" t="s">
        <v>182</v>
      </c>
      <c r="V114" s="27" t="s">
        <v>63</v>
      </c>
      <c r="W114" s="27" t="s">
        <v>94</v>
      </c>
      <c r="X114" s="27" t="s">
        <v>95</v>
      </c>
      <c r="Y114" s="28">
        <v>42250</v>
      </c>
      <c r="Z114" s="27" t="s">
        <v>64</v>
      </c>
      <c r="AA114" s="28">
        <v>42230</v>
      </c>
      <c r="AB114" s="27"/>
      <c r="AC114" s="27"/>
      <c r="AD114" s="27"/>
      <c r="AE114" s="27" t="s">
        <v>183</v>
      </c>
      <c r="AF114" s="27"/>
      <c r="AG114" s="27" t="s">
        <v>142</v>
      </c>
      <c r="AH114" s="27" t="s">
        <v>368</v>
      </c>
    </row>
    <row r="115" spans="1:34" x14ac:dyDescent="0.2">
      <c r="A115" s="27">
        <v>10018917</v>
      </c>
      <c r="B115" s="27" t="s">
        <v>18</v>
      </c>
      <c r="C115" s="27" t="s">
        <v>78</v>
      </c>
      <c r="D115" s="28">
        <v>42230</v>
      </c>
      <c r="E115" s="27">
        <v>93473289</v>
      </c>
      <c r="F115" s="28">
        <v>42223</v>
      </c>
      <c r="G115" s="28">
        <v>42229</v>
      </c>
      <c r="H115" s="27">
        <v>1201646</v>
      </c>
      <c r="I115" s="27" t="s">
        <v>164</v>
      </c>
      <c r="J115" s="27">
        <v>1201646</v>
      </c>
      <c r="K115" s="27" t="s">
        <v>164</v>
      </c>
      <c r="L115" s="27">
        <v>1201646</v>
      </c>
      <c r="M115" s="27" t="s">
        <v>164</v>
      </c>
      <c r="N115" s="27">
        <v>8044505</v>
      </c>
      <c r="O115" s="27"/>
      <c r="P115" s="27"/>
      <c r="Q115" s="27" t="s">
        <v>181</v>
      </c>
      <c r="R115" s="27" t="s">
        <v>67</v>
      </c>
      <c r="S115" s="27" t="s">
        <v>68</v>
      </c>
      <c r="T115" s="27">
        <v>1862.64</v>
      </c>
      <c r="U115" s="27" t="s">
        <v>182</v>
      </c>
      <c r="V115" s="27" t="s">
        <v>69</v>
      </c>
      <c r="W115" s="27" t="s">
        <v>70</v>
      </c>
      <c r="X115" s="27" t="s">
        <v>76</v>
      </c>
      <c r="Y115" s="28">
        <v>42235</v>
      </c>
      <c r="Z115" s="27" t="s">
        <v>83</v>
      </c>
      <c r="AA115" s="28">
        <v>42241</v>
      </c>
      <c r="AB115" s="27" t="s">
        <v>100</v>
      </c>
      <c r="AC115" s="27">
        <v>61978325</v>
      </c>
      <c r="AD115" s="28">
        <v>42257</v>
      </c>
      <c r="AE115" s="27" t="s">
        <v>183</v>
      </c>
      <c r="AF115" s="27">
        <v>3511785395</v>
      </c>
      <c r="AG115" s="27" t="s">
        <v>77</v>
      </c>
      <c r="AH115" s="27" t="s">
        <v>369</v>
      </c>
    </row>
    <row r="116" spans="1:34" x14ac:dyDescent="0.2">
      <c r="A116" s="27">
        <v>10018918</v>
      </c>
      <c r="B116" s="27" t="s">
        <v>18</v>
      </c>
      <c r="C116" s="27" t="s">
        <v>78</v>
      </c>
      <c r="D116" s="28">
        <v>42230</v>
      </c>
      <c r="E116" s="27">
        <v>93469456</v>
      </c>
      <c r="F116" s="28">
        <v>42221</v>
      </c>
      <c r="G116" s="28">
        <v>42227</v>
      </c>
      <c r="H116" s="27">
        <v>1201047</v>
      </c>
      <c r="I116" s="27" t="s">
        <v>79</v>
      </c>
      <c r="J116" s="27">
        <v>1003713</v>
      </c>
      <c r="K116" s="27" t="s">
        <v>80</v>
      </c>
      <c r="L116" s="27">
        <v>1171089</v>
      </c>
      <c r="M116" s="27" t="s">
        <v>75</v>
      </c>
      <c r="N116" s="27">
        <v>32754441</v>
      </c>
      <c r="O116" s="27"/>
      <c r="P116" s="27"/>
      <c r="Q116" s="27" t="s">
        <v>181</v>
      </c>
      <c r="R116" s="27" t="s">
        <v>67</v>
      </c>
      <c r="S116" s="27" t="s">
        <v>68</v>
      </c>
      <c r="T116" s="27">
        <v>3537.36</v>
      </c>
      <c r="U116" s="27" t="s">
        <v>182</v>
      </c>
      <c r="V116" s="27" t="s">
        <v>63</v>
      </c>
      <c r="W116" s="27" t="s">
        <v>70</v>
      </c>
      <c r="X116" s="27" t="s">
        <v>76</v>
      </c>
      <c r="Y116" s="28">
        <v>42235</v>
      </c>
      <c r="Z116" s="27" t="s">
        <v>83</v>
      </c>
      <c r="AA116" s="28">
        <v>42241</v>
      </c>
      <c r="AB116" s="27"/>
      <c r="AC116" s="27"/>
      <c r="AD116" s="27"/>
      <c r="AE116" s="27" t="s">
        <v>183</v>
      </c>
      <c r="AF116" s="27">
        <v>3511782842</v>
      </c>
      <c r="AG116" s="27" t="s">
        <v>77</v>
      </c>
      <c r="AH116" s="27" t="s">
        <v>370</v>
      </c>
    </row>
    <row r="117" spans="1:34" x14ac:dyDescent="0.2">
      <c r="A117" s="27">
        <v>10018919</v>
      </c>
      <c r="B117" s="27" t="s">
        <v>26</v>
      </c>
      <c r="C117" s="27" t="s">
        <v>78</v>
      </c>
      <c r="D117" s="28">
        <v>42230</v>
      </c>
      <c r="E117" s="27">
        <v>93471583</v>
      </c>
      <c r="F117" s="28">
        <v>42222</v>
      </c>
      <c r="G117" s="27"/>
      <c r="H117" s="27">
        <v>1201674</v>
      </c>
      <c r="I117" s="27" t="s">
        <v>371</v>
      </c>
      <c r="J117" s="27">
        <v>1201674</v>
      </c>
      <c r="K117" s="27" t="s">
        <v>371</v>
      </c>
      <c r="L117" s="27">
        <v>1201674</v>
      </c>
      <c r="M117" s="27" t="s">
        <v>371</v>
      </c>
      <c r="N117" s="27">
        <v>471846</v>
      </c>
      <c r="O117" s="27"/>
      <c r="P117" s="27"/>
      <c r="Q117" s="27" t="s">
        <v>181</v>
      </c>
      <c r="R117" s="27" t="s">
        <v>97</v>
      </c>
      <c r="S117" s="27" t="s">
        <v>98</v>
      </c>
      <c r="T117" s="27">
        <v>1773.6</v>
      </c>
      <c r="U117" s="27" t="s">
        <v>182</v>
      </c>
      <c r="V117" s="27" t="s">
        <v>63</v>
      </c>
      <c r="W117" s="27" t="s">
        <v>94</v>
      </c>
      <c r="X117" s="27" t="s">
        <v>95</v>
      </c>
      <c r="Y117" s="28">
        <v>42235</v>
      </c>
      <c r="Z117" s="27" t="s">
        <v>83</v>
      </c>
      <c r="AA117" s="28">
        <v>42241</v>
      </c>
      <c r="AB117" s="27"/>
      <c r="AC117" s="27"/>
      <c r="AD117" s="27"/>
      <c r="AE117" s="27" t="s">
        <v>183</v>
      </c>
      <c r="AF117" s="27" t="s">
        <v>372</v>
      </c>
      <c r="AG117" s="27" t="s">
        <v>96</v>
      </c>
      <c r="AH117" s="27" t="s">
        <v>373</v>
      </c>
    </row>
    <row r="118" spans="1:34" x14ac:dyDescent="0.2">
      <c r="A118" s="27">
        <v>10018920</v>
      </c>
      <c r="B118" s="27" t="s">
        <v>18</v>
      </c>
      <c r="C118" s="27" t="s">
        <v>78</v>
      </c>
      <c r="D118" s="28">
        <v>42230</v>
      </c>
      <c r="E118" s="27">
        <v>93473101</v>
      </c>
      <c r="F118" s="28">
        <v>42223</v>
      </c>
      <c r="G118" s="28">
        <v>42227</v>
      </c>
      <c r="H118" s="27">
        <v>1201047</v>
      </c>
      <c r="I118" s="27" t="s">
        <v>79</v>
      </c>
      <c r="J118" s="27">
        <v>1307128</v>
      </c>
      <c r="K118" s="27" t="s">
        <v>85</v>
      </c>
      <c r="L118" s="27">
        <v>1171089</v>
      </c>
      <c r="M118" s="27" t="s">
        <v>75</v>
      </c>
      <c r="N118" s="27">
        <v>10481333</v>
      </c>
      <c r="O118" s="27"/>
      <c r="P118" s="27"/>
      <c r="Q118" s="27" t="s">
        <v>181</v>
      </c>
      <c r="R118" s="27" t="s">
        <v>67</v>
      </c>
      <c r="S118" s="27" t="s">
        <v>68</v>
      </c>
      <c r="T118" s="27">
        <v>612.75</v>
      </c>
      <c r="U118" s="27" t="s">
        <v>182</v>
      </c>
      <c r="V118" s="27" t="s">
        <v>63</v>
      </c>
      <c r="W118" s="27" t="s">
        <v>70</v>
      </c>
      <c r="X118" s="27" t="s">
        <v>76</v>
      </c>
      <c r="Y118" s="28">
        <v>42235</v>
      </c>
      <c r="Z118" s="27" t="s">
        <v>64</v>
      </c>
      <c r="AA118" s="28">
        <v>42230</v>
      </c>
      <c r="AB118" s="27"/>
      <c r="AC118" s="27"/>
      <c r="AD118" s="27"/>
      <c r="AE118" s="27" t="s">
        <v>183</v>
      </c>
      <c r="AF118" s="27">
        <v>3511785314</v>
      </c>
      <c r="AG118" s="27" t="s">
        <v>77</v>
      </c>
      <c r="AH118" s="27" t="s">
        <v>374</v>
      </c>
    </row>
    <row r="119" spans="1:34" x14ac:dyDescent="0.2">
      <c r="A119" s="27">
        <v>10018921</v>
      </c>
      <c r="B119" s="27" t="s">
        <v>18</v>
      </c>
      <c r="C119" s="27" t="s">
        <v>78</v>
      </c>
      <c r="D119" s="28">
        <v>42230</v>
      </c>
      <c r="E119" s="27">
        <v>93474651</v>
      </c>
      <c r="F119" s="28">
        <v>42226</v>
      </c>
      <c r="G119" s="28">
        <v>42228</v>
      </c>
      <c r="H119" s="27">
        <v>1201047</v>
      </c>
      <c r="I119" s="27" t="s">
        <v>79</v>
      </c>
      <c r="J119" s="27">
        <v>1307128</v>
      </c>
      <c r="K119" s="27" t="s">
        <v>85</v>
      </c>
      <c r="L119" s="27">
        <v>1171089</v>
      </c>
      <c r="M119" s="27" t="s">
        <v>75</v>
      </c>
      <c r="N119" s="27">
        <v>10481333</v>
      </c>
      <c r="O119" s="27"/>
      <c r="P119" s="27"/>
      <c r="Q119" s="27" t="s">
        <v>181</v>
      </c>
      <c r="R119" s="27" t="s">
        <v>67</v>
      </c>
      <c r="S119" s="27" t="s">
        <v>68</v>
      </c>
      <c r="T119" s="27">
        <v>5642.56</v>
      </c>
      <c r="U119" s="27" t="s">
        <v>182</v>
      </c>
      <c r="V119" s="27" t="s">
        <v>63</v>
      </c>
      <c r="W119" s="27" t="s">
        <v>70</v>
      </c>
      <c r="X119" s="27" t="s">
        <v>76</v>
      </c>
      <c r="Y119" s="28">
        <v>42235</v>
      </c>
      <c r="Z119" s="27" t="s">
        <v>83</v>
      </c>
      <c r="AA119" s="28">
        <v>42241</v>
      </c>
      <c r="AB119" s="27"/>
      <c r="AC119" s="27"/>
      <c r="AD119" s="27"/>
      <c r="AE119" s="27" t="s">
        <v>183</v>
      </c>
      <c r="AF119" s="27">
        <v>3511785605</v>
      </c>
      <c r="AG119" s="27" t="s">
        <v>77</v>
      </c>
      <c r="AH119" s="27" t="s">
        <v>375</v>
      </c>
    </row>
    <row r="120" spans="1:34" x14ac:dyDescent="0.2">
      <c r="A120" s="27">
        <v>10018922</v>
      </c>
      <c r="B120" s="27" t="s">
        <v>18</v>
      </c>
      <c r="C120" s="27" t="s">
        <v>78</v>
      </c>
      <c r="D120" s="28">
        <v>42230</v>
      </c>
      <c r="E120" s="27">
        <v>93473102</v>
      </c>
      <c r="F120" s="28">
        <v>42223</v>
      </c>
      <c r="G120" s="28">
        <v>42227</v>
      </c>
      <c r="H120" s="27">
        <v>1201047</v>
      </c>
      <c r="I120" s="27" t="s">
        <v>79</v>
      </c>
      <c r="J120" s="27">
        <v>1307128</v>
      </c>
      <c r="K120" s="27" t="s">
        <v>85</v>
      </c>
      <c r="L120" s="27">
        <v>1171089</v>
      </c>
      <c r="M120" s="27" t="s">
        <v>75</v>
      </c>
      <c r="N120" s="27">
        <v>10481333</v>
      </c>
      <c r="O120" s="27"/>
      <c r="P120" s="27"/>
      <c r="Q120" s="27" t="s">
        <v>181</v>
      </c>
      <c r="R120" s="27" t="s">
        <v>67</v>
      </c>
      <c r="S120" s="27" t="s">
        <v>68</v>
      </c>
      <c r="T120" s="27">
        <v>392.88</v>
      </c>
      <c r="U120" s="27" t="s">
        <v>182</v>
      </c>
      <c r="V120" s="27" t="s">
        <v>63</v>
      </c>
      <c r="W120" s="27" t="s">
        <v>70</v>
      </c>
      <c r="X120" s="27" t="s">
        <v>76</v>
      </c>
      <c r="Y120" s="28">
        <v>42235</v>
      </c>
      <c r="Z120" s="27" t="s">
        <v>64</v>
      </c>
      <c r="AA120" s="28">
        <v>42230</v>
      </c>
      <c r="AB120" s="27"/>
      <c r="AC120" s="27"/>
      <c r="AD120" s="27"/>
      <c r="AE120" s="27" t="s">
        <v>183</v>
      </c>
      <c r="AF120" s="27">
        <v>3511785465</v>
      </c>
      <c r="AG120" s="27" t="s">
        <v>77</v>
      </c>
      <c r="AH120" s="27" t="s">
        <v>376</v>
      </c>
    </row>
    <row r="121" spans="1:34" x14ac:dyDescent="0.2">
      <c r="A121" s="27">
        <v>10018928</v>
      </c>
      <c r="B121" s="27" t="s">
        <v>18</v>
      </c>
      <c r="C121" s="27" t="s">
        <v>136</v>
      </c>
      <c r="D121" s="28">
        <v>42233</v>
      </c>
      <c r="E121" s="27">
        <v>93474627</v>
      </c>
      <c r="F121" s="28">
        <v>42226</v>
      </c>
      <c r="G121" s="28">
        <v>42228</v>
      </c>
      <c r="H121" s="27">
        <v>1022013</v>
      </c>
      <c r="I121" s="27" t="s">
        <v>114</v>
      </c>
      <c r="J121" s="27">
        <v>1022013</v>
      </c>
      <c r="K121" s="27" t="s">
        <v>114</v>
      </c>
      <c r="L121" s="27">
        <v>1022013</v>
      </c>
      <c r="M121" s="27" t="s">
        <v>114</v>
      </c>
      <c r="N121" s="27">
        <v>74343</v>
      </c>
      <c r="O121" s="27"/>
      <c r="P121" s="27"/>
      <c r="Q121" s="27" t="s">
        <v>181</v>
      </c>
      <c r="R121" s="27" t="s">
        <v>67</v>
      </c>
      <c r="S121" s="27" t="s">
        <v>68</v>
      </c>
      <c r="T121" s="27">
        <v>15.54</v>
      </c>
      <c r="U121" s="27" t="s">
        <v>182</v>
      </c>
      <c r="V121" s="27" t="s">
        <v>63</v>
      </c>
      <c r="W121" s="27" t="s">
        <v>70</v>
      </c>
      <c r="X121" s="27" t="s">
        <v>76</v>
      </c>
      <c r="Y121" s="28">
        <v>42235</v>
      </c>
      <c r="Z121" s="27" t="s">
        <v>64</v>
      </c>
      <c r="AA121" s="28">
        <v>42233</v>
      </c>
      <c r="AB121" s="27"/>
      <c r="AC121" s="27"/>
      <c r="AD121" s="27"/>
      <c r="AE121" s="27" t="s">
        <v>183</v>
      </c>
      <c r="AF121" s="27">
        <v>3511785620</v>
      </c>
      <c r="AG121" s="27" t="s">
        <v>77</v>
      </c>
      <c r="AH121" s="27" t="s">
        <v>377</v>
      </c>
    </row>
    <row r="122" spans="1:34" x14ac:dyDescent="0.2">
      <c r="A122" s="27">
        <v>10018929</v>
      </c>
      <c r="B122" s="27" t="s">
        <v>18</v>
      </c>
      <c r="C122" s="27" t="s">
        <v>252</v>
      </c>
      <c r="D122" s="28">
        <v>42233</v>
      </c>
      <c r="E122" s="27">
        <v>93398293</v>
      </c>
      <c r="F122" s="28">
        <v>42165</v>
      </c>
      <c r="G122" s="28">
        <v>42170</v>
      </c>
      <c r="H122" s="27">
        <v>1201301</v>
      </c>
      <c r="I122" s="27" t="s">
        <v>378</v>
      </c>
      <c r="J122" s="27">
        <v>1058805</v>
      </c>
      <c r="K122" s="27" t="s">
        <v>379</v>
      </c>
      <c r="L122" s="27">
        <v>1171972</v>
      </c>
      <c r="M122" s="27" t="s">
        <v>379</v>
      </c>
      <c r="N122" s="27">
        <v>12443084</v>
      </c>
      <c r="O122" s="27"/>
      <c r="P122" s="27"/>
      <c r="Q122" s="27" t="s">
        <v>181</v>
      </c>
      <c r="R122" s="27" t="s">
        <v>67</v>
      </c>
      <c r="S122" s="27" t="s">
        <v>68</v>
      </c>
      <c r="T122" s="27">
        <v>71.16</v>
      </c>
      <c r="U122" s="27" t="s">
        <v>182</v>
      </c>
      <c r="V122" s="27" t="s">
        <v>63</v>
      </c>
      <c r="W122" s="27" t="s">
        <v>70</v>
      </c>
      <c r="X122" s="27" t="s">
        <v>76</v>
      </c>
      <c r="Y122" s="28">
        <v>42235</v>
      </c>
      <c r="Z122" s="27" t="s">
        <v>64</v>
      </c>
      <c r="AA122" s="28">
        <v>42233</v>
      </c>
      <c r="AB122" s="27"/>
      <c r="AC122" s="27"/>
      <c r="AD122" s="27"/>
      <c r="AE122" s="27" t="s">
        <v>183</v>
      </c>
      <c r="AF122" s="27">
        <v>2795632151</v>
      </c>
      <c r="AG122" s="27" t="s">
        <v>77</v>
      </c>
      <c r="AH122" s="27" t="s">
        <v>380</v>
      </c>
    </row>
    <row r="123" spans="1:34" x14ac:dyDescent="0.2">
      <c r="A123" s="27">
        <v>10018930</v>
      </c>
      <c r="B123" s="27" t="s">
        <v>26</v>
      </c>
      <c r="C123" s="27" t="s">
        <v>381</v>
      </c>
      <c r="D123" s="28">
        <v>42233</v>
      </c>
      <c r="E123" s="27">
        <v>93478148</v>
      </c>
      <c r="F123" s="28">
        <v>42228</v>
      </c>
      <c r="G123" s="28">
        <v>42230</v>
      </c>
      <c r="H123" s="27">
        <v>1201133</v>
      </c>
      <c r="I123" s="27" t="s">
        <v>128</v>
      </c>
      <c r="J123" s="27">
        <v>1325387</v>
      </c>
      <c r="K123" s="27" t="s">
        <v>129</v>
      </c>
      <c r="L123" s="27">
        <v>1171102</v>
      </c>
      <c r="M123" s="27" t="s">
        <v>130</v>
      </c>
      <c r="N123" s="27" t="s">
        <v>382</v>
      </c>
      <c r="O123" s="27"/>
      <c r="P123" s="27"/>
      <c r="Q123" s="27" t="s">
        <v>181</v>
      </c>
      <c r="R123" s="27" t="s">
        <v>67</v>
      </c>
      <c r="S123" s="27" t="s">
        <v>68</v>
      </c>
      <c r="T123" s="27">
        <v>4164</v>
      </c>
      <c r="U123" s="27" t="s">
        <v>182</v>
      </c>
      <c r="V123" s="27" t="s">
        <v>69</v>
      </c>
      <c r="W123" s="27" t="s">
        <v>94</v>
      </c>
      <c r="X123" s="27" t="s">
        <v>71</v>
      </c>
      <c r="Y123" s="28">
        <v>42234</v>
      </c>
      <c r="Z123" s="27" t="s">
        <v>83</v>
      </c>
      <c r="AA123" s="28">
        <v>42241</v>
      </c>
      <c r="AB123" s="27" t="s">
        <v>72</v>
      </c>
      <c r="AC123" s="27">
        <v>61972083</v>
      </c>
      <c r="AD123" s="28">
        <v>42248</v>
      </c>
      <c r="AE123" s="27" t="s">
        <v>183</v>
      </c>
      <c r="AF123" s="27">
        <v>3511786036</v>
      </c>
      <c r="AG123" s="27" t="s">
        <v>96</v>
      </c>
      <c r="AH123" s="27" t="s">
        <v>383</v>
      </c>
    </row>
    <row r="124" spans="1:34" x14ac:dyDescent="0.2">
      <c r="A124" s="27">
        <v>10018931</v>
      </c>
      <c r="B124" s="27" t="s">
        <v>18</v>
      </c>
      <c r="C124" s="27" t="s">
        <v>74</v>
      </c>
      <c r="D124" s="28">
        <v>42233</v>
      </c>
      <c r="E124" s="27">
        <v>93478112</v>
      </c>
      <c r="F124" s="28">
        <v>42228</v>
      </c>
      <c r="G124" s="27"/>
      <c r="H124" s="27">
        <v>1201120</v>
      </c>
      <c r="I124" s="27" t="s">
        <v>117</v>
      </c>
      <c r="J124" s="27">
        <v>1307782</v>
      </c>
      <c r="K124" s="27" t="s">
        <v>119</v>
      </c>
      <c r="L124" s="27">
        <v>1171090</v>
      </c>
      <c r="M124" s="27" t="s">
        <v>118</v>
      </c>
      <c r="N124" s="27" t="s">
        <v>384</v>
      </c>
      <c r="O124" s="27"/>
      <c r="P124" s="27"/>
      <c r="Q124" s="27" t="s">
        <v>181</v>
      </c>
      <c r="R124" s="27" t="s">
        <v>279</v>
      </c>
      <c r="S124" s="27" t="s">
        <v>280</v>
      </c>
      <c r="T124" s="27">
        <v>2185.44</v>
      </c>
      <c r="U124" s="27" t="s">
        <v>182</v>
      </c>
      <c r="V124" s="27" t="s">
        <v>63</v>
      </c>
      <c r="W124" s="27" t="s">
        <v>70</v>
      </c>
      <c r="X124" s="27" t="s">
        <v>76</v>
      </c>
      <c r="Y124" s="28">
        <v>42235</v>
      </c>
      <c r="Z124" s="27" t="s">
        <v>83</v>
      </c>
      <c r="AA124" s="28">
        <v>42241</v>
      </c>
      <c r="AB124" s="27"/>
      <c r="AC124" s="27"/>
      <c r="AD124" s="27"/>
      <c r="AE124" s="27" t="s">
        <v>183</v>
      </c>
      <c r="AF124" s="27" t="s">
        <v>385</v>
      </c>
      <c r="AG124" s="27" t="s">
        <v>77</v>
      </c>
      <c r="AH124" s="27" t="s">
        <v>386</v>
      </c>
    </row>
    <row r="125" spans="1:34" x14ac:dyDescent="0.2">
      <c r="A125" s="27">
        <v>10018932</v>
      </c>
      <c r="B125" s="27" t="s">
        <v>18</v>
      </c>
      <c r="C125" s="27" t="s">
        <v>74</v>
      </c>
      <c r="D125" s="28">
        <v>42233</v>
      </c>
      <c r="E125" s="27">
        <v>93478111</v>
      </c>
      <c r="F125" s="28">
        <v>42228</v>
      </c>
      <c r="G125" s="27"/>
      <c r="H125" s="27">
        <v>1201120</v>
      </c>
      <c r="I125" s="27" t="s">
        <v>117</v>
      </c>
      <c r="J125" s="27">
        <v>1307782</v>
      </c>
      <c r="K125" s="27" t="s">
        <v>119</v>
      </c>
      <c r="L125" s="27">
        <v>1171090</v>
      </c>
      <c r="M125" s="27" t="s">
        <v>118</v>
      </c>
      <c r="N125" s="27" t="s">
        <v>384</v>
      </c>
      <c r="O125" s="27"/>
      <c r="P125" s="27"/>
      <c r="Q125" s="27" t="s">
        <v>181</v>
      </c>
      <c r="R125" s="27" t="s">
        <v>279</v>
      </c>
      <c r="S125" s="27" t="s">
        <v>280</v>
      </c>
      <c r="T125" s="27">
        <v>1562.31</v>
      </c>
      <c r="U125" s="27" t="s">
        <v>182</v>
      </c>
      <c r="V125" s="27" t="s">
        <v>63</v>
      </c>
      <c r="W125" s="27" t="s">
        <v>70</v>
      </c>
      <c r="X125" s="27" t="s">
        <v>76</v>
      </c>
      <c r="Y125" s="28">
        <v>42235</v>
      </c>
      <c r="Z125" s="27" t="s">
        <v>83</v>
      </c>
      <c r="AA125" s="28">
        <v>42241</v>
      </c>
      <c r="AB125" s="27"/>
      <c r="AC125" s="27"/>
      <c r="AD125" s="27"/>
      <c r="AE125" s="27" t="s">
        <v>183</v>
      </c>
      <c r="AF125" s="27" t="s">
        <v>385</v>
      </c>
      <c r="AG125" s="27" t="s">
        <v>77</v>
      </c>
      <c r="AH125" s="27" t="s">
        <v>387</v>
      </c>
    </row>
    <row r="126" spans="1:34" x14ac:dyDescent="0.2">
      <c r="A126" s="27">
        <v>10018933</v>
      </c>
      <c r="B126" s="27" t="s">
        <v>18</v>
      </c>
      <c r="C126" s="27" t="s">
        <v>78</v>
      </c>
      <c r="D126" s="28">
        <v>42234</v>
      </c>
      <c r="E126" s="27">
        <v>93480052</v>
      </c>
      <c r="F126" s="28">
        <v>42229</v>
      </c>
      <c r="G126" s="27"/>
      <c r="H126" s="27">
        <v>1201315</v>
      </c>
      <c r="I126" s="27" t="s">
        <v>256</v>
      </c>
      <c r="J126" s="27">
        <v>1319381</v>
      </c>
      <c r="K126" s="27" t="s">
        <v>256</v>
      </c>
      <c r="L126" s="27">
        <v>1201315</v>
      </c>
      <c r="M126" s="27" t="s">
        <v>256</v>
      </c>
      <c r="N126" s="27">
        <v>5600040</v>
      </c>
      <c r="O126" s="27"/>
      <c r="P126" s="27"/>
      <c r="Q126" s="27" t="s">
        <v>181</v>
      </c>
      <c r="R126" s="27" t="s">
        <v>102</v>
      </c>
      <c r="S126" s="27" t="s">
        <v>103</v>
      </c>
      <c r="T126" s="27">
        <v>9786.48</v>
      </c>
      <c r="U126" s="27" t="s">
        <v>182</v>
      </c>
      <c r="V126" s="27" t="s">
        <v>69</v>
      </c>
      <c r="W126" s="27" t="s">
        <v>70</v>
      </c>
      <c r="X126" s="27" t="s">
        <v>76</v>
      </c>
      <c r="Y126" s="28">
        <v>42235</v>
      </c>
      <c r="Z126" s="27" t="s">
        <v>83</v>
      </c>
      <c r="AA126" s="28">
        <v>42241</v>
      </c>
      <c r="AB126" s="27" t="s">
        <v>100</v>
      </c>
      <c r="AC126" s="27">
        <v>61978282</v>
      </c>
      <c r="AD126" s="28">
        <v>42257</v>
      </c>
      <c r="AE126" s="27" t="s">
        <v>183</v>
      </c>
      <c r="AF126" s="27">
        <v>636808596526</v>
      </c>
      <c r="AG126" s="27" t="s">
        <v>77</v>
      </c>
      <c r="AH126" s="27" t="s">
        <v>376</v>
      </c>
    </row>
    <row r="127" spans="1:34" x14ac:dyDescent="0.2">
      <c r="A127" s="27">
        <v>10018934</v>
      </c>
      <c r="B127" s="27" t="s">
        <v>18</v>
      </c>
      <c r="C127" s="27" t="s">
        <v>78</v>
      </c>
      <c r="D127" s="28">
        <v>42234</v>
      </c>
      <c r="E127" s="27">
        <v>93476119</v>
      </c>
      <c r="F127" s="28">
        <v>42227</v>
      </c>
      <c r="G127" s="28">
        <v>42229</v>
      </c>
      <c r="H127" s="27">
        <v>1201086</v>
      </c>
      <c r="I127" s="27" t="s">
        <v>116</v>
      </c>
      <c r="J127" s="27">
        <v>1201086</v>
      </c>
      <c r="K127" s="27" t="s">
        <v>116</v>
      </c>
      <c r="L127" s="27">
        <v>1201086</v>
      </c>
      <c r="M127" s="27" t="s">
        <v>116</v>
      </c>
      <c r="N127" s="27">
        <v>1055427</v>
      </c>
      <c r="O127" s="27"/>
      <c r="P127" s="27"/>
      <c r="Q127" s="27" t="s">
        <v>181</v>
      </c>
      <c r="R127" s="27" t="s">
        <v>67</v>
      </c>
      <c r="S127" s="27" t="s">
        <v>68</v>
      </c>
      <c r="T127" s="27">
        <v>198.24</v>
      </c>
      <c r="U127" s="27" t="s">
        <v>182</v>
      </c>
      <c r="V127" s="27" t="s">
        <v>69</v>
      </c>
      <c r="W127" s="27" t="s">
        <v>70</v>
      </c>
      <c r="X127" s="27" t="s">
        <v>76</v>
      </c>
      <c r="Y127" s="28">
        <v>42236</v>
      </c>
      <c r="Z127" s="27" t="s">
        <v>64</v>
      </c>
      <c r="AA127" s="28">
        <v>42234</v>
      </c>
      <c r="AB127" s="27" t="s">
        <v>100</v>
      </c>
      <c r="AC127" s="27">
        <v>61978286</v>
      </c>
      <c r="AD127" s="28">
        <v>42257</v>
      </c>
      <c r="AE127" s="27" t="s">
        <v>183</v>
      </c>
      <c r="AF127" s="27">
        <v>3511785782</v>
      </c>
      <c r="AG127" s="27" t="s">
        <v>77</v>
      </c>
      <c r="AH127" s="27" t="s">
        <v>388</v>
      </c>
    </row>
    <row r="128" spans="1:34" x14ac:dyDescent="0.2">
      <c r="A128" s="27">
        <v>10018935</v>
      </c>
      <c r="B128" s="27" t="s">
        <v>18</v>
      </c>
      <c r="C128" s="27" t="s">
        <v>381</v>
      </c>
      <c r="D128" s="28">
        <v>42234</v>
      </c>
      <c r="E128" s="27">
        <v>93476504</v>
      </c>
      <c r="F128" s="28">
        <v>42227</v>
      </c>
      <c r="G128" s="28">
        <v>42229</v>
      </c>
      <c r="H128" s="27">
        <v>1324774</v>
      </c>
      <c r="I128" s="27" t="s">
        <v>389</v>
      </c>
      <c r="J128" s="27">
        <v>1317726</v>
      </c>
      <c r="K128" s="27" t="s">
        <v>389</v>
      </c>
      <c r="L128" s="27">
        <v>1324774</v>
      </c>
      <c r="M128" s="27" t="s">
        <v>389</v>
      </c>
      <c r="N128" s="27">
        <v>150000149186</v>
      </c>
      <c r="O128" s="27"/>
      <c r="P128" s="27"/>
      <c r="Q128" s="27" t="s">
        <v>181</v>
      </c>
      <c r="R128" s="27" t="s">
        <v>67</v>
      </c>
      <c r="S128" s="27" t="s">
        <v>68</v>
      </c>
      <c r="T128" s="27">
        <v>4425.6000000000004</v>
      </c>
      <c r="U128" s="27" t="s">
        <v>182</v>
      </c>
      <c r="V128" s="27" t="s">
        <v>63</v>
      </c>
      <c r="W128" s="27" t="s">
        <v>70</v>
      </c>
      <c r="X128" s="27" t="s">
        <v>76</v>
      </c>
      <c r="Y128" s="28">
        <v>42235</v>
      </c>
      <c r="Z128" s="27" t="s">
        <v>83</v>
      </c>
      <c r="AA128" s="28">
        <v>42241</v>
      </c>
      <c r="AB128" s="27"/>
      <c r="AC128" s="27"/>
      <c r="AD128" s="27"/>
      <c r="AE128" s="27" t="s">
        <v>183</v>
      </c>
      <c r="AF128" s="27">
        <v>3511785885</v>
      </c>
      <c r="AG128" s="27" t="s">
        <v>77</v>
      </c>
      <c r="AH128" s="27" t="s">
        <v>388</v>
      </c>
    </row>
    <row r="129" spans="1:34" x14ac:dyDescent="0.2">
      <c r="A129" s="27">
        <v>10018936</v>
      </c>
      <c r="B129" s="27" t="s">
        <v>18</v>
      </c>
      <c r="C129" s="27" t="s">
        <v>78</v>
      </c>
      <c r="D129" s="28">
        <v>42234</v>
      </c>
      <c r="E129" s="27">
        <v>93469978</v>
      </c>
      <c r="F129" s="28">
        <v>42221</v>
      </c>
      <c r="G129" s="28">
        <v>42226</v>
      </c>
      <c r="H129" s="27">
        <v>1201494</v>
      </c>
      <c r="I129" s="27" t="s">
        <v>161</v>
      </c>
      <c r="J129" s="27">
        <v>1064093</v>
      </c>
      <c r="K129" s="27" t="s">
        <v>390</v>
      </c>
      <c r="L129" s="27">
        <v>1172005</v>
      </c>
      <c r="M129" s="27" t="s">
        <v>161</v>
      </c>
      <c r="N129" s="27">
        <v>55160</v>
      </c>
      <c r="O129" s="27"/>
      <c r="P129" s="27"/>
      <c r="Q129" s="27" t="s">
        <v>181</v>
      </c>
      <c r="R129" s="27" t="s">
        <v>67</v>
      </c>
      <c r="S129" s="27" t="s">
        <v>68</v>
      </c>
      <c r="T129" s="27">
        <v>100.68</v>
      </c>
      <c r="U129" s="27" t="s">
        <v>182</v>
      </c>
      <c r="V129" s="27" t="s">
        <v>69</v>
      </c>
      <c r="W129" s="27" t="s">
        <v>70</v>
      </c>
      <c r="X129" s="27" t="s">
        <v>76</v>
      </c>
      <c r="Y129" s="28">
        <v>42235</v>
      </c>
      <c r="Z129" s="27" t="s">
        <v>64</v>
      </c>
      <c r="AA129" s="28">
        <v>42234</v>
      </c>
      <c r="AB129" s="27" t="s">
        <v>100</v>
      </c>
      <c r="AC129" s="27">
        <v>61978280</v>
      </c>
      <c r="AD129" s="28">
        <v>42257</v>
      </c>
      <c r="AE129" s="27" t="s">
        <v>183</v>
      </c>
      <c r="AF129" s="27">
        <v>3511782691</v>
      </c>
      <c r="AG129" s="27" t="s">
        <v>77</v>
      </c>
      <c r="AH129" s="27" t="s">
        <v>391</v>
      </c>
    </row>
    <row r="130" spans="1:34" x14ac:dyDescent="0.2">
      <c r="A130" s="27">
        <v>10018937</v>
      </c>
      <c r="B130" s="27" t="s">
        <v>18</v>
      </c>
      <c r="C130" s="27" t="s">
        <v>78</v>
      </c>
      <c r="D130" s="28">
        <v>42234</v>
      </c>
      <c r="E130" s="27">
        <v>93469979</v>
      </c>
      <c r="F130" s="28">
        <v>42221</v>
      </c>
      <c r="G130" s="28">
        <v>42226</v>
      </c>
      <c r="H130" s="27">
        <v>1201494</v>
      </c>
      <c r="I130" s="27" t="s">
        <v>161</v>
      </c>
      <c r="J130" s="27">
        <v>1064093</v>
      </c>
      <c r="K130" s="27" t="s">
        <v>390</v>
      </c>
      <c r="L130" s="27">
        <v>1172005</v>
      </c>
      <c r="M130" s="27" t="s">
        <v>161</v>
      </c>
      <c r="N130" s="27">
        <v>55160</v>
      </c>
      <c r="O130" s="27"/>
      <c r="P130" s="27"/>
      <c r="Q130" s="27" t="s">
        <v>181</v>
      </c>
      <c r="R130" s="27" t="s">
        <v>67</v>
      </c>
      <c r="S130" s="27" t="s">
        <v>68</v>
      </c>
      <c r="T130" s="27">
        <v>35.04</v>
      </c>
      <c r="U130" s="27" t="s">
        <v>182</v>
      </c>
      <c r="V130" s="27" t="s">
        <v>69</v>
      </c>
      <c r="W130" s="27" t="s">
        <v>70</v>
      </c>
      <c r="X130" s="27" t="s">
        <v>76</v>
      </c>
      <c r="Y130" s="28">
        <v>42235</v>
      </c>
      <c r="Z130" s="27" t="s">
        <v>64</v>
      </c>
      <c r="AA130" s="28">
        <v>42234</v>
      </c>
      <c r="AB130" s="27" t="s">
        <v>100</v>
      </c>
      <c r="AC130" s="27">
        <v>61978281</v>
      </c>
      <c r="AD130" s="28">
        <v>42257</v>
      </c>
      <c r="AE130" s="27" t="s">
        <v>183</v>
      </c>
      <c r="AF130" s="27">
        <v>3511782691</v>
      </c>
      <c r="AG130" s="27" t="s">
        <v>77</v>
      </c>
      <c r="AH130" s="27" t="s">
        <v>392</v>
      </c>
    </row>
    <row r="131" spans="1:34" x14ac:dyDescent="0.2">
      <c r="A131" s="27">
        <v>10018938</v>
      </c>
      <c r="B131" s="27" t="s">
        <v>18</v>
      </c>
      <c r="C131" s="27" t="s">
        <v>78</v>
      </c>
      <c r="D131" s="28">
        <v>42234</v>
      </c>
      <c r="E131" s="27">
        <v>93481804</v>
      </c>
      <c r="F131" s="28">
        <v>42230</v>
      </c>
      <c r="G131" s="28">
        <v>42233</v>
      </c>
      <c r="H131" s="27">
        <v>1201766</v>
      </c>
      <c r="I131" s="27" t="s">
        <v>143</v>
      </c>
      <c r="J131" s="27">
        <v>1157939</v>
      </c>
      <c r="K131" s="27" t="s">
        <v>143</v>
      </c>
      <c r="L131" s="27">
        <v>1201766</v>
      </c>
      <c r="M131" s="27" t="s">
        <v>143</v>
      </c>
      <c r="N131" s="27">
        <v>60597</v>
      </c>
      <c r="O131" s="27"/>
      <c r="P131" s="27"/>
      <c r="Q131" s="27" t="s">
        <v>181</v>
      </c>
      <c r="R131" s="27" t="s">
        <v>67</v>
      </c>
      <c r="S131" s="27" t="s">
        <v>68</v>
      </c>
      <c r="T131" s="27">
        <v>451.22</v>
      </c>
      <c r="U131" s="27" t="s">
        <v>182</v>
      </c>
      <c r="V131" s="27" t="s">
        <v>69</v>
      </c>
      <c r="W131" s="27" t="s">
        <v>70</v>
      </c>
      <c r="X131" s="27" t="s">
        <v>76</v>
      </c>
      <c r="Y131" s="28">
        <v>42235</v>
      </c>
      <c r="Z131" s="27" t="s">
        <v>64</v>
      </c>
      <c r="AA131" s="28">
        <v>42234</v>
      </c>
      <c r="AB131" s="27" t="s">
        <v>100</v>
      </c>
      <c r="AC131" s="27">
        <v>61980667</v>
      </c>
      <c r="AD131" s="28">
        <v>42261</v>
      </c>
      <c r="AE131" s="27" t="s">
        <v>183</v>
      </c>
      <c r="AF131" s="27">
        <v>3511786611</v>
      </c>
      <c r="AG131" s="27" t="s">
        <v>77</v>
      </c>
      <c r="AH131" s="27" t="s">
        <v>393</v>
      </c>
    </row>
    <row r="132" spans="1:34" x14ac:dyDescent="0.2">
      <c r="A132" s="27">
        <v>10018939</v>
      </c>
      <c r="B132" s="27" t="s">
        <v>18</v>
      </c>
      <c r="C132" s="27" t="s">
        <v>74</v>
      </c>
      <c r="D132" s="28">
        <v>42234</v>
      </c>
      <c r="E132" s="27">
        <v>93478117</v>
      </c>
      <c r="F132" s="28">
        <v>42228</v>
      </c>
      <c r="G132" s="27"/>
      <c r="H132" s="27">
        <v>1201120</v>
      </c>
      <c r="I132" s="27" t="s">
        <v>117</v>
      </c>
      <c r="J132" s="27">
        <v>1307782</v>
      </c>
      <c r="K132" s="27" t="s">
        <v>119</v>
      </c>
      <c r="L132" s="27">
        <v>1171090</v>
      </c>
      <c r="M132" s="27" t="s">
        <v>118</v>
      </c>
      <c r="N132" s="27" t="s">
        <v>321</v>
      </c>
      <c r="O132" s="27"/>
      <c r="P132" s="27"/>
      <c r="Q132" s="27" t="s">
        <v>181</v>
      </c>
      <c r="R132" s="27" t="s">
        <v>279</v>
      </c>
      <c r="S132" s="27" t="s">
        <v>280</v>
      </c>
      <c r="T132" s="27">
        <v>1089.18</v>
      </c>
      <c r="U132" s="27" t="s">
        <v>182</v>
      </c>
      <c r="V132" s="27" t="s">
        <v>63</v>
      </c>
      <c r="W132" s="27" t="s">
        <v>70</v>
      </c>
      <c r="X132" s="27" t="s">
        <v>76</v>
      </c>
      <c r="Y132" s="28">
        <v>42235</v>
      </c>
      <c r="Z132" s="27" t="s">
        <v>83</v>
      </c>
      <c r="AA132" s="28">
        <v>42242</v>
      </c>
      <c r="AB132" s="27"/>
      <c r="AC132" s="27"/>
      <c r="AD132" s="27"/>
      <c r="AE132" s="27" t="s">
        <v>183</v>
      </c>
      <c r="AF132" s="27" t="s">
        <v>385</v>
      </c>
      <c r="AG132" s="27" t="s">
        <v>77</v>
      </c>
      <c r="AH132" s="27" t="s">
        <v>394</v>
      </c>
    </row>
    <row r="133" spans="1:34" x14ac:dyDescent="0.2">
      <c r="A133" s="27">
        <v>10018940</v>
      </c>
      <c r="B133" s="27" t="s">
        <v>26</v>
      </c>
      <c r="C133" s="27" t="s">
        <v>78</v>
      </c>
      <c r="D133" s="28">
        <v>42234</v>
      </c>
      <c r="E133" s="27">
        <v>93480025</v>
      </c>
      <c r="F133" s="28">
        <v>42229</v>
      </c>
      <c r="G133" s="28">
        <v>42230</v>
      </c>
      <c r="H133" s="27">
        <v>1201215</v>
      </c>
      <c r="I133" s="27" t="s">
        <v>138</v>
      </c>
      <c r="J133" s="27">
        <v>1324492</v>
      </c>
      <c r="K133" s="27" t="s">
        <v>138</v>
      </c>
      <c r="L133" s="27">
        <v>1201215</v>
      </c>
      <c r="M133" s="27" t="s">
        <v>138</v>
      </c>
      <c r="N133" s="27" t="s">
        <v>395</v>
      </c>
      <c r="O133" s="27"/>
      <c r="P133" s="27"/>
      <c r="Q133" s="27" t="s">
        <v>181</v>
      </c>
      <c r="R133" s="27" t="s">
        <v>67</v>
      </c>
      <c r="S133" s="27" t="s">
        <v>68</v>
      </c>
      <c r="T133" s="27">
        <v>278.39999999999998</v>
      </c>
      <c r="U133" s="27" t="s">
        <v>182</v>
      </c>
      <c r="V133" s="27" t="s">
        <v>63</v>
      </c>
      <c r="W133" s="27" t="s">
        <v>94</v>
      </c>
      <c r="X133" s="27" t="s">
        <v>95</v>
      </c>
      <c r="Y133" s="28">
        <v>42236</v>
      </c>
      <c r="Z133" s="27" t="s">
        <v>64</v>
      </c>
      <c r="AA133" s="28">
        <v>42234</v>
      </c>
      <c r="AB133" s="27"/>
      <c r="AC133" s="27"/>
      <c r="AD133" s="27"/>
      <c r="AE133" s="27" t="s">
        <v>183</v>
      </c>
      <c r="AF133" s="27">
        <v>3511786353</v>
      </c>
      <c r="AG133" s="27" t="s">
        <v>96</v>
      </c>
      <c r="AH133" s="27" t="s">
        <v>396</v>
      </c>
    </row>
    <row r="134" spans="1:34" x14ac:dyDescent="0.2">
      <c r="A134" s="27">
        <v>10018941</v>
      </c>
      <c r="B134" s="27" t="s">
        <v>26</v>
      </c>
      <c r="C134" s="27" t="s">
        <v>78</v>
      </c>
      <c r="D134" s="28">
        <v>42234</v>
      </c>
      <c r="E134" s="27">
        <v>93480239</v>
      </c>
      <c r="F134" s="28">
        <v>42229</v>
      </c>
      <c r="G134" s="28">
        <v>42233</v>
      </c>
      <c r="H134" s="27">
        <v>1201540</v>
      </c>
      <c r="I134" s="27" t="s">
        <v>150</v>
      </c>
      <c r="J134" s="27">
        <v>1312297</v>
      </c>
      <c r="K134" s="27" t="s">
        <v>151</v>
      </c>
      <c r="L134" s="27">
        <v>1201540</v>
      </c>
      <c r="M134" s="27" t="s">
        <v>150</v>
      </c>
      <c r="N134" s="27" t="s">
        <v>397</v>
      </c>
      <c r="O134" s="27"/>
      <c r="P134" s="27"/>
      <c r="Q134" s="27" t="s">
        <v>181</v>
      </c>
      <c r="R134" s="27" t="s">
        <v>67</v>
      </c>
      <c r="S134" s="27" t="s">
        <v>68</v>
      </c>
      <c r="T134" s="27">
        <v>4716</v>
      </c>
      <c r="U134" s="27" t="s">
        <v>182</v>
      </c>
      <c r="V134" s="27" t="s">
        <v>63</v>
      </c>
      <c r="W134" s="27" t="s">
        <v>94</v>
      </c>
      <c r="X134" s="27" t="s">
        <v>95</v>
      </c>
      <c r="Y134" s="28">
        <v>42235</v>
      </c>
      <c r="Z134" s="27" t="s">
        <v>83</v>
      </c>
      <c r="AA134" s="28">
        <v>42242</v>
      </c>
      <c r="AB134" s="27"/>
      <c r="AC134" s="27"/>
      <c r="AD134" s="27"/>
      <c r="AE134" s="27" t="s">
        <v>183</v>
      </c>
      <c r="AF134" s="27">
        <v>3511786460</v>
      </c>
      <c r="AG134" s="27" t="s">
        <v>96</v>
      </c>
      <c r="AH134" s="27" t="s">
        <v>398</v>
      </c>
    </row>
    <row r="135" spans="1:34" x14ac:dyDescent="0.2">
      <c r="A135" s="27">
        <v>10018942</v>
      </c>
      <c r="B135" s="27" t="s">
        <v>18</v>
      </c>
      <c r="C135" s="27" t="s">
        <v>78</v>
      </c>
      <c r="D135" s="28">
        <v>42234</v>
      </c>
      <c r="E135" s="27">
        <v>93480239</v>
      </c>
      <c r="F135" s="28">
        <v>42229</v>
      </c>
      <c r="G135" s="28">
        <v>42233</v>
      </c>
      <c r="H135" s="27">
        <v>1201540</v>
      </c>
      <c r="I135" s="27" t="s">
        <v>150</v>
      </c>
      <c r="J135" s="27">
        <v>1312297</v>
      </c>
      <c r="K135" s="27" t="s">
        <v>151</v>
      </c>
      <c r="L135" s="27">
        <v>1201540</v>
      </c>
      <c r="M135" s="27" t="s">
        <v>150</v>
      </c>
      <c r="N135" s="27" t="s">
        <v>397</v>
      </c>
      <c r="O135" s="27"/>
      <c r="P135" s="27"/>
      <c r="Q135" s="27" t="s">
        <v>181</v>
      </c>
      <c r="R135" s="27" t="s">
        <v>67</v>
      </c>
      <c r="S135" s="27" t="s">
        <v>68</v>
      </c>
      <c r="T135" s="27">
        <v>1629.87</v>
      </c>
      <c r="U135" s="27" t="s">
        <v>182</v>
      </c>
      <c r="V135" s="27" t="s">
        <v>69</v>
      </c>
      <c r="W135" s="27" t="s">
        <v>70</v>
      </c>
      <c r="X135" s="27" t="s">
        <v>76</v>
      </c>
      <c r="Y135" s="28">
        <v>42235</v>
      </c>
      <c r="Z135" s="27" t="s">
        <v>83</v>
      </c>
      <c r="AA135" s="28">
        <v>42242</v>
      </c>
      <c r="AB135" s="27" t="s">
        <v>100</v>
      </c>
      <c r="AC135" s="27">
        <v>61978287</v>
      </c>
      <c r="AD135" s="28">
        <v>42257</v>
      </c>
      <c r="AE135" s="27" t="s">
        <v>183</v>
      </c>
      <c r="AF135" s="27">
        <v>3511786460</v>
      </c>
      <c r="AG135" s="27" t="s">
        <v>77</v>
      </c>
      <c r="AH135" s="27" t="s">
        <v>399</v>
      </c>
    </row>
    <row r="136" spans="1:34" x14ac:dyDescent="0.2">
      <c r="A136" s="27">
        <v>10018943</v>
      </c>
      <c r="B136" s="27" t="s">
        <v>26</v>
      </c>
      <c r="C136" s="27" t="s">
        <v>78</v>
      </c>
      <c r="D136" s="28">
        <v>42234</v>
      </c>
      <c r="E136" s="27">
        <v>93484328</v>
      </c>
      <c r="F136" s="28">
        <v>42233</v>
      </c>
      <c r="G136" s="27"/>
      <c r="H136" s="27">
        <v>1324774</v>
      </c>
      <c r="I136" s="27" t="s">
        <v>389</v>
      </c>
      <c r="J136" s="27">
        <v>1317726</v>
      </c>
      <c r="K136" s="27" t="s">
        <v>389</v>
      </c>
      <c r="L136" s="27">
        <v>1324774</v>
      </c>
      <c r="M136" s="27" t="s">
        <v>389</v>
      </c>
      <c r="N136" s="27">
        <v>150000148025</v>
      </c>
      <c r="O136" s="27"/>
      <c r="P136" s="27"/>
      <c r="Q136" s="27" t="s">
        <v>181</v>
      </c>
      <c r="R136" s="27" t="s">
        <v>102</v>
      </c>
      <c r="S136" s="27" t="s">
        <v>103</v>
      </c>
      <c r="T136" s="27">
        <v>7.2</v>
      </c>
      <c r="U136" s="27" t="s">
        <v>182</v>
      </c>
      <c r="V136" s="27" t="s">
        <v>63</v>
      </c>
      <c r="W136" s="27" t="s">
        <v>94</v>
      </c>
      <c r="X136" s="27" t="s">
        <v>95</v>
      </c>
      <c r="Y136" s="28">
        <v>42261</v>
      </c>
      <c r="Z136" s="27" t="s">
        <v>64</v>
      </c>
      <c r="AA136" s="28">
        <v>42234</v>
      </c>
      <c r="AB136" s="27"/>
      <c r="AC136" s="27"/>
      <c r="AD136" s="27"/>
      <c r="AE136" s="27" t="s">
        <v>183</v>
      </c>
      <c r="AF136" s="27" t="s">
        <v>400</v>
      </c>
      <c r="AG136" s="27" t="s">
        <v>96</v>
      </c>
      <c r="AH136" s="27" t="s">
        <v>401</v>
      </c>
    </row>
    <row r="137" spans="1:34" x14ac:dyDescent="0.2">
      <c r="A137" s="27">
        <v>10018944</v>
      </c>
      <c r="B137" s="27" t="s">
        <v>18</v>
      </c>
      <c r="C137" s="27" t="s">
        <v>78</v>
      </c>
      <c r="D137" s="28">
        <v>42234</v>
      </c>
      <c r="E137" s="27">
        <v>93484342</v>
      </c>
      <c r="F137" s="28">
        <v>42233</v>
      </c>
      <c r="G137" s="27"/>
      <c r="H137" s="27">
        <v>1338761</v>
      </c>
      <c r="I137" s="27" t="s">
        <v>402</v>
      </c>
      <c r="J137" s="27">
        <v>1338761</v>
      </c>
      <c r="K137" s="27" t="s">
        <v>402</v>
      </c>
      <c r="L137" s="27">
        <v>1338761</v>
      </c>
      <c r="M137" s="27" t="s">
        <v>402</v>
      </c>
      <c r="N137" s="27">
        <v>2565</v>
      </c>
      <c r="O137" s="27"/>
      <c r="P137" s="27"/>
      <c r="Q137" s="27" t="s">
        <v>181</v>
      </c>
      <c r="R137" s="27" t="s">
        <v>102</v>
      </c>
      <c r="S137" s="27" t="s">
        <v>103</v>
      </c>
      <c r="T137" s="27">
        <v>1388.54</v>
      </c>
      <c r="U137" s="27" t="s">
        <v>182</v>
      </c>
      <c r="V137" s="27" t="s">
        <v>69</v>
      </c>
      <c r="W137" s="27" t="s">
        <v>70</v>
      </c>
      <c r="X137" s="27" t="s">
        <v>76</v>
      </c>
      <c r="Y137" s="28">
        <v>42235</v>
      </c>
      <c r="Z137" s="27" t="s">
        <v>83</v>
      </c>
      <c r="AA137" s="28">
        <v>42242</v>
      </c>
      <c r="AB137" s="27" t="s">
        <v>100</v>
      </c>
      <c r="AC137" s="27">
        <v>61986443</v>
      </c>
      <c r="AD137" s="28">
        <v>42269</v>
      </c>
      <c r="AE137" s="27" t="s">
        <v>183</v>
      </c>
      <c r="AF137" s="27">
        <v>636808603922</v>
      </c>
      <c r="AG137" s="27" t="s">
        <v>77</v>
      </c>
      <c r="AH137" s="27" t="s">
        <v>196</v>
      </c>
    </row>
    <row r="138" spans="1:34" x14ac:dyDescent="0.2">
      <c r="A138" s="27">
        <v>10018945</v>
      </c>
      <c r="B138" s="27" t="s">
        <v>26</v>
      </c>
      <c r="C138" s="27" t="s">
        <v>78</v>
      </c>
      <c r="D138" s="28">
        <v>42234</v>
      </c>
      <c r="E138" s="27">
        <v>93474880</v>
      </c>
      <c r="F138" s="28">
        <v>42226</v>
      </c>
      <c r="G138" s="28">
        <v>42233</v>
      </c>
      <c r="H138" s="27">
        <v>1201156</v>
      </c>
      <c r="I138" s="27" t="s">
        <v>131</v>
      </c>
      <c r="J138" s="27">
        <v>1325957</v>
      </c>
      <c r="K138" s="27" t="s">
        <v>133</v>
      </c>
      <c r="L138" s="27">
        <v>1201156</v>
      </c>
      <c r="M138" s="27" t="s">
        <v>131</v>
      </c>
      <c r="N138" s="27">
        <v>263099</v>
      </c>
      <c r="O138" s="27"/>
      <c r="P138" s="27"/>
      <c r="Q138" s="27" t="s">
        <v>181</v>
      </c>
      <c r="R138" s="27" t="s">
        <v>61</v>
      </c>
      <c r="S138" s="27" t="s">
        <v>62</v>
      </c>
      <c r="T138" s="27">
        <v>1011.6</v>
      </c>
      <c r="U138" s="27" t="s">
        <v>182</v>
      </c>
      <c r="V138" s="27" t="s">
        <v>69</v>
      </c>
      <c r="W138" s="27" t="s">
        <v>94</v>
      </c>
      <c r="X138" s="27" t="s">
        <v>71</v>
      </c>
      <c r="Y138" s="28">
        <v>42236</v>
      </c>
      <c r="Z138" s="27" t="s">
        <v>83</v>
      </c>
      <c r="AA138" s="28">
        <v>42242</v>
      </c>
      <c r="AB138" s="27" t="s">
        <v>72</v>
      </c>
      <c r="AC138" s="27">
        <v>61972084</v>
      </c>
      <c r="AD138" s="28">
        <v>42248</v>
      </c>
      <c r="AE138" s="27" t="s">
        <v>183</v>
      </c>
      <c r="AF138" s="27">
        <v>327755257</v>
      </c>
      <c r="AG138" s="27" t="s">
        <v>96</v>
      </c>
      <c r="AH138" s="27" t="s">
        <v>403</v>
      </c>
    </row>
    <row r="139" spans="1:34" x14ac:dyDescent="0.2">
      <c r="A139" s="27">
        <v>10018946</v>
      </c>
      <c r="B139" s="27" t="s">
        <v>26</v>
      </c>
      <c r="C139" s="27" t="s">
        <v>78</v>
      </c>
      <c r="D139" s="28">
        <v>42234</v>
      </c>
      <c r="E139" s="27">
        <v>93474657</v>
      </c>
      <c r="F139" s="28">
        <v>42226</v>
      </c>
      <c r="G139" s="28">
        <v>42228</v>
      </c>
      <c r="H139" s="27">
        <v>1201047</v>
      </c>
      <c r="I139" s="27" t="s">
        <v>79</v>
      </c>
      <c r="J139" s="27">
        <v>1309880</v>
      </c>
      <c r="K139" s="27" t="s">
        <v>108</v>
      </c>
      <c r="L139" s="27">
        <v>1171089</v>
      </c>
      <c r="M139" s="27" t="s">
        <v>75</v>
      </c>
      <c r="N139" s="27">
        <v>18744545</v>
      </c>
      <c r="O139" s="27"/>
      <c r="P139" s="27"/>
      <c r="Q139" s="27" t="s">
        <v>181</v>
      </c>
      <c r="R139" s="27" t="s">
        <v>67</v>
      </c>
      <c r="S139" s="27" t="s">
        <v>68</v>
      </c>
      <c r="T139" s="27">
        <v>1260</v>
      </c>
      <c r="U139" s="27" t="s">
        <v>182</v>
      </c>
      <c r="V139" s="27" t="s">
        <v>69</v>
      </c>
      <c r="W139" s="27" t="s">
        <v>94</v>
      </c>
      <c r="X139" s="27" t="s">
        <v>95</v>
      </c>
      <c r="Y139" s="28">
        <v>42235</v>
      </c>
      <c r="Z139" s="27" t="s">
        <v>83</v>
      </c>
      <c r="AA139" s="28">
        <v>42242</v>
      </c>
      <c r="AB139" s="27" t="s">
        <v>100</v>
      </c>
      <c r="AC139" s="27">
        <v>61970039</v>
      </c>
      <c r="AD139" s="28">
        <v>42244</v>
      </c>
      <c r="AE139" s="27" t="s">
        <v>183</v>
      </c>
      <c r="AF139" s="27">
        <v>3511785502</v>
      </c>
      <c r="AG139" s="27" t="s">
        <v>96</v>
      </c>
      <c r="AH139" s="27" t="s">
        <v>404</v>
      </c>
    </row>
    <row r="140" spans="1:34" x14ac:dyDescent="0.2">
      <c r="A140" s="27">
        <v>10018947</v>
      </c>
      <c r="B140" s="27" t="s">
        <v>18</v>
      </c>
      <c r="C140" s="27" t="s">
        <v>74</v>
      </c>
      <c r="D140" s="28">
        <v>42234</v>
      </c>
      <c r="E140" s="27">
        <v>93478124</v>
      </c>
      <c r="F140" s="28">
        <v>42228</v>
      </c>
      <c r="G140" s="27"/>
      <c r="H140" s="27">
        <v>1201120</v>
      </c>
      <c r="I140" s="27" t="s">
        <v>117</v>
      </c>
      <c r="J140" s="27">
        <v>1307782</v>
      </c>
      <c r="K140" s="27" t="s">
        <v>119</v>
      </c>
      <c r="L140" s="27">
        <v>1171090</v>
      </c>
      <c r="M140" s="27" t="s">
        <v>118</v>
      </c>
      <c r="N140" s="27" t="s">
        <v>259</v>
      </c>
      <c r="O140" s="27"/>
      <c r="P140" s="27"/>
      <c r="Q140" s="27" t="s">
        <v>181</v>
      </c>
      <c r="R140" s="27" t="s">
        <v>97</v>
      </c>
      <c r="S140" s="27" t="s">
        <v>98</v>
      </c>
      <c r="T140" s="27">
        <v>5604.62</v>
      </c>
      <c r="U140" s="27" t="s">
        <v>182</v>
      </c>
      <c r="V140" s="27" t="s">
        <v>63</v>
      </c>
      <c r="W140" s="27" t="s">
        <v>70</v>
      </c>
      <c r="X140" s="27" t="s">
        <v>76</v>
      </c>
      <c r="Y140" s="28">
        <v>42237</v>
      </c>
      <c r="Z140" s="27" t="s">
        <v>83</v>
      </c>
      <c r="AA140" s="28">
        <v>42241</v>
      </c>
      <c r="AB140" s="27"/>
      <c r="AC140" s="27"/>
      <c r="AD140" s="27"/>
      <c r="AE140" s="27" t="s">
        <v>183</v>
      </c>
      <c r="AF140" s="27" t="s">
        <v>405</v>
      </c>
      <c r="AG140" s="27" t="s">
        <v>77</v>
      </c>
      <c r="AH140" s="27" t="s">
        <v>406</v>
      </c>
    </row>
    <row r="141" spans="1:34" x14ac:dyDescent="0.2">
      <c r="A141" s="27">
        <v>10018948</v>
      </c>
      <c r="B141" s="27" t="s">
        <v>24</v>
      </c>
      <c r="C141" s="27" t="s">
        <v>78</v>
      </c>
      <c r="D141" s="28">
        <v>42234</v>
      </c>
      <c r="E141" s="27">
        <v>93476017</v>
      </c>
      <c r="F141" s="28">
        <v>42227</v>
      </c>
      <c r="G141" s="28">
        <v>42230</v>
      </c>
      <c r="H141" s="27">
        <v>1201047</v>
      </c>
      <c r="I141" s="27" t="s">
        <v>79</v>
      </c>
      <c r="J141" s="27">
        <v>1003696</v>
      </c>
      <c r="K141" s="27" t="s">
        <v>80</v>
      </c>
      <c r="L141" s="27">
        <v>1171089</v>
      </c>
      <c r="M141" s="27" t="s">
        <v>75</v>
      </c>
      <c r="N141" s="27">
        <v>24502023</v>
      </c>
      <c r="O141" s="27"/>
      <c r="P141" s="27"/>
      <c r="Q141" s="27" t="s">
        <v>181</v>
      </c>
      <c r="R141" s="27" t="s">
        <v>67</v>
      </c>
      <c r="S141" s="27" t="s">
        <v>68</v>
      </c>
      <c r="T141" s="27">
        <v>20179.080000000002</v>
      </c>
      <c r="U141" s="27" t="s">
        <v>182</v>
      </c>
      <c r="V141" s="27" t="s">
        <v>69</v>
      </c>
      <c r="W141" s="27" t="s">
        <v>70</v>
      </c>
      <c r="X141" s="27" t="s">
        <v>71</v>
      </c>
      <c r="Y141" s="28">
        <v>42242</v>
      </c>
      <c r="Z141" s="27" t="s">
        <v>83</v>
      </c>
      <c r="AA141" s="28">
        <v>42242</v>
      </c>
      <c r="AB141" s="27" t="s">
        <v>72</v>
      </c>
      <c r="AC141" s="27">
        <v>61978264</v>
      </c>
      <c r="AD141" s="28">
        <v>42257</v>
      </c>
      <c r="AE141" s="27" t="s">
        <v>183</v>
      </c>
      <c r="AF141" s="27">
        <v>3511785756</v>
      </c>
      <c r="AG141" s="27" t="s">
        <v>73</v>
      </c>
      <c r="AH141" s="27" t="s">
        <v>407</v>
      </c>
    </row>
    <row r="142" spans="1:34" x14ac:dyDescent="0.2">
      <c r="A142" s="27">
        <v>10018949</v>
      </c>
      <c r="B142" s="27" t="s">
        <v>18</v>
      </c>
      <c r="C142" s="27" t="s">
        <v>74</v>
      </c>
      <c r="D142" s="28">
        <v>42234</v>
      </c>
      <c r="E142" s="27">
        <v>93478120</v>
      </c>
      <c r="F142" s="28">
        <v>42228</v>
      </c>
      <c r="G142" s="27"/>
      <c r="H142" s="27">
        <v>1201120</v>
      </c>
      <c r="I142" s="27" t="s">
        <v>117</v>
      </c>
      <c r="J142" s="27">
        <v>1307782</v>
      </c>
      <c r="K142" s="27" t="s">
        <v>119</v>
      </c>
      <c r="L142" s="27">
        <v>1171090</v>
      </c>
      <c r="M142" s="27" t="s">
        <v>118</v>
      </c>
      <c r="N142" s="27" t="s">
        <v>259</v>
      </c>
      <c r="O142" s="27"/>
      <c r="P142" s="27"/>
      <c r="Q142" s="27" t="s">
        <v>181</v>
      </c>
      <c r="R142" s="27" t="s">
        <v>279</v>
      </c>
      <c r="S142" s="27" t="s">
        <v>280</v>
      </c>
      <c r="T142" s="27">
        <v>5930.4</v>
      </c>
      <c r="U142" s="27" t="s">
        <v>182</v>
      </c>
      <c r="V142" s="27" t="s">
        <v>63</v>
      </c>
      <c r="W142" s="27" t="s">
        <v>70</v>
      </c>
      <c r="X142" s="27" t="s">
        <v>76</v>
      </c>
      <c r="Y142" s="28">
        <v>42237</v>
      </c>
      <c r="Z142" s="27" t="s">
        <v>83</v>
      </c>
      <c r="AA142" s="28">
        <v>42241</v>
      </c>
      <c r="AB142" s="27"/>
      <c r="AC142" s="27"/>
      <c r="AD142" s="27"/>
      <c r="AE142" s="27" t="s">
        <v>183</v>
      </c>
      <c r="AF142" s="27" t="s">
        <v>385</v>
      </c>
      <c r="AG142" s="27" t="s">
        <v>77</v>
      </c>
      <c r="AH142" s="27" t="s">
        <v>388</v>
      </c>
    </row>
    <row r="143" spans="1:34" x14ac:dyDescent="0.2">
      <c r="A143" s="27">
        <v>10018950</v>
      </c>
      <c r="B143" s="27" t="s">
        <v>24</v>
      </c>
      <c r="C143" s="27" t="s">
        <v>78</v>
      </c>
      <c r="D143" s="28">
        <v>42234</v>
      </c>
      <c r="E143" s="27">
        <v>93481360</v>
      </c>
      <c r="F143" s="28">
        <v>42230</v>
      </c>
      <c r="G143" s="28">
        <v>42234</v>
      </c>
      <c r="H143" s="27">
        <v>1201047</v>
      </c>
      <c r="I143" s="27" t="s">
        <v>79</v>
      </c>
      <c r="J143" s="27">
        <v>1034532</v>
      </c>
      <c r="K143" s="27" t="s">
        <v>301</v>
      </c>
      <c r="L143" s="27">
        <v>1171089</v>
      </c>
      <c r="M143" s="27" t="s">
        <v>75</v>
      </c>
      <c r="N143" s="27">
        <v>25427458</v>
      </c>
      <c r="O143" s="27"/>
      <c r="P143" s="27"/>
      <c r="Q143" s="27" t="s">
        <v>181</v>
      </c>
      <c r="R143" s="27" t="s">
        <v>67</v>
      </c>
      <c r="S143" s="27" t="s">
        <v>68</v>
      </c>
      <c r="T143" s="27">
        <v>3850</v>
      </c>
      <c r="U143" s="27" t="s">
        <v>182</v>
      </c>
      <c r="V143" s="27" t="s">
        <v>69</v>
      </c>
      <c r="W143" s="27" t="s">
        <v>70</v>
      </c>
      <c r="X143" s="27" t="s">
        <v>71</v>
      </c>
      <c r="Y143" s="28">
        <v>42242</v>
      </c>
      <c r="Z143" s="27" t="s">
        <v>64</v>
      </c>
      <c r="AA143" s="28">
        <v>42234</v>
      </c>
      <c r="AB143" s="27" t="s">
        <v>72</v>
      </c>
      <c r="AC143" s="27">
        <v>61972085</v>
      </c>
      <c r="AD143" s="28">
        <v>42248</v>
      </c>
      <c r="AE143" s="27" t="s">
        <v>183</v>
      </c>
      <c r="AF143" s="27">
        <v>3511786644</v>
      </c>
      <c r="AG143" s="27" t="s">
        <v>73</v>
      </c>
      <c r="AH143" s="27" t="s">
        <v>112</v>
      </c>
    </row>
    <row r="144" spans="1:34" x14ac:dyDescent="0.2">
      <c r="A144" s="27">
        <v>10018951</v>
      </c>
      <c r="B144" s="27" t="s">
        <v>18</v>
      </c>
      <c r="C144" s="27" t="s">
        <v>78</v>
      </c>
      <c r="D144" s="28">
        <v>42235</v>
      </c>
      <c r="E144" s="27">
        <v>93474653</v>
      </c>
      <c r="F144" s="28">
        <v>42226</v>
      </c>
      <c r="G144" s="28">
        <v>42229</v>
      </c>
      <c r="H144" s="27">
        <v>1201047</v>
      </c>
      <c r="I144" s="27" t="s">
        <v>79</v>
      </c>
      <c r="J144" s="27">
        <v>1030742</v>
      </c>
      <c r="K144" s="27" t="s">
        <v>80</v>
      </c>
      <c r="L144" s="27">
        <v>1171089</v>
      </c>
      <c r="M144" s="27" t="s">
        <v>75</v>
      </c>
      <c r="N144" s="27">
        <v>20925051</v>
      </c>
      <c r="O144" s="27"/>
      <c r="P144" s="27"/>
      <c r="Q144" s="27" t="s">
        <v>181</v>
      </c>
      <c r="R144" s="27" t="s">
        <v>67</v>
      </c>
      <c r="S144" s="27" t="s">
        <v>68</v>
      </c>
      <c r="T144" s="27">
        <v>226.32</v>
      </c>
      <c r="U144" s="27" t="s">
        <v>182</v>
      </c>
      <c r="V144" s="27" t="s">
        <v>63</v>
      </c>
      <c r="W144" s="27" t="s">
        <v>70</v>
      </c>
      <c r="X144" s="27" t="s">
        <v>76</v>
      </c>
      <c r="Y144" s="28">
        <v>42237</v>
      </c>
      <c r="Z144" s="27" t="s">
        <v>64</v>
      </c>
      <c r="AA144" s="28">
        <v>42235</v>
      </c>
      <c r="AB144" s="27"/>
      <c r="AC144" s="27"/>
      <c r="AD144" s="27"/>
      <c r="AE144" s="27" t="s">
        <v>183</v>
      </c>
      <c r="AF144" s="27">
        <v>3511785631</v>
      </c>
      <c r="AG144" s="27" t="s">
        <v>77</v>
      </c>
      <c r="AH144" s="27" t="s">
        <v>408</v>
      </c>
    </row>
    <row r="145" spans="1:34" x14ac:dyDescent="0.2">
      <c r="A145" s="27">
        <v>10018952</v>
      </c>
      <c r="B145" s="27" t="s">
        <v>26</v>
      </c>
      <c r="C145" s="27" t="s">
        <v>78</v>
      </c>
      <c r="D145" s="28">
        <v>42235</v>
      </c>
      <c r="E145" s="27">
        <v>93474653</v>
      </c>
      <c r="F145" s="28">
        <v>42226</v>
      </c>
      <c r="G145" s="28">
        <v>42229</v>
      </c>
      <c r="H145" s="27">
        <v>1201047</v>
      </c>
      <c r="I145" s="27" t="s">
        <v>79</v>
      </c>
      <c r="J145" s="27">
        <v>1030742</v>
      </c>
      <c r="K145" s="27" t="s">
        <v>80</v>
      </c>
      <c r="L145" s="27">
        <v>1171089</v>
      </c>
      <c r="M145" s="27" t="s">
        <v>75</v>
      </c>
      <c r="N145" s="27">
        <v>20925051</v>
      </c>
      <c r="O145" s="27"/>
      <c r="P145" s="27"/>
      <c r="Q145" s="27" t="s">
        <v>181</v>
      </c>
      <c r="R145" s="27" t="s">
        <v>67</v>
      </c>
      <c r="S145" s="27" t="s">
        <v>68</v>
      </c>
      <c r="T145" s="27">
        <v>226.32</v>
      </c>
      <c r="U145" s="27" t="s">
        <v>182</v>
      </c>
      <c r="V145" s="27" t="s">
        <v>63</v>
      </c>
      <c r="W145" s="27" t="s">
        <v>70</v>
      </c>
      <c r="X145" s="27" t="s">
        <v>82</v>
      </c>
      <c r="Y145" s="28">
        <v>42237</v>
      </c>
      <c r="Z145" s="27" t="s">
        <v>64</v>
      </c>
      <c r="AA145" s="28">
        <v>42235</v>
      </c>
      <c r="AB145" s="27"/>
      <c r="AC145" s="27"/>
      <c r="AD145" s="27"/>
      <c r="AE145" s="27" t="s">
        <v>183</v>
      </c>
      <c r="AF145" s="27">
        <v>3511785631</v>
      </c>
      <c r="AG145" s="27" t="s">
        <v>77</v>
      </c>
      <c r="AH145" s="27" t="s">
        <v>409</v>
      </c>
    </row>
    <row r="146" spans="1:34" x14ac:dyDescent="0.2">
      <c r="A146" s="27">
        <v>10018953</v>
      </c>
      <c r="B146" s="27" t="s">
        <v>18</v>
      </c>
      <c r="C146" s="27" t="s">
        <v>78</v>
      </c>
      <c r="D146" s="28">
        <v>42235</v>
      </c>
      <c r="E146" s="27">
        <v>93480218</v>
      </c>
      <c r="F146" s="28">
        <v>42229</v>
      </c>
      <c r="G146" s="28">
        <v>42230</v>
      </c>
      <c r="H146" s="27">
        <v>1201483</v>
      </c>
      <c r="I146" s="27" t="s">
        <v>147</v>
      </c>
      <c r="J146" s="27">
        <v>1001169</v>
      </c>
      <c r="K146" s="27" t="s">
        <v>148</v>
      </c>
      <c r="L146" s="27">
        <v>1201483</v>
      </c>
      <c r="M146" s="27" t="s">
        <v>147</v>
      </c>
      <c r="N146" s="27">
        <v>92931</v>
      </c>
      <c r="O146" s="27"/>
      <c r="P146" s="27"/>
      <c r="Q146" s="27" t="s">
        <v>181</v>
      </c>
      <c r="R146" s="27" t="s">
        <v>67</v>
      </c>
      <c r="S146" s="27" t="s">
        <v>68</v>
      </c>
      <c r="T146" s="27">
        <v>351.91</v>
      </c>
      <c r="U146" s="27" t="s">
        <v>182</v>
      </c>
      <c r="V146" s="27" t="s">
        <v>69</v>
      </c>
      <c r="W146" s="27" t="s">
        <v>70</v>
      </c>
      <c r="X146" s="27" t="s">
        <v>76</v>
      </c>
      <c r="Y146" s="28">
        <v>42244</v>
      </c>
      <c r="Z146" s="27" t="s">
        <v>64</v>
      </c>
      <c r="AA146" s="28">
        <v>42235</v>
      </c>
      <c r="AB146" s="27" t="s">
        <v>100</v>
      </c>
      <c r="AC146" s="27">
        <v>61983470</v>
      </c>
      <c r="AD146" s="28">
        <v>42265</v>
      </c>
      <c r="AE146" s="27" t="s">
        <v>183</v>
      </c>
      <c r="AF146" s="27">
        <v>3511786342</v>
      </c>
      <c r="AG146" s="27" t="s">
        <v>77</v>
      </c>
      <c r="AH146" s="27" t="s">
        <v>410</v>
      </c>
    </row>
    <row r="147" spans="1:34" x14ac:dyDescent="0.2">
      <c r="A147" s="27">
        <v>10018954</v>
      </c>
      <c r="B147" s="27" t="s">
        <v>18</v>
      </c>
      <c r="C147" s="27" t="s">
        <v>78</v>
      </c>
      <c r="D147" s="28">
        <v>42235</v>
      </c>
      <c r="E147" s="27">
        <v>93479800</v>
      </c>
      <c r="F147" s="28">
        <v>42229</v>
      </c>
      <c r="G147" s="27"/>
      <c r="H147" s="27">
        <v>1201047</v>
      </c>
      <c r="I147" s="27" t="s">
        <v>79</v>
      </c>
      <c r="J147" s="27">
        <v>1311671</v>
      </c>
      <c r="K147" s="27" t="s">
        <v>90</v>
      </c>
      <c r="L147" s="27">
        <v>1171089</v>
      </c>
      <c r="M147" s="27" t="s">
        <v>75</v>
      </c>
      <c r="N147" s="27">
        <v>21455766</v>
      </c>
      <c r="O147" s="27"/>
      <c r="P147" s="27"/>
      <c r="Q147" s="27" t="s">
        <v>181</v>
      </c>
      <c r="R147" s="27" t="s">
        <v>279</v>
      </c>
      <c r="S147" s="27" t="s">
        <v>280</v>
      </c>
      <c r="T147" s="27">
        <v>294.77999999999997</v>
      </c>
      <c r="U147" s="27" t="s">
        <v>182</v>
      </c>
      <c r="V147" s="27" t="s">
        <v>69</v>
      </c>
      <c r="W147" s="27" t="s">
        <v>70</v>
      </c>
      <c r="X147" s="27" t="s">
        <v>76</v>
      </c>
      <c r="Y147" s="28">
        <v>42244</v>
      </c>
      <c r="Z147" s="27" t="s">
        <v>64</v>
      </c>
      <c r="AA147" s="28">
        <v>42235</v>
      </c>
      <c r="AB147" s="27" t="s">
        <v>100</v>
      </c>
      <c r="AC147" s="27">
        <v>61980665</v>
      </c>
      <c r="AD147" s="28">
        <v>42261</v>
      </c>
      <c r="AE147" s="27" t="s">
        <v>183</v>
      </c>
      <c r="AF147" s="27" t="s">
        <v>411</v>
      </c>
      <c r="AG147" s="27" t="s">
        <v>77</v>
      </c>
      <c r="AH147" s="27" t="s">
        <v>191</v>
      </c>
    </row>
    <row r="148" spans="1:34" x14ac:dyDescent="0.2">
      <c r="A148" s="27">
        <v>10018955</v>
      </c>
      <c r="B148" s="27" t="s">
        <v>26</v>
      </c>
      <c r="C148" s="27" t="s">
        <v>78</v>
      </c>
      <c r="D148" s="28">
        <v>42235</v>
      </c>
      <c r="E148" s="27">
        <v>93479791</v>
      </c>
      <c r="F148" s="28">
        <v>42229</v>
      </c>
      <c r="G148" s="28">
        <v>42233</v>
      </c>
      <c r="H148" s="27">
        <v>1201047</v>
      </c>
      <c r="I148" s="27" t="s">
        <v>79</v>
      </c>
      <c r="J148" s="27">
        <v>1049975</v>
      </c>
      <c r="K148" s="27" t="s">
        <v>247</v>
      </c>
      <c r="L148" s="27">
        <v>1171089</v>
      </c>
      <c r="M148" s="27" t="s">
        <v>75</v>
      </c>
      <c r="N148" s="27">
        <v>44292339</v>
      </c>
      <c r="O148" s="27"/>
      <c r="P148" s="27"/>
      <c r="Q148" s="27" t="s">
        <v>181</v>
      </c>
      <c r="R148" s="27" t="s">
        <v>67</v>
      </c>
      <c r="S148" s="27" t="s">
        <v>68</v>
      </c>
      <c r="T148" s="27">
        <v>1100</v>
      </c>
      <c r="U148" s="27" t="s">
        <v>182</v>
      </c>
      <c r="V148" s="27" t="s">
        <v>69</v>
      </c>
      <c r="W148" s="27" t="s">
        <v>94</v>
      </c>
      <c r="X148" s="27" t="s">
        <v>95</v>
      </c>
      <c r="Y148" s="28">
        <v>42236</v>
      </c>
      <c r="Z148" s="27" t="s">
        <v>83</v>
      </c>
      <c r="AA148" s="28">
        <v>42242</v>
      </c>
      <c r="AB148" s="27" t="s">
        <v>100</v>
      </c>
      <c r="AC148" s="27">
        <v>61970040</v>
      </c>
      <c r="AD148" s="28">
        <v>42244</v>
      </c>
      <c r="AE148" s="27" t="s">
        <v>183</v>
      </c>
      <c r="AF148" s="27">
        <v>3511786482</v>
      </c>
      <c r="AG148" s="27" t="s">
        <v>96</v>
      </c>
      <c r="AH148" s="27" t="s">
        <v>412</v>
      </c>
    </row>
    <row r="149" spans="1:34" x14ac:dyDescent="0.2">
      <c r="A149" s="27">
        <v>10018956</v>
      </c>
      <c r="B149" s="27" t="s">
        <v>18</v>
      </c>
      <c r="C149" s="27" t="s">
        <v>78</v>
      </c>
      <c r="D149" s="28">
        <v>42235</v>
      </c>
      <c r="E149" s="27">
        <v>93483760</v>
      </c>
      <c r="F149" s="28">
        <v>42233</v>
      </c>
      <c r="G149" s="27"/>
      <c r="H149" s="27">
        <v>1201047</v>
      </c>
      <c r="I149" s="27" t="s">
        <v>79</v>
      </c>
      <c r="J149" s="27">
        <v>1311011</v>
      </c>
      <c r="K149" s="27" t="s">
        <v>85</v>
      </c>
      <c r="L149" s="27">
        <v>1171089</v>
      </c>
      <c r="M149" s="27" t="s">
        <v>75</v>
      </c>
      <c r="N149" s="27">
        <v>19619054</v>
      </c>
      <c r="O149" s="27"/>
      <c r="P149" s="27"/>
      <c r="Q149" s="27" t="s">
        <v>181</v>
      </c>
      <c r="R149" s="27" t="s">
        <v>86</v>
      </c>
      <c r="S149" s="27" t="s">
        <v>87</v>
      </c>
      <c r="T149" s="27">
        <v>467.16</v>
      </c>
      <c r="U149" s="27" t="s">
        <v>182</v>
      </c>
      <c r="V149" s="27" t="s">
        <v>63</v>
      </c>
      <c r="W149" s="27" t="s">
        <v>70</v>
      </c>
      <c r="X149" s="27" t="s">
        <v>76</v>
      </c>
      <c r="Y149" s="28">
        <v>42244</v>
      </c>
      <c r="Z149" s="27" t="s">
        <v>64</v>
      </c>
      <c r="AA149" s="28">
        <v>42235</v>
      </c>
      <c r="AB149" s="27"/>
      <c r="AC149" s="27"/>
      <c r="AD149" s="27"/>
      <c r="AE149" s="27" t="s">
        <v>183</v>
      </c>
      <c r="AF149" s="27" t="s">
        <v>413</v>
      </c>
      <c r="AG149" s="27" t="s">
        <v>77</v>
      </c>
      <c r="AH149" s="27" t="s">
        <v>376</v>
      </c>
    </row>
    <row r="150" spans="1:34" x14ac:dyDescent="0.2">
      <c r="A150" s="27">
        <v>10018957</v>
      </c>
      <c r="B150" s="27" t="s">
        <v>18</v>
      </c>
      <c r="C150" s="27" t="s">
        <v>78</v>
      </c>
      <c r="D150" s="28">
        <v>42235</v>
      </c>
      <c r="E150" s="27">
        <v>93483809</v>
      </c>
      <c r="F150" s="28">
        <v>42233</v>
      </c>
      <c r="G150" s="28">
        <v>42234</v>
      </c>
      <c r="H150" s="27">
        <v>1201047</v>
      </c>
      <c r="I150" s="27" t="s">
        <v>79</v>
      </c>
      <c r="J150" s="27">
        <v>1049975</v>
      </c>
      <c r="K150" s="27" t="s">
        <v>247</v>
      </c>
      <c r="L150" s="27">
        <v>1171089</v>
      </c>
      <c r="M150" s="27" t="s">
        <v>75</v>
      </c>
      <c r="N150" s="27">
        <v>44293004</v>
      </c>
      <c r="O150" s="27"/>
      <c r="P150" s="27"/>
      <c r="Q150" s="27" t="s">
        <v>181</v>
      </c>
      <c r="R150" s="27" t="s">
        <v>91</v>
      </c>
      <c r="S150" s="27" t="s">
        <v>92</v>
      </c>
      <c r="T150" s="27">
        <v>534.24</v>
      </c>
      <c r="U150" s="27" t="s">
        <v>182</v>
      </c>
      <c r="V150" s="27" t="s">
        <v>63</v>
      </c>
      <c r="W150" s="27" t="s">
        <v>70</v>
      </c>
      <c r="X150" s="27" t="s">
        <v>76</v>
      </c>
      <c r="Y150" s="28">
        <v>42244</v>
      </c>
      <c r="Z150" s="27" t="s">
        <v>64</v>
      </c>
      <c r="AA150" s="28">
        <v>42235</v>
      </c>
      <c r="AB150" s="27"/>
      <c r="AC150" s="27"/>
      <c r="AD150" s="27"/>
      <c r="AE150" s="27" t="s">
        <v>183</v>
      </c>
      <c r="AF150" s="27" t="s">
        <v>414</v>
      </c>
      <c r="AG150" s="27" t="s">
        <v>77</v>
      </c>
      <c r="AH150" s="27" t="s">
        <v>376</v>
      </c>
    </row>
    <row r="151" spans="1:34" x14ac:dyDescent="0.2">
      <c r="A151" s="27">
        <v>10018958</v>
      </c>
      <c r="B151" s="27" t="s">
        <v>18</v>
      </c>
      <c r="C151" s="27" t="s">
        <v>78</v>
      </c>
      <c r="D151" s="28">
        <v>42235</v>
      </c>
      <c r="E151" s="27">
        <v>93481402</v>
      </c>
      <c r="F151" s="28">
        <v>42230</v>
      </c>
      <c r="G151" s="27"/>
      <c r="H151" s="27">
        <v>1201047</v>
      </c>
      <c r="I151" s="27" t="s">
        <v>79</v>
      </c>
      <c r="J151" s="27">
        <v>1003696</v>
      </c>
      <c r="K151" s="27" t="s">
        <v>80</v>
      </c>
      <c r="L151" s="27">
        <v>1171089</v>
      </c>
      <c r="M151" s="27" t="s">
        <v>75</v>
      </c>
      <c r="N151" s="27">
        <v>24502662</v>
      </c>
      <c r="O151" s="27"/>
      <c r="P151" s="27"/>
      <c r="Q151" s="27" t="s">
        <v>181</v>
      </c>
      <c r="R151" s="27" t="s">
        <v>168</v>
      </c>
      <c r="S151" s="27" t="s">
        <v>169</v>
      </c>
      <c r="T151" s="27">
        <v>330</v>
      </c>
      <c r="U151" s="27" t="s">
        <v>182</v>
      </c>
      <c r="V151" s="27" t="s">
        <v>63</v>
      </c>
      <c r="W151" s="27" t="s">
        <v>70</v>
      </c>
      <c r="X151" s="27" t="s">
        <v>76</v>
      </c>
      <c r="Y151" s="28">
        <v>42244</v>
      </c>
      <c r="Z151" s="27" t="s">
        <v>64</v>
      </c>
      <c r="AA151" s="28">
        <v>42235</v>
      </c>
      <c r="AB151" s="27"/>
      <c r="AC151" s="27"/>
      <c r="AD151" s="27"/>
      <c r="AE151" s="27" t="s">
        <v>183</v>
      </c>
      <c r="AF151" s="27" t="s">
        <v>415</v>
      </c>
      <c r="AG151" s="27" t="s">
        <v>77</v>
      </c>
      <c r="AH151" s="27" t="s">
        <v>196</v>
      </c>
    </row>
    <row r="152" spans="1:34" x14ac:dyDescent="0.2">
      <c r="A152" s="27">
        <v>10018959</v>
      </c>
      <c r="B152" s="27" t="s">
        <v>26</v>
      </c>
      <c r="C152" s="27" t="s">
        <v>78</v>
      </c>
      <c r="D152" s="28">
        <v>42235</v>
      </c>
      <c r="E152" s="27">
        <v>93482879</v>
      </c>
      <c r="F152" s="28">
        <v>42231</v>
      </c>
      <c r="G152" s="27"/>
      <c r="H152" s="27">
        <v>1322515</v>
      </c>
      <c r="I152" s="27" t="s">
        <v>139</v>
      </c>
      <c r="J152" s="27">
        <v>1322536</v>
      </c>
      <c r="K152" s="27" t="s">
        <v>140</v>
      </c>
      <c r="L152" s="27">
        <v>1322515</v>
      </c>
      <c r="M152" s="27" t="s">
        <v>139</v>
      </c>
      <c r="N152" s="27">
        <v>236369</v>
      </c>
      <c r="O152" s="27"/>
      <c r="P152" s="27"/>
      <c r="Q152" s="27" t="s">
        <v>181</v>
      </c>
      <c r="R152" s="27" t="s">
        <v>168</v>
      </c>
      <c r="S152" s="27" t="s">
        <v>169</v>
      </c>
      <c r="T152" s="27">
        <v>2479.92</v>
      </c>
      <c r="U152" s="27" t="s">
        <v>182</v>
      </c>
      <c r="V152" s="27" t="s">
        <v>63</v>
      </c>
      <c r="W152" s="27" t="s">
        <v>94</v>
      </c>
      <c r="X152" s="27" t="s">
        <v>95</v>
      </c>
      <c r="Y152" s="28">
        <v>42236</v>
      </c>
      <c r="Z152" s="27" t="s">
        <v>83</v>
      </c>
      <c r="AA152" s="28">
        <v>42242</v>
      </c>
      <c r="AB152" s="27"/>
      <c r="AC152" s="27"/>
      <c r="AD152" s="27"/>
      <c r="AE152" s="27" t="s">
        <v>183</v>
      </c>
      <c r="AF152" s="27" t="s">
        <v>416</v>
      </c>
      <c r="AG152" s="27" t="s">
        <v>96</v>
      </c>
      <c r="AH152" s="27" t="s">
        <v>417</v>
      </c>
    </row>
    <row r="153" spans="1:34" x14ac:dyDescent="0.2">
      <c r="A153" s="27">
        <v>10018960</v>
      </c>
      <c r="B153" s="27" t="s">
        <v>18</v>
      </c>
      <c r="C153" s="27" t="s">
        <v>78</v>
      </c>
      <c r="D153" s="28">
        <v>42235</v>
      </c>
      <c r="E153" s="27">
        <v>93476236</v>
      </c>
      <c r="F153" s="28">
        <v>42227</v>
      </c>
      <c r="G153" s="27"/>
      <c r="H153" s="27">
        <v>1201399</v>
      </c>
      <c r="I153" s="27" t="s">
        <v>144</v>
      </c>
      <c r="J153" s="27">
        <v>1334926</v>
      </c>
      <c r="K153" s="27" t="s">
        <v>145</v>
      </c>
      <c r="L153" s="27">
        <v>1171970</v>
      </c>
      <c r="M153" s="27" t="s">
        <v>144</v>
      </c>
      <c r="N153" s="27">
        <v>8106669708</v>
      </c>
      <c r="O153" s="27"/>
      <c r="P153" s="27"/>
      <c r="Q153" s="27" t="s">
        <v>181</v>
      </c>
      <c r="R153" s="27" t="s">
        <v>91</v>
      </c>
      <c r="S153" s="27" t="s">
        <v>92</v>
      </c>
      <c r="T153" s="27">
        <v>14075.64</v>
      </c>
      <c r="U153" s="27" t="s">
        <v>182</v>
      </c>
      <c r="V153" s="27" t="s">
        <v>69</v>
      </c>
      <c r="W153" s="27" t="s">
        <v>70</v>
      </c>
      <c r="X153" s="27" t="s">
        <v>76</v>
      </c>
      <c r="Y153" s="28">
        <v>42244</v>
      </c>
      <c r="Z153" s="27" t="s">
        <v>83</v>
      </c>
      <c r="AA153" s="28">
        <v>42242</v>
      </c>
      <c r="AB153" s="27" t="s">
        <v>100</v>
      </c>
      <c r="AC153" s="27">
        <v>61988293</v>
      </c>
      <c r="AD153" s="28">
        <v>42271</v>
      </c>
      <c r="AE153" s="27" t="s">
        <v>183</v>
      </c>
      <c r="AF153" s="27">
        <v>-2099083</v>
      </c>
      <c r="AG153" s="27" t="s">
        <v>77</v>
      </c>
      <c r="AH153" s="27" t="s">
        <v>418</v>
      </c>
    </row>
    <row r="154" spans="1:34" x14ac:dyDescent="0.2">
      <c r="A154" s="27">
        <v>10018961</v>
      </c>
      <c r="B154" s="27" t="s">
        <v>18</v>
      </c>
      <c r="C154" s="27" t="s">
        <v>78</v>
      </c>
      <c r="D154" s="28">
        <v>42235</v>
      </c>
      <c r="E154" s="27">
        <v>93476235</v>
      </c>
      <c r="F154" s="28">
        <v>42227</v>
      </c>
      <c r="G154" s="27"/>
      <c r="H154" s="27">
        <v>1201399</v>
      </c>
      <c r="I154" s="27" t="s">
        <v>144</v>
      </c>
      <c r="J154" s="27">
        <v>1334926</v>
      </c>
      <c r="K154" s="27" t="s">
        <v>145</v>
      </c>
      <c r="L154" s="27">
        <v>1171970</v>
      </c>
      <c r="M154" s="27" t="s">
        <v>144</v>
      </c>
      <c r="N154" s="27">
        <v>8106669705</v>
      </c>
      <c r="O154" s="27"/>
      <c r="P154" s="27"/>
      <c r="Q154" s="27" t="s">
        <v>181</v>
      </c>
      <c r="R154" s="27" t="s">
        <v>91</v>
      </c>
      <c r="S154" s="27" t="s">
        <v>92</v>
      </c>
      <c r="T154" s="27">
        <v>2904.48</v>
      </c>
      <c r="U154" s="27" t="s">
        <v>182</v>
      </c>
      <c r="V154" s="27" t="s">
        <v>69</v>
      </c>
      <c r="W154" s="27" t="s">
        <v>70</v>
      </c>
      <c r="X154" s="27" t="s">
        <v>76</v>
      </c>
      <c r="Y154" s="28">
        <v>42244</v>
      </c>
      <c r="Z154" s="27" t="s">
        <v>83</v>
      </c>
      <c r="AA154" s="28">
        <v>42242</v>
      </c>
      <c r="AB154" s="27" t="s">
        <v>100</v>
      </c>
      <c r="AC154" s="27">
        <v>61988292</v>
      </c>
      <c r="AD154" s="28">
        <v>42271</v>
      </c>
      <c r="AE154" s="27" t="s">
        <v>183</v>
      </c>
      <c r="AF154" s="27">
        <v>-2099083</v>
      </c>
      <c r="AG154" s="27" t="s">
        <v>77</v>
      </c>
      <c r="AH154" s="27" t="s">
        <v>418</v>
      </c>
    </row>
    <row r="155" spans="1:34" x14ac:dyDescent="0.2">
      <c r="A155" s="27">
        <v>10018962</v>
      </c>
      <c r="B155" s="27" t="s">
        <v>18</v>
      </c>
      <c r="C155" s="27" t="s">
        <v>78</v>
      </c>
      <c r="D155" s="28">
        <v>42235</v>
      </c>
      <c r="E155" s="27">
        <v>93476042</v>
      </c>
      <c r="F155" s="28">
        <v>42227</v>
      </c>
      <c r="G155" s="28">
        <v>42230</v>
      </c>
      <c r="H155" s="27">
        <v>1201047</v>
      </c>
      <c r="I155" s="27" t="s">
        <v>79</v>
      </c>
      <c r="J155" s="27">
        <v>1338648</v>
      </c>
      <c r="K155" s="27" t="s">
        <v>93</v>
      </c>
      <c r="L155" s="27">
        <v>1171089</v>
      </c>
      <c r="M155" s="27" t="s">
        <v>75</v>
      </c>
      <c r="N155" s="27">
        <v>63134771</v>
      </c>
      <c r="O155" s="27"/>
      <c r="P155" s="27"/>
      <c r="Q155" s="27" t="s">
        <v>181</v>
      </c>
      <c r="R155" s="27" t="s">
        <v>67</v>
      </c>
      <c r="S155" s="27" t="s">
        <v>68</v>
      </c>
      <c r="T155" s="27">
        <v>1320</v>
      </c>
      <c r="U155" s="27" t="s">
        <v>182</v>
      </c>
      <c r="V155" s="27" t="s">
        <v>63</v>
      </c>
      <c r="W155" s="27" t="s">
        <v>70</v>
      </c>
      <c r="X155" s="27" t="s">
        <v>76</v>
      </c>
      <c r="Y155" s="28">
        <v>42244</v>
      </c>
      <c r="Z155" s="27" t="s">
        <v>83</v>
      </c>
      <c r="AA155" s="28">
        <v>42242</v>
      </c>
      <c r="AB155" s="27"/>
      <c r="AC155" s="27"/>
      <c r="AD155" s="27"/>
      <c r="AE155" s="27" t="s">
        <v>183</v>
      </c>
      <c r="AF155" s="27">
        <v>3511785944</v>
      </c>
      <c r="AG155" s="27" t="s">
        <v>77</v>
      </c>
      <c r="AH155" s="27" t="s">
        <v>191</v>
      </c>
    </row>
    <row r="156" spans="1:34" x14ac:dyDescent="0.2">
      <c r="A156" s="27">
        <v>10018968</v>
      </c>
      <c r="B156" s="27" t="s">
        <v>18</v>
      </c>
      <c r="C156" s="27" t="s">
        <v>74</v>
      </c>
      <c r="D156" s="28">
        <v>42235</v>
      </c>
      <c r="E156" s="27">
        <v>93481538</v>
      </c>
      <c r="F156" s="28">
        <v>42230</v>
      </c>
      <c r="G156" s="27"/>
      <c r="H156" s="27">
        <v>1201120</v>
      </c>
      <c r="I156" s="27" t="s">
        <v>117</v>
      </c>
      <c r="J156" s="27">
        <v>1307782</v>
      </c>
      <c r="K156" s="27" t="s">
        <v>119</v>
      </c>
      <c r="L156" s="27">
        <v>1171090</v>
      </c>
      <c r="M156" s="27" t="s">
        <v>118</v>
      </c>
      <c r="N156" s="27" t="s">
        <v>419</v>
      </c>
      <c r="O156" s="27"/>
      <c r="P156" s="27"/>
      <c r="Q156" s="27" t="s">
        <v>181</v>
      </c>
      <c r="R156" s="27" t="s">
        <v>91</v>
      </c>
      <c r="S156" s="27" t="s">
        <v>92</v>
      </c>
      <c r="T156" s="27">
        <v>192</v>
      </c>
      <c r="U156" s="27" t="s">
        <v>182</v>
      </c>
      <c r="V156" s="27" t="s">
        <v>63</v>
      </c>
      <c r="W156" s="27" t="s">
        <v>70</v>
      </c>
      <c r="X156" s="27" t="s">
        <v>76</v>
      </c>
      <c r="Y156" s="28">
        <v>42244</v>
      </c>
      <c r="Z156" s="27" t="s">
        <v>64</v>
      </c>
      <c r="AA156" s="28">
        <v>42235</v>
      </c>
      <c r="AB156" s="27"/>
      <c r="AC156" s="27"/>
      <c r="AD156" s="27"/>
      <c r="AE156" s="27" t="s">
        <v>183</v>
      </c>
      <c r="AF156" s="27" t="s">
        <v>420</v>
      </c>
      <c r="AG156" s="27" t="s">
        <v>77</v>
      </c>
      <c r="AH156" s="27" t="s">
        <v>216</v>
      </c>
    </row>
    <row r="157" spans="1:34" x14ac:dyDescent="0.2">
      <c r="A157" s="27">
        <v>10018969</v>
      </c>
      <c r="B157" s="27" t="s">
        <v>18</v>
      </c>
      <c r="C157" s="27" t="s">
        <v>78</v>
      </c>
      <c r="D157" s="28">
        <v>42236</v>
      </c>
      <c r="E157" s="27">
        <v>93474826</v>
      </c>
      <c r="F157" s="28">
        <v>42226</v>
      </c>
      <c r="G157" s="28">
        <v>42230</v>
      </c>
      <c r="H157" s="27">
        <v>1201072</v>
      </c>
      <c r="I157" s="27" t="s">
        <v>115</v>
      </c>
      <c r="J157" s="27">
        <v>1201072</v>
      </c>
      <c r="K157" s="27" t="s">
        <v>115</v>
      </c>
      <c r="L157" s="27">
        <v>1171089</v>
      </c>
      <c r="M157" s="27" t="s">
        <v>75</v>
      </c>
      <c r="N157" s="27">
        <v>318610</v>
      </c>
      <c r="O157" s="27"/>
      <c r="P157" s="27"/>
      <c r="Q157" s="27" t="s">
        <v>181</v>
      </c>
      <c r="R157" s="27" t="s">
        <v>61</v>
      </c>
      <c r="S157" s="27" t="s">
        <v>62</v>
      </c>
      <c r="T157" s="27">
        <v>2937</v>
      </c>
      <c r="U157" s="27" t="s">
        <v>182</v>
      </c>
      <c r="V157" s="27" t="s">
        <v>63</v>
      </c>
      <c r="W157" s="27" t="s">
        <v>70</v>
      </c>
      <c r="X157" s="27" t="s">
        <v>76</v>
      </c>
      <c r="Y157" s="28">
        <v>42244</v>
      </c>
      <c r="Z157" s="27" t="s">
        <v>83</v>
      </c>
      <c r="AA157" s="28">
        <v>42242</v>
      </c>
      <c r="AB157" s="27"/>
      <c r="AC157" s="27"/>
      <c r="AD157" s="27"/>
      <c r="AE157" s="27" t="s">
        <v>183</v>
      </c>
      <c r="AF157" s="27">
        <v>327755259</v>
      </c>
      <c r="AG157" s="27" t="s">
        <v>77</v>
      </c>
      <c r="AH157" s="27" t="s">
        <v>421</v>
      </c>
    </row>
    <row r="158" spans="1:34" x14ac:dyDescent="0.2">
      <c r="A158" s="27">
        <v>10018971</v>
      </c>
      <c r="B158" s="27" t="s">
        <v>18</v>
      </c>
      <c r="C158" s="27" t="s">
        <v>197</v>
      </c>
      <c r="D158" s="28">
        <v>42236</v>
      </c>
      <c r="E158" s="27">
        <v>93481745</v>
      </c>
      <c r="F158" s="28">
        <v>42230</v>
      </c>
      <c r="G158" s="28">
        <v>42235</v>
      </c>
      <c r="H158" s="27">
        <v>1201643</v>
      </c>
      <c r="I158" s="27" t="s">
        <v>162</v>
      </c>
      <c r="J158" s="27">
        <v>1329411</v>
      </c>
      <c r="K158" s="27" t="s">
        <v>163</v>
      </c>
      <c r="L158" s="27">
        <v>1201643</v>
      </c>
      <c r="M158" s="27" t="s">
        <v>162</v>
      </c>
      <c r="N158" s="27">
        <v>23535</v>
      </c>
      <c r="O158" s="27"/>
      <c r="P158" s="27"/>
      <c r="Q158" s="27" t="s">
        <v>181</v>
      </c>
      <c r="R158" s="27" t="s">
        <v>67</v>
      </c>
      <c r="S158" s="27" t="s">
        <v>68</v>
      </c>
      <c r="T158" s="27">
        <v>6172.8</v>
      </c>
      <c r="U158" s="27" t="s">
        <v>182</v>
      </c>
      <c r="V158" s="27" t="s">
        <v>69</v>
      </c>
      <c r="W158" s="27" t="s">
        <v>70</v>
      </c>
      <c r="X158" s="27" t="s">
        <v>76</v>
      </c>
      <c r="Y158" s="28">
        <v>42244</v>
      </c>
      <c r="Z158" s="27" t="s">
        <v>83</v>
      </c>
      <c r="AA158" s="28">
        <v>42242</v>
      </c>
      <c r="AB158" s="27" t="s">
        <v>100</v>
      </c>
      <c r="AC158" s="27">
        <v>61978323</v>
      </c>
      <c r="AD158" s="28">
        <v>42257</v>
      </c>
      <c r="AE158" s="27" t="s">
        <v>183</v>
      </c>
      <c r="AF158" s="27">
        <v>3511786670</v>
      </c>
      <c r="AG158" s="27" t="s">
        <v>77</v>
      </c>
      <c r="AH158" s="27" t="s">
        <v>422</v>
      </c>
    </row>
    <row r="159" spans="1:34" x14ac:dyDescent="0.2">
      <c r="A159" s="27">
        <v>10018972</v>
      </c>
      <c r="B159" s="27" t="s">
        <v>26</v>
      </c>
      <c r="C159" s="27" t="s">
        <v>78</v>
      </c>
      <c r="D159" s="28">
        <v>42236</v>
      </c>
      <c r="E159" s="27">
        <v>93481340</v>
      </c>
      <c r="F159" s="28">
        <v>42230</v>
      </c>
      <c r="G159" s="28">
        <v>42234</v>
      </c>
      <c r="H159" s="27">
        <v>1022013</v>
      </c>
      <c r="I159" s="27" t="s">
        <v>114</v>
      </c>
      <c r="J159" s="27">
        <v>1022013</v>
      </c>
      <c r="K159" s="27" t="s">
        <v>114</v>
      </c>
      <c r="L159" s="27">
        <v>1022013</v>
      </c>
      <c r="M159" s="27" t="s">
        <v>114</v>
      </c>
      <c r="N159" s="27">
        <v>74551</v>
      </c>
      <c r="O159" s="27"/>
      <c r="P159" s="27"/>
      <c r="Q159" s="27" t="s">
        <v>181</v>
      </c>
      <c r="R159" s="27" t="s">
        <v>67</v>
      </c>
      <c r="S159" s="27" t="s">
        <v>68</v>
      </c>
      <c r="T159" s="27">
        <v>1291.2</v>
      </c>
      <c r="U159" s="27" t="s">
        <v>182</v>
      </c>
      <c r="V159" s="27" t="s">
        <v>63</v>
      </c>
      <c r="W159" s="27" t="s">
        <v>94</v>
      </c>
      <c r="X159" s="27" t="s">
        <v>95</v>
      </c>
      <c r="Y159" s="28">
        <v>42250</v>
      </c>
      <c r="Z159" s="27" t="s">
        <v>83</v>
      </c>
      <c r="AA159" s="28">
        <v>42256</v>
      </c>
      <c r="AB159" s="27"/>
      <c r="AC159" s="27"/>
      <c r="AD159" s="27"/>
      <c r="AE159" s="27" t="s">
        <v>183</v>
      </c>
      <c r="AF159" s="27">
        <v>3511786622</v>
      </c>
      <c r="AG159" s="27" t="s">
        <v>96</v>
      </c>
      <c r="AH159" s="27" t="s">
        <v>423</v>
      </c>
    </row>
    <row r="160" spans="1:34" x14ac:dyDescent="0.2">
      <c r="A160" s="27">
        <v>10018973</v>
      </c>
      <c r="B160" s="27" t="s">
        <v>18</v>
      </c>
      <c r="C160" s="27" t="s">
        <v>78</v>
      </c>
      <c r="D160" s="28">
        <v>42236</v>
      </c>
      <c r="E160" s="27">
        <v>93459763</v>
      </c>
      <c r="F160" s="28">
        <v>42214</v>
      </c>
      <c r="G160" s="27"/>
      <c r="H160" s="27">
        <v>1201301</v>
      </c>
      <c r="I160" s="27" t="s">
        <v>378</v>
      </c>
      <c r="J160" s="27">
        <v>1326799</v>
      </c>
      <c r="K160" s="27" t="s">
        <v>424</v>
      </c>
      <c r="L160" s="27">
        <v>1171972</v>
      </c>
      <c r="M160" s="27" t="s">
        <v>379</v>
      </c>
      <c r="N160" s="27">
        <v>12589553</v>
      </c>
      <c r="O160" s="27"/>
      <c r="P160" s="27"/>
      <c r="Q160" s="27" t="s">
        <v>181</v>
      </c>
      <c r="R160" s="27" t="s">
        <v>97</v>
      </c>
      <c r="S160" s="27" t="s">
        <v>98</v>
      </c>
      <c r="T160" s="27">
        <v>24.75</v>
      </c>
      <c r="U160" s="27" t="s">
        <v>182</v>
      </c>
      <c r="V160" s="27" t="s">
        <v>63</v>
      </c>
      <c r="W160" s="27" t="s">
        <v>107</v>
      </c>
      <c r="X160" s="27" t="s">
        <v>76</v>
      </c>
      <c r="Y160" s="28">
        <v>42244</v>
      </c>
      <c r="Z160" s="27" t="s">
        <v>64</v>
      </c>
      <c r="AA160" s="28">
        <v>42236</v>
      </c>
      <c r="AB160" s="27"/>
      <c r="AC160" s="27"/>
      <c r="AD160" s="27"/>
      <c r="AE160" s="27" t="s">
        <v>183</v>
      </c>
      <c r="AF160" s="27">
        <v>87944972337759</v>
      </c>
      <c r="AG160" s="27" t="s">
        <v>107</v>
      </c>
      <c r="AH160" s="27" t="s">
        <v>425</v>
      </c>
    </row>
    <row r="161" spans="1:34" x14ac:dyDescent="0.2">
      <c r="A161" s="27">
        <v>10018974</v>
      </c>
      <c r="B161" s="27" t="s">
        <v>26</v>
      </c>
      <c r="C161" s="27" t="s">
        <v>78</v>
      </c>
      <c r="D161" s="28">
        <v>42236</v>
      </c>
      <c r="E161" s="27">
        <v>93477974</v>
      </c>
      <c r="F161" s="28">
        <v>42228</v>
      </c>
      <c r="G161" s="27"/>
      <c r="H161" s="27">
        <v>1201047</v>
      </c>
      <c r="I161" s="27" t="s">
        <v>79</v>
      </c>
      <c r="J161" s="27">
        <v>1034532</v>
      </c>
      <c r="K161" s="27" t="s">
        <v>301</v>
      </c>
      <c r="L161" s="27">
        <v>1171089</v>
      </c>
      <c r="M161" s="27" t="s">
        <v>75</v>
      </c>
      <c r="N161" s="27">
        <v>25427596</v>
      </c>
      <c r="O161" s="27"/>
      <c r="P161" s="27"/>
      <c r="Q161" s="27" t="s">
        <v>181</v>
      </c>
      <c r="R161" s="27" t="s">
        <v>102</v>
      </c>
      <c r="S161" s="27" t="s">
        <v>103</v>
      </c>
      <c r="T161" s="27">
        <v>2710.56</v>
      </c>
      <c r="U161" s="27" t="s">
        <v>182</v>
      </c>
      <c r="V161" s="27" t="s">
        <v>69</v>
      </c>
      <c r="W161" s="27" t="s">
        <v>94</v>
      </c>
      <c r="X161" s="27" t="s">
        <v>95</v>
      </c>
      <c r="Y161" s="28">
        <v>42236</v>
      </c>
      <c r="Z161" s="27" t="s">
        <v>83</v>
      </c>
      <c r="AA161" s="28">
        <v>42243</v>
      </c>
      <c r="AB161" s="27" t="s">
        <v>100</v>
      </c>
      <c r="AC161" s="27">
        <v>61980648</v>
      </c>
      <c r="AD161" s="28">
        <v>42261</v>
      </c>
      <c r="AE161" s="27" t="s">
        <v>183</v>
      </c>
      <c r="AF161" s="27">
        <v>636808592060</v>
      </c>
      <c r="AG161" s="27" t="s">
        <v>96</v>
      </c>
      <c r="AH161" s="27" t="s">
        <v>426</v>
      </c>
    </row>
    <row r="162" spans="1:34" x14ac:dyDescent="0.2">
      <c r="A162" s="27">
        <v>10018975</v>
      </c>
      <c r="B162" s="27" t="s">
        <v>18</v>
      </c>
      <c r="C162" s="27" t="s">
        <v>78</v>
      </c>
      <c r="D162" s="28">
        <v>42236</v>
      </c>
      <c r="E162" s="27">
        <v>93481749</v>
      </c>
      <c r="F162" s="28">
        <v>42230</v>
      </c>
      <c r="G162" s="28">
        <v>42235</v>
      </c>
      <c r="H162" s="27">
        <v>1201646</v>
      </c>
      <c r="I162" s="27" t="s">
        <v>164</v>
      </c>
      <c r="J162" s="27">
        <v>1201646</v>
      </c>
      <c r="K162" s="27" t="s">
        <v>164</v>
      </c>
      <c r="L162" s="27">
        <v>1201646</v>
      </c>
      <c r="M162" s="27" t="s">
        <v>164</v>
      </c>
      <c r="N162" s="27">
        <v>8044552</v>
      </c>
      <c r="O162" s="27"/>
      <c r="P162" s="27"/>
      <c r="Q162" s="27" t="s">
        <v>235</v>
      </c>
      <c r="R162" s="27" t="s">
        <v>67</v>
      </c>
      <c r="S162" s="27" t="s">
        <v>68</v>
      </c>
      <c r="T162" s="27">
        <v>50</v>
      </c>
      <c r="U162" s="27" t="s">
        <v>182</v>
      </c>
      <c r="V162" s="27" t="s">
        <v>69</v>
      </c>
      <c r="W162" s="27" t="s">
        <v>70</v>
      </c>
      <c r="X162" s="27" t="s">
        <v>76</v>
      </c>
      <c r="Y162" s="28">
        <v>42244</v>
      </c>
      <c r="Z162" s="27" t="s">
        <v>64</v>
      </c>
      <c r="AA162" s="28">
        <v>42236</v>
      </c>
      <c r="AB162" s="27" t="s">
        <v>100</v>
      </c>
      <c r="AC162" s="27">
        <v>61978324</v>
      </c>
      <c r="AD162" s="28">
        <v>42257</v>
      </c>
      <c r="AE162" s="27" t="s">
        <v>183</v>
      </c>
      <c r="AF162" s="27">
        <v>3511786633</v>
      </c>
      <c r="AG162" s="27" t="s">
        <v>77</v>
      </c>
      <c r="AH162" s="27" t="s">
        <v>187</v>
      </c>
    </row>
    <row r="163" spans="1:34" x14ac:dyDescent="0.2">
      <c r="A163" s="27">
        <v>10018976</v>
      </c>
      <c r="B163" s="27" t="s">
        <v>18</v>
      </c>
      <c r="C163" s="27" t="s">
        <v>78</v>
      </c>
      <c r="D163" s="28">
        <v>42236</v>
      </c>
      <c r="E163" s="27">
        <v>93413102</v>
      </c>
      <c r="F163" s="28">
        <v>42177</v>
      </c>
      <c r="G163" s="28">
        <v>42180</v>
      </c>
      <c r="H163" s="27">
        <v>1201494</v>
      </c>
      <c r="I163" s="27" t="s">
        <v>161</v>
      </c>
      <c r="J163" s="27">
        <v>1060523</v>
      </c>
      <c r="K163" s="27" t="s">
        <v>427</v>
      </c>
      <c r="L163" s="27">
        <v>1172005</v>
      </c>
      <c r="M163" s="27" t="s">
        <v>161</v>
      </c>
      <c r="N163" s="27">
        <v>22234</v>
      </c>
      <c r="O163" s="27"/>
      <c r="P163" s="27"/>
      <c r="Q163" s="27" t="s">
        <v>181</v>
      </c>
      <c r="R163" s="27" t="s">
        <v>67</v>
      </c>
      <c r="S163" s="27" t="s">
        <v>68</v>
      </c>
      <c r="T163" s="27">
        <v>406.2</v>
      </c>
      <c r="U163" s="27" t="s">
        <v>182</v>
      </c>
      <c r="V163" s="27" t="s">
        <v>63</v>
      </c>
      <c r="W163" s="27" t="s">
        <v>70</v>
      </c>
      <c r="X163" s="27" t="s">
        <v>76</v>
      </c>
      <c r="Y163" s="28">
        <v>42244</v>
      </c>
      <c r="Z163" s="27" t="s">
        <v>64</v>
      </c>
      <c r="AA163" s="28">
        <v>42236</v>
      </c>
      <c r="AB163" s="27"/>
      <c r="AC163" s="27"/>
      <c r="AD163" s="27"/>
      <c r="AE163" s="27" t="s">
        <v>183</v>
      </c>
      <c r="AF163" s="27">
        <v>2795634181</v>
      </c>
      <c r="AG163" s="27" t="s">
        <v>77</v>
      </c>
      <c r="AH163" s="27" t="s">
        <v>374</v>
      </c>
    </row>
    <row r="164" spans="1:34" x14ac:dyDescent="0.2">
      <c r="A164" s="27">
        <v>10018977</v>
      </c>
      <c r="B164" s="27" t="s">
        <v>26</v>
      </c>
      <c r="C164" s="27" t="s">
        <v>78</v>
      </c>
      <c r="D164" s="28">
        <v>42236</v>
      </c>
      <c r="E164" s="27">
        <v>93483864</v>
      </c>
      <c r="F164" s="28">
        <v>42233</v>
      </c>
      <c r="G164" s="27"/>
      <c r="H164" s="27">
        <v>1201047</v>
      </c>
      <c r="I164" s="27" t="s">
        <v>79</v>
      </c>
      <c r="J164" s="27">
        <v>1058305</v>
      </c>
      <c r="K164" s="27" t="s">
        <v>99</v>
      </c>
      <c r="L164" s="27">
        <v>1171089</v>
      </c>
      <c r="M164" s="27" t="s">
        <v>75</v>
      </c>
      <c r="N164" s="27">
        <v>52928246</v>
      </c>
      <c r="O164" s="27"/>
      <c r="P164" s="27"/>
      <c r="Q164" s="27" t="s">
        <v>181</v>
      </c>
      <c r="R164" s="27" t="s">
        <v>91</v>
      </c>
      <c r="S164" s="27" t="s">
        <v>92</v>
      </c>
      <c r="T164" s="27">
        <v>1425.6</v>
      </c>
      <c r="U164" s="27" t="s">
        <v>182</v>
      </c>
      <c r="V164" s="27" t="s">
        <v>63</v>
      </c>
      <c r="W164" s="27" t="s">
        <v>81</v>
      </c>
      <c r="X164" s="27" t="s">
        <v>88</v>
      </c>
      <c r="Y164" s="28">
        <v>42249</v>
      </c>
      <c r="Z164" s="27"/>
      <c r="AA164" s="27"/>
      <c r="AB164" s="27"/>
      <c r="AC164" s="27"/>
      <c r="AD164" s="27"/>
      <c r="AE164" s="27" t="s">
        <v>183</v>
      </c>
      <c r="AF164" s="27" t="s">
        <v>428</v>
      </c>
      <c r="AG164" s="27" t="s">
        <v>89</v>
      </c>
      <c r="AH164" s="27" t="s">
        <v>274</v>
      </c>
    </row>
    <row r="165" spans="1:34" x14ac:dyDescent="0.2">
      <c r="A165" s="27">
        <v>10018978</v>
      </c>
      <c r="B165" s="27" t="s">
        <v>26</v>
      </c>
      <c r="C165" s="27" t="s">
        <v>78</v>
      </c>
      <c r="D165" s="28">
        <v>42236</v>
      </c>
      <c r="E165" s="27">
        <v>93483851</v>
      </c>
      <c r="F165" s="28">
        <v>42233</v>
      </c>
      <c r="G165" s="27"/>
      <c r="H165" s="27">
        <v>1201047</v>
      </c>
      <c r="I165" s="27" t="s">
        <v>79</v>
      </c>
      <c r="J165" s="27">
        <v>1058305</v>
      </c>
      <c r="K165" s="27" t="s">
        <v>99</v>
      </c>
      <c r="L165" s="27">
        <v>1171089</v>
      </c>
      <c r="M165" s="27" t="s">
        <v>75</v>
      </c>
      <c r="N165" s="27">
        <v>52928246</v>
      </c>
      <c r="O165" s="27"/>
      <c r="P165" s="27"/>
      <c r="Q165" s="27" t="s">
        <v>181</v>
      </c>
      <c r="R165" s="27" t="s">
        <v>91</v>
      </c>
      <c r="S165" s="27" t="s">
        <v>92</v>
      </c>
      <c r="T165" s="27">
        <v>7950.24</v>
      </c>
      <c r="U165" s="27" t="s">
        <v>182</v>
      </c>
      <c r="V165" s="27" t="s">
        <v>63</v>
      </c>
      <c r="W165" s="27" t="s">
        <v>81</v>
      </c>
      <c r="X165" s="27" t="s">
        <v>88</v>
      </c>
      <c r="Y165" s="28">
        <v>42249</v>
      </c>
      <c r="Z165" s="27"/>
      <c r="AA165" s="27"/>
      <c r="AB165" s="27"/>
      <c r="AC165" s="27"/>
      <c r="AD165" s="27"/>
      <c r="AE165" s="27" t="s">
        <v>183</v>
      </c>
      <c r="AF165" s="27" t="s">
        <v>428</v>
      </c>
      <c r="AG165" s="27" t="s">
        <v>89</v>
      </c>
      <c r="AH165" s="27" t="s">
        <v>274</v>
      </c>
    </row>
    <row r="166" spans="1:34" x14ac:dyDescent="0.2">
      <c r="A166" s="27">
        <v>10018979</v>
      </c>
      <c r="B166" s="27" t="s">
        <v>18</v>
      </c>
      <c r="C166" s="27" t="s">
        <v>78</v>
      </c>
      <c r="D166" s="28">
        <v>42236</v>
      </c>
      <c r="E166" s="27">
        <v>93480272</v>
      </c>
      <c r="F166" s="28">
        <v>42229</v>
      </c>
      <c r="G166" s="28">
        <v>42233</v>
      </c>
      <c r="H166" s="27">
        <v>1201640</v>
      </c>
      <c r="I166" s="27" t="s">
        <v>159</v>
      </c>
      <c r="J166" s="27">
        <v>1338029</v>
      </c>
      <c r="K166" s="27" t="s">
        <v>160</v>
      </c>
      <c r="L166" s="27">
        <v>1201640</v>
      </c>
      <c r="M166" s="27" t="s">
        <v>159</v>
      </c>
      <c r="N166" s="27" t="s">
        <v>429</v>
      </c>
      <c r="O166" s="27"/>
      <c r="P166" s="27"/>
      <c r="Q166" s="27" t="s">
        <v>181</v>
      </c>
      <c r="R166" s="27" t="s">
        <v>67</v>
      </c>
      <c r="S166" s="27" t="s">
        <v>68</v>
      </c>
      <c r="T166" s="27">
        <v>134.88</v>
      </c>
      <c r="U166" s="27" t="s">
        <v>182</v>
      </c>
      <c r="V166" s="27" t="s">
        <v>63</v>
      </c>
      <c r="W166" s="27" t="s">
        <v>70</v>
      </c>
      <c r="X166" s="27" t="s">
        <v>76</v>
      </c>
      <c r="Y166" s="28">
        <v>42244</v>
      </c>
      <c r="Z166" s="27" t="s">
        <v>64</v>
      </c>
      <c r="AA166" s="28">
        <v>42236</v>
      </c>
      <c r="AB166" s="27"/>
      <c r="AC166" s="27"/>
      <c r="AD166" s="27"/>
      <c r="AE166" s="27" t="s">
        <v>183</v>
      </c>
      <c r="AF166" s="27">
        <v>3511786434</v>
      </c>
      <c r="AG166" s="27" t="s">
        <v>77</v>
      </c>
      <c r="AH166" s="27" t="s">
        <v>430</v>
      </c>
    </row>
    <row r="167" spans="1:34" x14ac:dyDescent="0.2">
      <c r="A167" s="27">
        <v>10018981</v>
      </c>
      <c r="B167" s="27" t="s">
        <v>18</v>
      </c>
      <c r="C167" s="27" t="s">
        <v>149</v>
      </c>
      <c r="D167" s="28">
        <v>42237</v>
      </c>
      <c r="E167" s="27">
        <v>93404112</v>
      </c>
      <c r="F167" s="28">
        <v>42170</v>
      </c>
      <c r="G167" s="27"/>
      <c r="H167" s="27">
        <v>1201494</v>
      </c>
      <c r="I167" s="27" t="s">
        <v>161</v>
      </c>
      <c r="J167" s="27">
        <v>1060523</v>
      </c>
      <c r="K167" s="27" t="s">
        <v>427</v>
      </c>
      <c r="L167" s="27">
        <v>1172005</v>
      </c>
      <c r="M167" s="27" t="s">
        <v>161</v>
      </c>
      <c r="N167" s="27">
        <v>21134</v>
      </c>
      <c r="O167" s="27"/>
      <c r="P167" s="27"/>
      <c r="Q167" s="27" t="s">
        <v>181</v>
      </c>
      <c r="R167" s="27" t="s">
        <v>67</v>
      </c>
      <c r="S167" s="27" t="s">
        <v>68</v>
      </c>
      <c r="T167" s="27">
        <v>497.76</v>
      </c>
      <c r="U167" s="27" t="s">
        <v>182</v>
      </c>
      <c r="V167" s="27" t="s">
        <v>63</v>
      </c>
      <c r="W167" s="27" t="s">
        <v>70</v>
      </c>
      <c r="X167" s="27" t="s">
        <v>76</v>
      </c>
      <c r="Y167" s="28">
        <v>42244</v>
      </c>
      <c r="Z167" s="27" t="s">
        <v>64</v>
      </c>
      <c r="AA167" s="28">
        <v>42237</v>
      </c>
      <c r="AB167" s="27"/>
      <c r="AC167" s="27"/>
      <c r="AD167" s="27"/>
      <c r="AE167" s="27" t="s">
        <v>183</v>
      </c>
      <c r="AF167" s="27">
        <v>2795632770</v>
      </c>
      <c r="AG167" s="27" t="s">
        <v>77</v>
      </c>
      <c r="AH167" s="27" t="s">
        <v>431</v>
      </c>
    </row>
    <row r="168" spans="1:34" x14ac:dyDescent="0.2">
      <c r="A168" s="27">
        <v>10018982</v>
      </c>
      <c r="B168" s="27" t="s">
        <v>26</v>
      </c>
      <c r="C168" s="27" t="s">
        <v>432</v>
      </c>
      <c r="D168" s="28">
        <v>42237</v>
      </c>
      <c r="E168" s="27">
        <v>93485488</v>
      </c>
      <c r="F168" s="28">
        <v>42234</v>
      </c>
      <c r="G168" s="28">
        <v>42235</v>
      </c>
      <c r="H168" s="27">
        <v>1322515</v>
      </c>
      <c r="I168" s="27" t="s">
        <v>139</v>
      </c>
      <c r="J168" s="27">
        <v>1323861</v>
      </c>
      <c r="K168" s="27" t="s">
        <v>140</v>
      </c>
      <c r="L168" s="27">
        <v>1322515</v>
      </c>
      <c r="M168" s="27" t="s">
        <v>139</v>
      </c>
      <c r="N168" s="27">
        <v>236374</v>
      </c>
      <c r="O168" s="27"/>
      <c r="P168" s="27"/>
      <c r="Q168" s="27" t="s">
        <v>181</v>
      </c>
      <c r="R168" s="27" t="s">
        <v>67</v>
      </c>
      <c r="S168" s="27" t="s">
        <v>68</v>
      </c>
      <c r="T168" s="27">
        <v>1530</v>
      </c>
      <c r="U168" s="27" t="s">
        <v>182</v>
      </c>
      <c r="V168" s="27" t="s">
        <v>69</v>
      </c>
      <c r="W168" s="27" t="s">
        <v>94</v>
      </c>
      <c r="X168" s="27" t="s">
        <v>95</v>
      </c>
      <c r="Y168" s="28">
        <v>42240</v>
      </c>
      <c r="Z168" s="27" t="s">
        <v>83</v>
      </c>
      <c r="AA168" s="28">
        <v>42243</v>
      </c>
      <c r="AB168" s="27" t="s">
        <v>100</v>
      </c>
      <c r="AC168" s="27">
        <v>61971516</v>
      </c>
      <c r="AD168" s="28">
        <v>42247</v>
      </c>
      <c r="AE168" s="27" t="s">
        <v>183</v>
      </c>
      <c r="AF168" s="27">
        <v>3511787160</v>
      </c>
      <c r="AG168" s="27" t="s">
        <v>96</v>
      </c>
      <c r="AH168" s="27" t="s">
        <v>433</v>
      </c>
    </row>
    <row r="169" spans="1:34" x14ac:dyDescent="0.2">
      <c r="A169" s="27">
        <v>10018983</v>
      </c>
      <c r="B169" s="27" t="s">
        <v>18</v>
      </c>
      <c r="C169" s="27" t="s">
        <v>136</v>
      </c>
      <c r="D169" s="28">
        <v>42237</v>
      </c>
      <c r="E169" s="27">
        <v>93483960</v>
      </c>
      <c r="F169" s="28">
        <v>42233</v>
      </c>
      <c r="G169" s="27"/>
      <c r="H169" s="27">
        <v>1201120</v>
      </c>
      <c r="I169" s="27" t="s">
        <v>117</v>
      </c>
      <c r="J169" s="27">
        <v>1307782</v>
      </c>
      <c r="K169" s="27" t="s">
        <v>119</v>
      </c>
      <c r="L169" s="27">
        <v>1171090</v>
      </c>
      <c r="M169" s="27" t="s">
        <v>118</v>
      </c>
      <c r="N169" s="27" t="s">
        <v>419</v>
      </c>
      <c r="O169" s="27"/>
      <c r="P169" s="27"/>
      <c r="Q169" s="27" t="s">
        <v>181</v>
      </c>
      <c r="R169" s="27" t="s">
        <v>125</v>
      </c>
      <c r="S169" s="27" t="s">
        <v>126</v>
      </c>
      <c r="T169" s="27">
        <v>353.64</v>
      </c>
      <c r="U169" s="27" t="s">
        <v>182</v>
      </c>
      <c r="V169" s="27" t="s">
        <v>63</v>
      </c>
      <c r="W169" s="27" t="s">
        <v>70</v>
      </c>
      <c r="X169" s="27" t="s">
        <v>76</v>
      </c>
      <c r="Y169" s="28">
        <v>42244</v>
      </c>
      <c r="Z169" s="27" t="s">
        <v>64</v>
      </c>
      <c r="AA169" s="28">
        <v>42237</v>
      </c>
      <c r="AB169" s="27"/>
      <c r="AC169" s="27"/>
      <c r="AD169" s="27"/>
      <c r="AE169" s="27" t="s">
        <v>183</v>
      </c>
      <c r="AF169" s="27" t="s">
        <v>434</v>
      </c>
      <c r="AG169" s="27" t="s">
        <v>77</v>
      </c>
      <c r="AH169" s="27" t="s">
        <v>435</v>
      </c>
    </row>
    <row r="170" spans="1:34" x14ac:dyDescent="0.2">
      <c r="A170" s="27">
        <v>10018984</v>
      </c>
      <c r="B170" s="27" t="s">
        <v>18</v>
      </c>
      <c r="C170" s="27" t="s">
        <v>136</v>
      </c>
      <c r="D170" s="28">
        <v>42239</v>
      </c>
      <c r="E170" s="27">
        <v>93478335</v>
      </c>
      <c r="F170" s="28">
        <v>42228</v>
      </c>
      <c r="G170" s="27"/>
      <c r="H170" s="27">
        <v>1201675</v>
      </c>
      <c r="I170" s="27" t="s">
        <v>165</v>
      </c>
      <c r="J170" s="27">
        <v>1201675</v>
      </c>
      <c r="K170" s="27" t="s">
        <v>165</v>
      </c>
      <c r="L170" s="27">
        <v>1172015</v>
      </c>
      <c r="M170" s="27" t="s">
        <v>165</v>
      </c>
      <c r="N170" s="27">
        <v>75492</v>
      </c>
      <c r="O170" s="27"/>
      <c r="P170" s="27"/>
      <c r="Q170" s="27" t="s">
        <v>181</v>
      </c>
      <c r="R170" s="27" t="s">
        <v>102</v>
      </c>
      <c r="S170" s="27" t="s">
        <v>103</v>
      </c>
      <c r="T170" s="27">
        <v>128.78</v>
      </c>
      <c r="U170" s="27" t="s">
        <v>182</v>
      </c>
      <c r="V170" s="27" t="s">
        <v>63</v>
      </c>
      <c r="W170" s="27" t="s">
        <v>70</v>
      </c>
      <c r="X170" s="27" t="s">
        <v>76</v>
      </c>
      <c r="Y170" s="28">
        <v>42240</v>
      </c>
      <c r="Z170" s="27" t="s">
        <v>64</v>
      </c>
      <c r="AA170" s="28">
        <v>42239</v>
      </c>
      <c r="AB170" s="27"/>
      <c r="AC170" s="27"/>
      <c r="AD170" s="27"/>
      <c r="AE170" s="27" t="s">
        <v>183</v>
      </c>
      <c r="AF170" s="27">
        <v>636808592093</v>
      </c>
      <c r="AG170" s="27" t="s">
        <v>77</v>
      </c>
      <c r="AH170" s="27" t="s">
        <v>436</v>
      </c>
    </row>
    <row r="171" spans="1:34" x14ac:dyDescent="0.2">
      <c r="A171" s="27">
        <v>10018985</v>
      </c>
      <c r="B171" s="27"/>
      <c r="C171" s="27" t="s">
        <v>136</v>
      </c>
      <c r="D171" s="28">
        <v>42239</v>
      </c>
      <c r="E171" s="27">
        <v>93458700</v>
      </c>
      <c r="F171" s="28">
        <v>42213</v>
      </c>
      <c r="G171" s="28">
        <v>42214</v>
      </c>
      <c r="H171" s="27">
        <v>1201494</v>
      </c>
      <c r="I171" s="27" t="s">
        <v>161</v>
      </c>
      <c r="J171" s="27">
        <v>1050125</v>
      </c>
      <c r="K171" s="27" t="s">
        <v>437</v>
      </c>
      <c r="L171" s="27">
        <v>1172005</v>
      </c>
      <c r="M171" s="27" t="s">
        <v>161</v>
      </c>
      <c r="N171" s="27">
        <v>51004</v>
      </c>
      <c r="O171" s="27"/>
      <c r="P171" s="27"/>
      <c r="Q171" s="27" t="s">
        <v>181</v>
      </c>
      <c r="R171" s="27" t="s">
        <v>67</v>
      </c>
      <c r="S171" s="27" t="s">
        <v>68</v>
      </c>
      <c r="T171" s="27">
        <v>18764.28</v>
      </c>
      <c r="U171" s="27" t="s">
        <v>182</v>
      </c>
      <c r="V171" s="27" t="s">
        <v>120</v>
      </c>
      <c r="W171" s="27"/>
      <c r="X171" s="27"/>
      <c r="Y171" s="27"/>
      <c r="Z171" s="27"/>
      <c r="AA171" s="27"/>
      <c r="AB171" s="27"/>
      <c r="AC171" s="27"/>
      <c r="AD171" s="27"/>
      <c r="AE171" s="27" t="s">
        <v>183</v>
      </c>
      <c r="AF171" s="27">
        <v>3511781980</v>
      </c>
      <c r="AG171" s="27"/>
      <c r="AH171" s="27"/>
    </row>
    <row r="172" spans="1:34" x14ac:dyDescent="0.2">
      <c r="A172" s="27">
        <v>10018986</v>
      </c>
      <c r="B172" s="27" t="s">
        <v>22</v>
      </c>
      <c r="C172" s="27" t="s">
        <v>136</v>
      </c>
      <c r="D172" s="28">
        <v>42239</v>
      </c>
      <c r="E172" s="27">
        <v>93458700</v>
      </c>
      <c r="F172" s="28">
        <v>42213</v>
      </c>
      <c r="G172" s="28">
        <v>42214</v>
      </c>
      <c r="H172" s="27">
        <v>1201494</v>
      </c>
      <c r="I172" s="27" t="s">
        <v>161</v>
      </c>
      <c r="J172" s="27">
        <v>1050125</v>
      </c>
      <c r="K172" s="27" t="s">
        <v>437</v>
      </c>
      <c r="L172" s="27">
        <v>1172005</v>
      </c>
      <c r="M172" s="27" t="s">
        <v>161</v>
      </c>
      <c r="N172" s="27">
        <v>51004</v>
      </c>
      <c r="O172" s="27"/>
      <c r="P172" s="27"/>
      <c r="Q172" s="27" t="s">
        <v>181</v>
      </c>
      <c r="R172" s="27" t="s">
        <v>67</v>
      </c>
      <c r="S172" s="27" t="s">
        <v>68</v>
      </c>
      <c r="T172" s="27">
        <v>4438.4399999999996</v>
      </c>
      <c r="U172" s="27" t="s">
        <v>182</v>
      </c>
      <c r="V172" s="27" t="s">
        <v>63</v>
      </c>
      <c r="W172" s="27"/>
      <c r="X172" s="27"/>
      <c r="Y172" s="27"/>
      <c r="Z172" s="27" t="s">
        <v>64</v>
      </c>
      <c r="AA172" s="28">
        <v>42239</v>
      </c>
      <c r="AB172" s="27"/>
      <c r="AC172" s="27"/>
      <c r="AD172" s="27"/>
      <c r="AE172" s="27" t="s">
        <v>183</v>
      </c>
      <c r="AF172" s="27">
        <v>3511781980</v>
      </c>
      <c r="AG172" s="27"/>
      <c r="AH172" s="27"/>
    </row>
    <row r="173" spans="1:34" x14ac:dyDescent="0.2">
      <c r="A173" s="27">
        <v>10018987</v>
      </c>
      <c r="B173" s="27" t="s">
        <v>26</v>
      </c>
      <c r="C173" s="27" t="s">
        <v>136</v>
      </c>
      <c r="D173" s="28">
        <v>42239</v>
      </c>
      <c r="E173" s="27">
        <v>93458701</v>
      </c>
      <c r="F173" s="28">
        <v>42213</v>
      </c>
      <c r="G173" s="28">
        <v>42214</v>
      </c>
      <c r="H173" s="27">
        <v>1201494</v>
      </c>
      <c r="I173" s="27" t="s">
        <v>161</v>
      </c>
      <c r="J173" s="27">
        <v>1064093</v>
      </c>
      <c r="K173" s="27" t="s">
        <v>390</v>
      </c>
      <c r="L173" s="27">
        <v>1172005</v>
      </c>
      <c r="M173" s="27" t="s">
        <v>161</v>
      </c>
      <c r="N173" s="27">
        <v>54274</v>
      </c>
      <c r="O173" s="27"/>
      <c r="P173" s="27"/>
      <c r="Q173" s="27" t="s">
        <v>181</v>
      </c>
      <c r="R173" s="27" t="s">
        <v>67</v>
      </c>
      <c r="S173" s="27" t="s">
        <v>68</v>
      </c>
      <c r="T173" s="27">
        <v>3630.36</v>
      </c>
      <c r="U173" s="27" t="s">
        <v>182</v>
      </c>
      <c r="V173" s="27" t="s">
        <v>63</v>
      </c>
      <c r="W173" s="27"/>
      <c r="X173" s="27"/>
      <c r="Y173" s="27"/>
      <c r="Z173" s="27"/>
      <c r="AA173" s="27"/>
      <c r="AB173" s="27"/>
      <c r="AC173" s="27"/>
      <c r="AD173" s="27"/>
      <c r="AE173" s="27" t="s">
        <v>183</v>
      </c>
      <c r="AF173" s="27">
        <v>3511782013</v>
      </c>
      <c r="AG173" s="27"/>
      <c r="AH173" s="27"/>
    </row>
    <row r="174" spans="1:34" x14ac:dyDescent="0.2">
      <c r="A174" s="27">
        <v>10018988</v>
      </c>
      <c r="B174" s="27" t="s">
        <v>22</v>
      </c>
      <c r="C174" s="27" t="s">
        <v>136</v>
      </c>
      <c r="D174" s="28">
        <v>42239</v>
      </c>
      <c r="E174" s="27">
        <v>93458701</v>
      </c>
      <c r="F174" s="28">
        <v>42213</v>
      </c>
      <c r="G174" s="28">
        <v>42214</v>
      </c>
      <c r="H174" s="27">
        <v>1201494</v>
      </c>
      <c r="I174" s="27" t="s">
        <v>161</v>
      </c>
      <c r="J174" s="27">
        <v>1064093</v>
      </c>
      <c r="K174" s="27" t="s">
        <v>390</v>
      </c>
      <c r="L174" s="27">
        <v>1172005</v>
      </c>
      <c r="M174" s="27" t="s">
        <v>161</v>
      </c>
      <c r="N174" s="27">
        <v>54274</v>
      </c>
      <c r="O174" s="27"/>
      <c r="P174" s="27"/>
      <c r="Q174" s="27" t="s">
        <v>181</v>
      </c>
      <c r="R174" s="27" t="s">
        <v>67</v>
      </c>
      <c r="S174" s="27" t="s">
        <v>68</v>
      </c>
      <c r="T174" s="27">
        <v>18764.28</v>
      </c>
      <c r="U174" s="27" t="s">
        <v>182</v>
      </c>
      <c r="V174" s="27" t="s">
        <v>63</v>
      </c>
      <c r="W174" s="27"/>
      <c r="X174" s="27"/>
      <c r="Y174" s="27"/>
      <c r="Z174" s="27" t="s">
        <v>64</v>
      </c>
      <c r="AA174" s="28">
        <v>42239</v>
      </c>
      <c r="AB174" s="27"/>
      <c r="AC174" s="27"/>
      <c r="AD174" s="27"/>
      <c r="AE174" s="27" t="s">
        <v>183</v>
      </c>
      <c r="AF174" s="27">
        <v>3511782013</v>
      </c>
      <c r="AG174" s="27"/>
      <c r="AH174" s="27"/>
    </row>
    <row r="175" spans="1:34" x14ac:dyDescent="0.2">
      <c r="A175" s="27">
        <v>10018989</v>
      </c>
      <c r="B175" s="27" t="s">
        <v>18</v>
      </c>
      <c r="C175" s="27" t="s">
        <v>136</v>
      </c>
      <c r="D175" s="28">
        <v>42240</v>
      </c>
      <c r="E175" s="27">
        <v>93485212</v>
      </c>
      <c r="F175" s="28">
        <v>42234</v>
      </c>
      <c r="G175" s="27"/>
      <c r="H175" s="27">
        <v>1201399</v>
      </c>
      <c r="I175" s="27" t="s">
        <v>144</v>
      </c>
      <c r="J175" s="27">
        <v>1334926</v>
      </c>
      <c r="K175" s="27" t="s">
        <v>145</v>
      </c>
      <c r="L175" s="27">
        <v>1171970</v>
      </c>
      <c r="M175" s="27" t="s">
        <v>144</v>
      </c>
      <c r="N175" s="27">
        <v>8106405575</v>
      </c>
      <c r="O175" s="27"/>
      <c r="P175" s="27"/>
      <c r="Q175" s="27" t="s">
        <v>181</v>
      </c>
      <c r="R175" s="27" t="s">
        <v>91</v>
      </c>
      <c r="S175" s="27" t="s">
        <v>92</v>
      </c>
      <c r="T175" s="27">
        <v>2695.8</v>
      </c>
      <c r="U175" s="27" t="s">
        <v>182</v>
      </c>
      <c r="V175" s="27" t="s">
        <v>63</v>
      </c>
      <c r="W175" s="27" t="s">
        <v>70</v>
      </c>
      <c r="X175" s="27" t="s">
        <v>76</v>
      </c>
      <c r="Y175" s="28">
        <v>42244</v>
      </c>
      <c r="Z175" s="27" t="s">
        <v>83</v>
      </c>
      <c r="AA175" s="28">
        <v>42243</v>
      </c>
      <c r="AB175" s="27"/>
      <c r="AC175" s="27"/>
      <c r="AD175" s="27"/>
      <c r="AE175" s="27" t="s">
        <v>183</v>
      </c>
      <c r="AF175" s="27" t="s">
        <v>438</v>
      </c>
      <c r="AG175" s="27" t="s">
        <v>77</v>
      </c>
      <c r="AH175" s="27" t="s">
        <v>376</v>
      </c>
    </row>
    <row r="176" spans="1:34" x14ac:dyDescent="0.2">
      <c r="A176" s="27">
        <v>10018990</v>
      </c>
      <c r="B176" s="27" t="s">
        <v>26</v>
      </c>
      <c r="C176" s="27" t="s">
        <v>149</v>
      </c>
      <c r="D176" s="28">
        <v>42240</v>
      </c>
      <c r="E176" s="27">
        <v>93477940</v>
      </c>
      <c r="F176" s="28">
        <v>42228</v>
      </c>
      <c r="G176" s="28">
        <v>42233</v>
      </c>
      <c r="H176" s="27">
        <v>1201047</v>
      </c>
      <c r="I176" s="27" t="s">
        <v>79</v>
      </c>
      <c r="J176" s="27">
        <v>1038994</v>
      </c>
      <c r="K176" s="27" t="s">
        <v>80</v>
      </c>
      <c r="L176" s="27">
        <v>1171089</v>
      </c>
      <c r="M176" s="27" t="s">
        <v>75</v>
      </c>
      <c r="N176" s="27">
        <v>40434885</v>
      </c>
      <c r="O176" s="27"/>
      <c r="P176" s="27"/>
      <c r="Q176" s="27" t="s">
        <v>181</v>
      </c>
      <c r="R176" s="27" t="s">
        <v>67</v>
      </c>
      <c r="S176" s="27" t="s">
        <v>68</v>
      </c>
      <c r="T176" s="27">
        <v>240</v>
      </c>
      <c r="U176" s="27" t="s">
        <v>182</v>
      </c>
      <c r="V176" s="27" t="s">
        <v>63</v>
      </c>
      <c r="W176" s="27" t="s">
        <v>94</v>
      </c>
      <c r="X176" s="27" t="s">
        <v>82</v>
      </c>
      <c r="Y176" s="28">
        <v>42248</v>
      </c>
      <c r="Z176" s="27" t="s">
        <v>64</v>
      </c>
      <c r="AA176" s="28">
        <v>42240</v>
      </c>
      <c r="AB176" s="27"/>
      <c r="AC176" s="27"/>
      <c r="AD176" s="27"/>
      <c r="AE176" s="27" t="s">
        <v>183</v>
      </c>
      <c r="AF176" s="27">
        <v>3511786154</v>
      </c>
      <c r="AG176" s="27" t="s">
        <v>96</v>
      </c>
      <c r="AH176" s="27" t="s">
        <v>439</v>
      </c>
    </row>
    <row r="177" spans="1:34" x14ac:dyDescent="0.2">
      <c r="A177" s="27">
        <v>10018991</v>
      </c>
      <c r="B177" s="27" t="s">
        <v>26</v>
      </c>
      <c r="C177" s="27" t="s">
        <v>149</v>
      </c>
      <c r="D177" s="28">
        <v>42240</v>
      </c>
      <c r="E177" s="27">
        <v>93479790</v>
      </c>
      <c r="F177" s="28">
        <v>42229</v>
      </c>
      <c r="G177" s="28">
        <v>42233</v>
      </c>
      <c r="H177" s="27">
        <v>1201047</v>
      </c>
      <c r="I177" s="27" t="s">
        <v>79</v>
      </c>
      <c r="J177" s="27">
        <v>1038994</v>
      </c>
      <c r="K177" s="27" t="s">
        <v>80</v>
      </c>
      <c r="L177" s="27">
        <v>1171089</v>
      </c>
      <c r="M177" s="27" t="s">
        <v>75</v>
      </c>
      <c r="N177" s="27">
        <v>40434885</v>
      </c>
      <c r="O177" s="27"/>
      <c r="P177" s="27"/>
      <c r="Q177" s="27" t="s">
        <v>181</v>
      </c>
      <c r="R177" s="27" t="s">
        <v>67</v>
      </c>
      <c r="S177" s="27" t="s">
        <v>68</v>
      </c>
      <c r="T177" s="27">
        <v>688.8</v>
      </c>
      <c r="U177" s="27" t="s">
        <v>182</v>
      </c>
      <c r="V177" s="27" t="s">
        <v>69</v>
      </c>
      <c r="W177" s="27" t="s">
        <v>94</v>
      </c>
      <c r="X177" s="27" t="s">
        <v>95</v>
      </c>
      <c r="Y177" s="28">
        <v>42242</v>
      </c>
      <c r="Z177" s="27" t="s">
        <v>64</v>
      </c>
      <c r="AA177" s="28">
        <v>42240</v>
      </c>
      <c r="AB177" s="27" t="s">
        <v>100</v>
      </c>
      <c r="AC177" s="27">
        <v>61980649</v>
      </c>
      <c r="AD177" s="28">
        <v>42261</v>
      </c>
      <c r="AE177" s="27" t="s">
        <v>183</v>
      </c>
      <c r="AF177" s="27">
        <v>3511786364</v>
      </c>
      <c r="AG177" s="27" t="s">
        <v>96</v>
      </c>
      <c r="AH177" s="27" t="s">
        <v>440</v>
      </c>
    </row>
    <row r="178" spans="1:34" x14ac:dyDescent="0.2">
      <c r="A178" s="27">
        <v>10018992</v>
      </c>
      <c r="B178" s="27" t="s">
        <v>26</v>
      </c>
      <c r="C178" s="27" t="s">
        <v>149</v>
      </c>
      <c r="D178" s="28">
        <v>42240</v>
      </c>
      <c r="E178" s="27">
        <v>93469542</v>
      </c>
      <c r="F178" s="28">
        <v>42221</v>
      </c>
      <c r="G178" s="27"/>
      <c r="H178" s="27">
        <v>1201047</v>
      </c>
      <c r="I178" s="27" t="s">
        <v>79</v>
      </c>
      <c r="J178" s="27">
        <v>1309880</v>
      </c>
      <c r="K178" s="27" t="s">
        <v>108</v>
      </c>
      <c r="L178" s="27">
        <v>1171089</v>
      </c>
      <c r="M178" s="27" t="s">
        <v>75</v>
      </c>
      <c r="N178" s="27">
        <v>18744637</v>
      </c>
      <c r="O178" s="27"/>
      <c r="P178" s="27"/>
      <c r="Q178" s="27" t="s">
        <v>181</v>
      </c>
      <c r="R178" s="27" t="s">
        <v>102</v>
      </c>
      <c r="S178" s="27" t="s">
        <v>103</v>
      </c>
      <c r="T178" s="27">
        <v>1837.62</v>
      </c>
      <c r="U178" s="27" t="s">
        <v>182</v>
      </c>
      <c r="V178" s="27" t="s">
        <v>63</v>
      </c>
      <c r="W178" s="27" t="s">
        <v>81</v>
      </c>
      <c r="X178" s="27" t="s">
        <v>88</v>
      </c>
      <c r="Y178" s="28">
        <v>42248</v>
      </c>
      <c r="Z178" s="27"/>
      <c r="AA178" s="27"/>
      <c r="AB178" s="27"/>
      <c r="AC178" s="27"/>
      <c r="AD178" s="27"/>
      <c r="AE178" s="27" t="s">
        <v>183</v>
      </c>
      <c r="AF178" s="27" t="s">
        <v>441</v>
      </c>
      <c r="AG178" s="27" t="s">
        <v>89</v>
      </c>
      <c r="AH178" s="27" t="s">
        <v>442</v>
      </c>
    </row>
    <row r="179" spans="1:34" x14ac:dyDescent="0.2">
      <c r="A179" s="27">
        <v>10018993</v>
      </c>
      <c r="B179" s="27" t="s">
        <v>18</v>
      </c>
      <c r="C179" s="27" t="s">
        <v>149</v>
      </c>
      <c r="D179" s="28">
        <v>42240</v>
      </c>
      <c r="E179" s="27">
        <v>93483757</v>
      </c>
      <c r="F179" s="28">
        <v>42233</v>
      </c>
      <c r="G179" s="28">
        <v>42235</v>
      </c>
      <c r="H179" s="27">
        <v>1201047</v>
      </c>
      <c r="I179" s="27" t="s">
        <v>79</v>
      </c>
      <c r="J179" s="27">
        <v>1321618</v>
      </c>
      <c r="K179" s="27" t="s">
        <v>85</v>
      </c>
      <c r="L179" s="27">
        <v>1171089</v>
      </c>
      <c r="M179" s="27" t="s">
        <v>75</v>
      </c>
      <c r="N179" s="27">
        <v>55518580</v>
      </c>
      <c r="O179" s="27"/>
      <c r="P179" s="27"/>
      <c r="Q179" s="27" t="s">
        <v>181</v>
      </c>
      <c r="R179" s="27" t="s">
        <v>67</v>
      </c>
      <c r="S179" s="27" t="s">
        <v>68</v>
      </c>
      <c r="T179" s="27">
        <v>2200</v>
      </c>
      <c r="U179" s="27" t="s">
        <v>182</v>
      </c>
      <c r="V179" s="27" t="s">
        <v>69</v>
      </c>
      <c r="W179" s="27" t="s">
        <v>70</v>
      </c>
      <c r="X179" s="27" t="s">
        <v>71</v>
      </c>
      <c r="Y179" s="28">
        <v>42242</v>
      </c>
      <c r="Z179" s="27" t="s">
        <v>83</v>
      </c>
      <c r="AA179" s="28">
        <v>42242</v>
      </c>
      <c r="AB179" s="27" t="s">
        <v>72</v>
      </c>
      <c r="AC179" s="27">
        <v>61978265</v>
      </c>
      <c r="AD179" s="28">
        <v>42257</v>
      </c>
      <c r="AE179" s="27" t="s">
        <v>183</v>
      </c>
      <c r="AF179" s="27">
        <v>3511786924</v>
      </c>
      <c r="AG179" s="27" t="s">
        <v>73</v>
      </c>
      <c r="AH179" s="27" t="s">
        <v>443</v>
      </c>
    </row>
    <row r="180" spans="1:34" x14ac:dyDescent="0.2">
      <c r="A180" s="27">
        <v>10018994</v>
      </c>
      <c r="B180" s="27" t="s">
        <v>18</v>
      </c>
      <c r="C180" s="27" t="s">
        <v>149</v>
      </c>
      <c r="D180" s="28">
        <v>42240</v>
      </c>
      <c r="E180" s="27">
        <v>93483792</v>
      </c>
      <c r="F180" s="28">
        <v>42233</v>
      </c>
      <c r="G180" s="28">
        <v>42236</v>
      </c>
      <c r="H180" s="27">
        <v>1201047</v>
      </c>
      <c r="I180" s="27" t="s">
        <v>79</v>
      </c>
      <c r="J180" s="27">
        <v>1300235</v>
      </c>
      <c r="K180" s="27" t="s">
        <v>109</v>
      </c>
      <c r="L180" s="27">
        <v>1171089</v>
      </c>
      <c r="M180" s="27" t="s">
        <v>75</v>
      </c>
      <c r="N180" s="27">
        <v>8365291</v>
      </c>
      <c r="O180" s="27"/>
      <c r="P180" s="27"/>
      <c r="Q180" s="27" t="s">
        <v>181</v>
      </c>
      <c r="R180" s="27" t="s">
        <v>67</v>
      </c>
      <c r="S180" s="27" t="s">
        <v>68</v>
      </c>
      <c r="T180" s="27">
        <v>214.2</v>
      </c>
      <c r="U180" s="27" t="s">
        <v>182</v>
      </c>
      <c r="V180" s="27" t="s">
        <v>63</v>
      </c>
      <c r="W180" s="27" t="s">
        <v>70</v>
      </c>
      <c r="X180" s="27" t="s">
        <v>76</v>
      </c>
      <c r="Y180" s="28">
        <v>42244</v>
      </c>
      <c r="Z180" s="27" t="s">
        <v>64</v>
      </c>
      <c r="AA180" s="28">
        <v>42240</v>
      </c>
      <c r="AB180" s="27"/>
      <c r="AC180" s="27"/>
      <c r="AD180" s="27"/>
      <c r="AE180" s="27" t="s">
        <v>183</v>
      </c>
      <c r="AF180" s="27">
        <v>3511786880</v>
      </c>
      <c r="AG180" s="27" t="s">
        <v>77</v>
      </c>
      <c r="AH180" s="27" t="s">
        <v>444</v>
      </c>
    </row>
    <row r="181" spans="1:34" x14ac:dyDescent="0.2">
      <c r="A181" s="27">
        <v>10018995</v>
      </c>
      <c r="B181" s="27" t="s">
        <v>26</v>
      </c>
      <c r="C181" s="27" t="s">
        <v>78</v>
      </c>
      <c r="D181" s="28">
        <v>42240</v>
      </c>
      <c r="E181" s="27">
        <v>93489116</v>
      </c>
      <c r="F181" s="28">
        <v>42236</v>
      </c>
      <c r="G181" s="27"/>
      <c r="H181" s="27">
        <v>1201630</v>
      </c>
      <c r="I181" s="27" t="s">
        <v>157</v>
      </c>
      <c r="J181" s="27">
        <v>1000687</v>
      </c>
      <c r="K181" s="27" t="s">
        <v>158</v>
      </c>
      <c r="L181" s="27">
        <v>1201630</v>
      </c>
      <c r="M181" s="27" t="s">
        <v>157</v>
      </c>
      <c r="N181" s="27">
        <v>48724204</v>
      </c>
      <c r="O181" s="27"/>
      <c r="P181" s="27"/>
      <c r="Q181" s="27" t="s">
        <v>181</v>
      </c>
      <c r="R181" s="27" t="s">
        <v>97</v>
      </c>
      <c r="S181" s="27" t="s">
        <v>98</v>
      </c>
      <c r="T181" s="27">
        <v>2052</v>
      </c>
      <c r="U181" s="27" t="s">
        <v>182</v>
      </c>
      <c r="V181" s="27" t="s">
        <v>63</v>
      </c>
      <c r="W181" s="27" t="s">
        <v>94</v>
      </c>
      <c r="X181" s="27" t="s">
        <v>95</v>
      </c>
      <c r="Y181" s="28">
        <v>42240</v>
      </c>
      <c r="Z181" s="27" t="s">
        <v>83</v>
      </c>
      <c r="AA181" s="28">
        <v>42243</v>
      </c>
      <c r="AB181" s="27"/>
      <c r="AC181" s="27"/>
      <c r="AD181" s="27"/>
      <c r="AE181" s="27" t="s">
        <v>183</v>
      </c>
      <c r="AF181" s="27" t="s">
        <v>445</v>
      </c>
      <c r="AG181" s="27" t="s">
        <v>96</v>
      </c>
      <c r="AH181" s="27" t="s">
        <v>446</v>
      </c>
    </row>
    <row r="182" spans="1:34" x14ac:dyDescent="0.2">
      <c r="A182" s="27">
        <v>10018996</v>
      </c>
      <c r="B182" s="27" t="s">
        <v>18</v>
      </c>
      <c r="C182" s="27" t="s">
        <v>78</v>
      </c>
      <c r="D182" s="28">
        <v>42240</v>
      </c>
      <c r="E182" s="27">
        <v>93483962</v>
      </c>
      <c r="F182" s="28">
        <v>42233</v>
      </c>
      <c r="G182" s="27"/>
      <c r="H182" s="27">
        <v>1201120</v>
      </c>
      <c r="I182" s="27" t="s">
        <v>117</v>
      </c>
      <c r="J182" s="27">
        <v>1307782</v>
      </c>
      <c r="K182" s="27" t="s">
        <v>119</v>
      </c>
      <c r="L182" s="27">
        <v>1171090</v>
      </c>
      <c r="M182" s="27" t="s">
        <v>118</v>
      </c>
      <c r="N182" s="27" t="s">
        <v>419</v>
      </c>
      <c r="O182" s="27"/>
      <c r="P182" s="27"/>
      <c r="Q182" s="27" t="s">
        <v>181</v>
      </c>
      <c r="R182" s="27" t="s">
        <v>121</v>
      </c>
      <c r="S182" s="27" t="s">
        <v>122</v>
      </c>
      <c r="T182" s="27">
        <v>278.38</v>
      </c>
      <c r="U182" s="27" t="s">
        <v>182</v>
      </c>
      <c r="V182" s="27" t="s">
        <v>69</v>
      </c>
      <c r="W182" s="27" t="s">
        <v>70</v>
      </c>
      <c r="X182" s="27" t="s">
        <v>76</v>
      </c>
      <c r="Y182" s="28">
        <v>42244</v>
      </c>
      <c r="Z182" s="27" t="s">
        <v>64</v>
      </c>
      <c r="AA182" s="28">
        <v>42240</v>
      </c>
      <c r="AB182" s="27" t="s">
        <v>100</v>
      </c>
      <c r="AC182" s="27">
        <v>61982250</v>
      </c>
      <c r="AD182" s="28">
        <v>42263</v>
      </c>
      <c r="AE182" s="27" t="s">
        <v>183</v>
      </c>
      <c r="AF182" s="27" t="s">
        <v>447</v>
      </c>
      <c r="AG182" s="27" t="s">
        <v>77</v>
      </c>
      <c r="AH182" s="27" t="s">
        <v>191</v>
      </c>
    </row>
    <row r="183" spans="1:34" x14ac:dyDescent="0.2">
      <c r="A183" s="27">
        <v>10018997</v>
      </c>
      <c r="B183" s="27" t="s">
        <v>18</v>
      </c>
      <c r="C183" s="27" t="s">
        <v>78</v>
      </c>
      <c r="D183" s="28">
        <v>42240</v>
      </c>
      <c r="E183" s="27">
        <v>93487261</v>
      </c>
      <c r="F183" s="28">
        <v>42235</v>
      </c>
      <c r="G183" s="27"/>
      <c r="H183" s="27">
        <v>1057544</v>
      </c>
      <c r="I183" s="27" t="s">
        <v>363</v>
      </c>
      <c r="J183" s="27">
        <v>1327308</v>
      </c>
      <c r="K183" s="27" t="s">
        <v>363</v>
      </c>
      <c r="L183" s="27">
        <v>1057544</v>
      </c>
      <c r="M183" s="27" t="s">
        <v>363</v>
      </c>
      <c r="N183" s="27">
        <v>8117229</v>
      </c>
      <c r="O183" s="27"/>
      <c r="P183" s="27"/>
      <c r="Q183" s="27" t="s">
        <v>181</v>
      </c>
      <c r="R183" s="27" t="s">
        <v>102</v>
      </c>
      <c r="S183" s="27" t="s">
        <v>103</v>
      </c>
      <c r="T183" s="27">
        <v>515.12</v>
      </c>
      <c r="U183" s="27" t="s">
        <v>182</v>
      </c>
      <c r="V183" s="27" t="s">
        <v>63</v>
      </c>
      <c r="W183" s="27" t="s">
        <v>70</v>
      </c>
      <c r="X183" s="27" t="s">
        <v>76</v>
      </c>
      <c r="Y183" s="28">
        <v>42244</v>
      </c>
      <c r="Z183" s="27" t="s">
        <v>64</v>
      </c>
      <c r="AA183" s="28">
        <v>42240</v>
      </c>
      <c r="AB183" s="27"/>
      <c r="AC183" s="27"/>
      <c r="AD183" s="27"/>
      <c r="AE183" s="27" t="s">
        <v>183</v>
      </c>
      <c r="AF183" s="27">
        <v>636808609070</v>
      </c>
      <c r="AG183" s="27" t="s">
        <v>77</v>
      </c>
      <c r="AH183" s="27" t="s">
        <v>448</v>
      </c>
    </row>
    <row r="184" spans="1:34" x14ac:dyDescent="0.2">
      <c r="A184" s="27">
        <v>10018999</v>
      </c>
      <c r="B184" s="27" t="s">
        <v>18</v>
      </c>
      <c r="C184" s="27" t="s">
        <v>78</v>
      </c>
      <c r="D184" s="28">
        <v>42240</v>
      </c>
      <c r="E184" s="27">
        <v>93487246</v>
      </c>
      <c r="F184" s="28">
        <v>42235</v>
      </c>
      <c r="G184" s="28">
        <v>42237</v>
      </c>
      <c r="H184" s="27">
        <v>1022013</v>
      </c>
      <c r="I184" s="27" t="s">
        <v>114</v>
      </c>
      <c r="J184" s="27">
        <v>1335507</v>
      </c>
      <c r="K184" s="27" t="s">
        <v>114</v>
      </c>
      <c r="L184" s="27">
        <v>1022013</v>
      </c>
      <c r="M184" s="27" t="s">
        <v>114</v>
      </c>
      <c r="N184" s="27">
        <v>74553</v>
      </c>
      <c r="O184" s="27"/>
      <c r="P184" s="27"/>
      <c r="Q184" s="27" t="s">
        <v>181</v>
      </c>
      <c r="R184" s="27" t="s">
        <v>67</v>
      </c>
      <c r="S184" s="27" t="s">
        <v>68</v>
      </c>
      <c r="T184" s="27">
        <v>313.52</v>
      </c>
      <c r="U184" s="27" t="s">
        <v>182</v>
      </c>
      <c r="V184" s="27" t="s">
        <v>69</v>
      </c>
      <c r="W184" s="27" t="s">
        <v>70</v>
      </c>
      <c r="X184" s="27" t="s">
        <v>76</v>
      </c>
      <c r="Y184" s="28">
        <v>42244</v>
      </c>
      <c r="Z184" s="27" t="s">
        <v>64</v>
      </c>
      <c r="AA184" s="28">
        <v>42240</v>
      </c>
      <c r="AB184" s="27" t="s">
        <v>100</v>
      </c>
      <c r="AC184" s="27">
        <v>61982253</v>
      </c>
      <c r="AD184" s="28">
        <v>42263</v>
      </c>
      <c r="AE184" s="27" t="s">
        <v>183</v>
      </c>
      <c r="AF184" s="27">
        <v>2795192352</v>
      </c>
      <c r="AG184" s="27" t="s">
        <v>77</v>
      </c>
      <c r="AH184" s="27" t="s">
        <v>355</v>
      </c>
    </row>
    <row r="185" spans="1:34" x14ac:dyDescent="0.2">
      <c r="A185" s="27">
        <v>10019004</v>
      </c>
      <c r="B185" s="27" t="s">
        <v>26</v>
      </c>
      <c r="C185" s="27" t="s">
        <v>78</v>
      </c>
      <c r="D185" s="28">
        <v>42240</v>
      </c>
      <c r="E185" s="27">
        <v>93481828</v>
      </c>
      <c r="F185" s="28">
        <v>42230</v>
      </c>
      <c r="G185" s="27"/>
      <c r="H185" s="27">
        <v>1322827</v>
      </c>
      <c r="I185" s="27" t="s">
        <v>253</v>
      </c>
      <c r="J185" s="27">
        <v>1322895</v>
      </c>
      <c r="K185" s="27" t="s">
        <v>449</v>
      </c>
      <c r="L185" s="27">
        <v>1322827</v>
      </c>
      <c r="M185" s="27" t="s">
        <v>253</v>
      </c>
      <c r="N185" s="27">
        <v>1232479</v>
      </c>
      <c r="O185" s="27"/>
      <c r="P185" s="27"/>
      <c r="Q185" s="27" t="s">
        <v>181</v>
      </c>
      <c r="R185" s="27" t="s">
        <v>102</v>
      </c>
      <c r="S185" s="27" t="s">
        <v>103</v>
      </c>
      <c r="T185" s="27">
        <v>883.68</v>
      </c>
      <c r="U185" s="27" t="s">
        <v>182</v>
      </c>
      <c r="V185" s="27" t="s">
        <v>69</v>
      </c>
      <c r="W185" s="27" t="s">
        <v>81</v>
      </c>
      <c r="X185" s="27" t="s">
        <v>88</v>
      </c>
      <c r="Y185" s="28">
        <v>42248</v>
      </c>
      <c r="Z185" s="27" t="s">
        <v>64</v>
      </c>
      <c r="AA185" s="28">
        <v>42240</v>
      </c>
      <c r="AB185" s="27" t="s">
        <v>100</v>
      </c>
      <c r="AC185" s="27">
        <v>61988276</v>
      </c>
      <c r="AD185" s="28">
        <v>42271</v>
      </c>
      <c r="AE185" s="27" t="s">
        <v>183</v>
      </c>
      <c r="AF185" s="27">
        <v>636808598757</v>
      </c>
      <c r="AG185" s="27" t="s">
        <v>89</v>
      </c>
      <c r="AH185" s="27" t="s">
        <v>274</v>
      </c>
    </row>
    <row r="186" spans="1:34" x14ac:dyDescent="0.2">
      <c r="A186" s="27">
        <v>10019005</v>
      </c>
      <c r="B186" s="27" t="s">
        <v>18</v>
      </c>
      <c r="C186" s="27" t="s">
        <v>78</v>
      </c>
      <c r="D186" s="28">
        <v>42240</v>
      </c>
      <c r="E186" s="27">
        <v>93488944</v>
      </c>
      <c r="F186" s="28">
        <v>42236</v>
      </c>
      <c r="G186" s="28">
        <v>42237</v>
      </c>
      <c r="H186" s="27">
        <v>1201162</v>
      </c>
      <c r="I186" s="27" t="s">
        <v>137</v>
      </c>
      <c r="J186" s="27">
        <v>1320192</v>
      </c>
      <c r="K186" s="27" t="s">
        <v>450</v>
      </c>
      <c r="L186" s="27">
        <v>1201162</v>
      </c>
      <c r="M186" s="27" t="s">
        <v>137</v>
      </c>
      <c r="N186" s="27" t="s">
        <v>451</v>
      </c>
      <c r="O186" s="27"/>
      <c r="P186" s="27"/>
      <c r="Q186" s="27" t="s">
        <v>181</v>
      </c>
      <c r="R186" s="27" t="s">
        <v>67</v>
      </c>
      <c r="S186" s="27" t="s">
        <v>68</v>
      </c>
      <c r="T186" s="27">
        <v>168</v>
      </c>
      <c r="U186" s="27" t="s">
        <v>182</v>
      </c>
      <c r="V186" s="27" t="s">
        <v>69</v>
      </c>
      <c r="W186" s="27" t="s">
        <v>70</v>
      </c>
      <c r="X186" s="27" t="s">
        <v>76</v>
      </c>
      <c r="Y186" s="28">
        <v>42244</v>
      </c>
      <c r="Z186" s="27" t="s">
        <v>64</v>
      </c>
      <c r="AA186" s="28">
        <v>42240</v>
      </c>
      <c r="AB186" s="27" t="s">
        <v>100</v>
      </c>
      <c r="AC186" s="27">
        <v>61978279</v>
      </c>
      <c r="AD186" s="28">
        <v>42257</v>
      </c>
      <c r="AE186" s="27" t="s">
        <v>183</v>
      </c>
      <c r="AF186" s="27">
        <v>2795192562</v>
      </c>
      <c r="AG186" s="27" t="s">
        <v>77</v>
      </c>
      <c r="AH186" s="27" t="s">
        <v>452</v>
      </c>
    </row>
    <row r="187" spans="1:34" x14ac:dyDescent="0.2">
      <c r="A187" s="27">
        <v>10019006</v>
      </c>
      <c r="B187" s="27" t="s">
        <v>26</v>
      </c>
      <c r="C187" s="27" t="s">
        <v>78</v>
      </c>
      <c r="D187" s="28">
        <v>42240</v>
      </c>
      <c r="E187" s="27">
        <v>93419976</v>
      </c>
      <c r="F187" s="28">
        <v>42181</v>
      </c>
      <c r="G187" s="28">
        <v>42184</v>
      </c>
      <c r="H187" s="27">
        <v>1201315</v>
      </c>
      <c r="I187" s="27" t="s">
        <v>256</v>
      </c>
      <c r="J187" s="27">
        <v>1319408</v>
      </c>
      <c r="K187" s="27" t="s">
        <v>256</v>
      </c>
      <c r="L187" s="27">
        <v>1201315</v>
      </c>
      <c r="M187" s="27" t="s">
        <v>256</v>
      </c>
      <c r="N187" s="27">
        <v>5568126</v>
      </c>
      <c r="O187" s="27"/>
      <c r="P187" s="27"/>
      <c r="Q187" s="27" t="s">
        <v>181</v>
      </c>
      <c r="R187" s="27" t="s">
        <v>67</v>
      </c>
      <c r="S187" s="27" t="s">
        <v>68</v>
      </c>
      <c r="T187" s="27">
        <v>1650</v>
      </c>
      <c r="U187" s="27" t="s">
        <v>182</v>
      </c>
      <c r="V187" s="27" t="s">
        <v>69</v>
      </c>
      <c r="W187" s="27" t="s">
        <v>94</v>
      </c>
      <c r="X187" s="27" t="s">
        <v>95</v>
      </c>
      <c r="Y187" s="28">
        <v>42244</v>
      </c>
      <c r="Z187" s="27" t="s">
        <v>64</v>
      </c>
      <c r="AA187" s="28">
        <v>42240</v>
      </c>
      <c r="AB187" s="27" t="s">
        <v>100</v>
      </c>
      <c r="AC187" s="27">
        <v>61978326</v>
      </c>
      <c r="AD187" s="28">
        <v>42257</v>
      </c>
      <c r="AE187" s="27" t="s">
        <v>183</v>
      </c>
      <c r="AF187" s="27">
        <v>2795634866</v>
      </c>
      <c r="AG187" s="27" t="s">
        <v>96</v>
      </c>
      <c r="AH187" s="27" t="s">
        <v>453</v>
      </c>
    </row>
    <row r="188" spans="1:34" x14ac:dyDescent="0.2">
      <c r="A188" s="27">
        <v>10019007</v>
      </c>
      <c r="B188" s="27" t="s">
        <v>26</v>
      </c>
      <c r="C188" s="27" t="s">
        <v>78</v>
      </c>
      <c r="D188" s="28">
        <v>42240</v>
      </c>
      <c r="E188" s="27">
        <v>93483756</v>
      </c>
      <c r="F188" s="28">
        <v>42233</v>
      </c>
      <c r="G188" s="27"/>
      <c r="H188" s="27">
        <v>1201047</v>
      </c>
      <c r="I188" s="27" t="s">
        <v>79</v>
      </c>
      <c r="J188" s="27">
        <v>1030704</v>
      </c>
      <c r="K188" s="27" t="s">
        <v>101</v>
      </c>
      <c r="L188" s="27">
        <v>1171089</v>
      </c>
      <c r="M188" s="27" t="s">
        <v>75</v>
      </c>
      <c r="N188" s="27">
        <v>3500012</v>
      </c>
      <c r="O188" s="27"/>
      <c r="P188" s="27"/>
      <c r="Q188" s="27" t="s">
        <v>181</v>
      </c>
      <c r="R188" s="27" t="s">
        <v>102</v>
      </c>
      <c r="S188" s="27" t="s">
        <v>103</v>
      </c>
      <c r="T188" s="27">
        <v>3597.12</v>
      </c>
      <c r="U188" s="27" t="s">
        <v>182</v>
      </c>
      <c r="V188" s="27" t="s">
        <v>69</v>
      </c>
      <c r="W188" s="27" t="s">
        <v>94</v>
      </c>
      <c r="X188" s="27" t="s">
        <v>95</v>
      </c>
      <c r="Y188" s="28">
        <v>42241</v>
      </c>
      <c r="Z188" s="27" t="s">
        <v>83</v>
      </c>
      <c r="AA188" s="28">
        <v>42243</v>
      </c>
      <c r="AB188" s="27" t="s">
        <v>100</v>
      </c>
      <c r="AC188" s="27">
        <v>61980650</v>
      </c>
      <c r="AD188" s="28">
        <v>42261</v>
      </c>
      <c r="AE188" s="27" t="s">
        <v>183</v>
      </c>
      <c r="AF188" s="27">
        <v>636808604057</v>
      </c>
      <c r="AG188" s="27" t="s">
        <v>96</v>
      </c>
      <c r="AH188" s="27" t="s">
        <v>454</v>
      </c>
    </row>
    <row r="189" spans="1:34" x14ac:dyDescent="0.2">
      <c r="A189" s="27">
        <v>10019008</v>
      </c>
      <c r="B189" s="27" t="s">
        <v>26</v>
      </c>
      <c r="C189" s="27" t="s">
        <v>78</v>
      </c>
      <c r="D189" s="28">
        <v>42240</v>
      </c>
      <c r="E189" s="27">
        <v>93483759</v>
      </c>
      <c r="F189" s="28">
        <v>42233</v>
      </c>
      <c r="G189" s="28">
        <v>42236</v>
      </c>
      <c r="H189" s="27">
        <v>1201047</v>
      </c>
      <c r="I189" s="27" t="s">
        <v>79</v>
      </c>
      <c r="J189" s="27">
        <v>1022214</v>
      </c>
      <c r="K189" s="27" t="s">
        <v>80</v>
      </c>
      <c r="L189" s="27">
        <v>1171089</v>
      </c>
      <c r="M189" s="27" t="s">
        <v>75</v>
      </c>
      <c r="N189" s="27">
        <v>4736917</v>
      </c>
      <c r="O189" s="27"/>
      <c r="P189" s="27"/>
      <c r="Q189" s="27" t="s">
        <v>181</v>
      </c>
      <c r="R189" s="27" t="s">
        <v>67</v>
      </c>
      <c r="S189" s="27" t="s">
        <v>68</v>
      </c>
      <c r="T189" s="27">
        <v>1791.72</v>
      </c>
      <c r="U189" s="27" t="s">
        <v>182</v>
      </c>
      <c r="V189" s="27" t="s">
        <v>63</v>
      </c>
      <c r="W189" s="27" t="s">
        <v>81</v>
      </c>
      <c r="X189" s="27" t="s">
        <v>88</v>
      </c>
      <c r="Y189" s="28">
        <v>42248</v>
      </c>
      <c r="Z189" s="27"/>
      <c r="AA189" s="27"/>
      <c r="AB189" s="27"/>
      <c r="AC189" s="27"/>
      <c r="AD189" s="27"/>
      <c r="AE189" s="27" t="s">
        <v>183</v>
      </c>
      <c r="AF189" s="27">
        <v>3511786972</v>
      </c>
      <c r="AG189" s="27" t="s">
        <v>89</v>
      </c>
      <c r="AH189" s="27" t="s">
        <v>274</v>
      </c>
    </row>
    <row r="190" spans="1:34" x14ac:dyDescent="0.2">
      <c r="A190" s="27">
        <v>10019009</v>
      </c>
      <c r="B190" s="27" t="s">
        <v>22</v>
      </c>
      <c r="C190" s="27" t="s">
        <v>78</v>
      </c>
      <c r="D190" s="28">
        <v>42240</v>
      </c>
      <c r="E190" s="27">
        <v>93488810</v>
      </c>
      <c r="F190" s="28">
        <v>42236</v>
      </c>
      <c r="G190" s="27"/>
      <c r="H190" s="27">
        <v>1201047</v>
      </c>
      <c r="I190" s="27" t="s">
        <v>79</v>
      </c>
      <c r="J190" s="27">
        <v>1030704</v>
      </c>
      <c r="K190" s="27" t="s">
        <v>101</v>
      </c>
      <c r="L190" s="27">
        <v>1171089</v>
      </c>
      <c r="M190" s="27" t="s">
        <v>75</v>
      </c>
      <c r="N190" s="27">
        <v>3500044</v>
      </c>
      <c r="O190" s="27"/>
      <c r="P190" s="27"/>
      <c r="Q190" s="27" t="s">
        <v>181</v>
      </c>
      <c r="R190" s="27" t="s">
        <v>102</v>
      </c>
      <c r="S190" s="27" t="s">
        <v>103</v>
      </c>
      <c r="T190" s="27">
        <v>268.36</v>
      </c>
      <c r="U190" s="27" t="s">
        <v>182</v>
      </c>
      <c r="V190" s="27" t="s">
        <v>63</v>
      </c>
      <c r="W190" s="27" t="s">
        <v>94</v>
      </c>
      <c r="X190" s="27" t="s">
        <v>141</v>
      </c>
      <c r="Y190" s="28">
        <v>42247</v>
      </c>
      <c r="Z190" s="27" t="s">
        <v>64</v>
      </c>
      <c r="AA190" s="28">
        <v>42240</v>
      </c>
      <c r="AB190" s="27"/>
      <c r="AC190" s="27"/>
      <c r="AD190" s="27"/>
      <c r="AE190" s="27" t="s">
        <v>183</v>
      </c>
      <c r="AF190" s="27">
        <v>636808609541</v>
      </c>
      <c r="AG190" s="27" t="s">
        <v>142</v>
      </c>
      <c r="AH190" s="27" t="s">
        <v>455</v>
      </c>
    </row>
    <row r="191" spans="1:34" x14ac:dyDescent="0.2">
      <c r="A191" s="27">
        <v>10019010</v>
      </c>
      <c r="B191" s="27" t="s">
        <v>26</v>
      </c>
      <c r="C191" s="27" t="s">
        <v>78</v>
      </c>
      <c r="D191" s="28">
        <v>42240</v>
      </c>
      <c r="E191" s="27">
        <v>93489170</v>
      </c>
      <c r="F191" s="28">
        <v>42236</v>
      </c>
      <c r="G191" s="28">
        <v>42240</v>
      </c>
      <c r="H191" s="27">
        <v>1318826</v>
      </c>
      <c r="I191" s="27" t="s">
        <v>110</v>
      </c>
      <c r="J191" s="27">
        <v>1337270</v>
      </c>
      <c r="K191" s="27" t="s">
        <v>111</v>
      </c>
      <c r="L191" s="27">
        <v>1318826</v>
      </c>
      <c r="M191" s="27" t="s">
        <v>110</v>
      </c>
      <c r="N191" s="27">
        <v>1030665</v>
      </c>
      <c r="O191" s="27"/>
      <c r="P191" s="27"/>
      <c r="Q191" s="27" t="s">
        <v>181</v>
      </c>
      <c r="R191" s="27" t="s">
        <v>67</v>
      </c>
      <c r="S191" s="27" t="s">
        <v>68</v>
      </c>
      <c r="T191" s="27">
        <v>326.76</v>
      </c>
      <c r="U191" s="27" t="s">
        <v>182</v>
      </c>
      <c r="V191" s="27" t="s">
        <v>63</v>
      </c>
      <c r="W191" s="27" t="s">
        <v>94</v>
      </c>
      <c r="X191" s="27" t="s">
        <v>95</v>
      </c>
      <c r="Y191" s="28">
        <v>42242</v>
      </c>
      <c r="Z191" s="27" t="s">
        <v>64</v>
      </c>
      <c r="AA191" s="28">
        <v>42240</v>
      </c>
      <c r="AB191" s="27"/>
      <c r="AC191" s="27"/>
      <c r="AD191" s="27"/>
      <c r="AE191" s="27" t="s">
        <v>183</v>
      </c>
      <c r="AF191" s="27">
        <v>2795192492</v>
      </c>
      <c r="AG191" s="27" t="s">
        <v>96</v>
      </c>
      <c r="AH191" s="27" t="s">
        <v>456</v>
      </c>
    </row>
    <row r="192" spans="1:34" x14ac:dyDescent="0.2">
      <c r="A192" s="27">
        <v>10019011</v>
      </c>
      <c r="B192" s="27" t="s">
        <v>18</v>
      </c>
      <c r="C192" s="27" t="s">
        <v>78</v>
      </c>
      <c r="D192" s="28">
        <v>42240</v>
      </c>
      <c r="E192" s="27">
        <v>93485138</v>
      </c>
      <c r="F192" s="28">
        <v>42234</v>
      </c>
      <c r="G192" s="27"/>
      <c r="H192" s="27">
        <v>1201120</v>
      </c>
      <c r="I192" s="27" t="s">
        <v>117</v>
      </c>
      <c r="J192" s="27">
        <v>1307782</v>
      </c>
      <c r="K192" s="27" t="s">
        <v>119</v>
      </c>
      <c r="L192" s="27">
        <v>1171090</v>
      </c>
      <c r="M192" s="27" t="s">
        <v>118</v>
      </c>
      <c r="N192" s="27" t="s">
        <v>238</v>
      </c>
      <c r="O192" s="27"/>
      <c r="P192" s="27"/>
      <c r="Q192" s="27" t="s">
        <v>181</v>
      </c>
      <c r="R192" s="27" t="s">
        <v>97</v>
      </c>
      <c r="S192" s="27" t="s">
        <v>98</v>
      </c>
      <c r="T192" s="27">
        <v>270</v>
      </c>
      <c r="U192" s="27" t="s">
        <v>182</v>
      </c>
      <c r="V192" s="27" t="s">
        <v>63</v>
      </c>
      <c r="W192" s="27" t="s">
        <v>70</v>
      </c>
      <c r="X192" s="27" t="s">
        <v>76</v>
      </c>
      <c r="Y192" s="28">
        <v>42244</v>
      </c>
      <c r="Z192" s="27" t="s">
        <v>64</v>
      </c>
      <c r="AA192" s="28">
        <v>42240</v>
      </c>
      <c r="AB192" s="27"/>
      <c r="AC192" s="27"/>
      <c r="AD192" s="27"/>
      <c r="AE192" s="27" t="s">
        <v>183</v>
      </c>
      <c r="AF192" s="27">
        <v>87944972404628</v>
      </c>
      <c r="AG192" s="27" t="s">
        <v>77</v>
      </c>
      <c r="AH192" s="27" t="s">
        <v>376</v>
      </c>
    </row>
    <row r="193" spans="1:34" x14ac:dyDescent="0.2">
      <c r="A193" s="27">
        <v>10019012</v>
      </c>
      <c r="B193" s="27" t="s">
        <v>18</v>
      </c>
      <c r="C193" s="27" t="s">
        <v>78</v>
      </c>
      <c r="D193" s="28">
        <v>42240</v>
      </c>
      <c r="E193" s="27">
        <v>93490518</v>
      </c>
      <c r="F193" s="28">
        <v>42237</v>
      </c>
      <c r="G193" s="27"/>
      <c r="H193" s="27">
        <v>1201120</v>
      </c>
      <c r="I193" s="27" t="s">
        <v>117</v>
      </c>
      <c r="J193" s="27">
        <v>1307782</v>
      </c>
      <c r="K193" s="27" t="s">
        <v>119</v>
      </c>
      <c r="L193" s="27">
        <v>1171090</v>
      </c>
      <c r="M193" s="27" t="s">
        <v>118</v>
      </c>
      <c r="N193" s="27" t="s">
        <v>457</v>
      </c>
      <c r="O193" s="27"/>
      <c r="P193" s="27"/>
      <c r="Q193" s="27" t="s">
        <v>181</v>
      </c>
      <c r="R193" s="27" t="s">
        <v>91</v>
      </c>
      <c r="S193" s="27" t="s">
        <v>92</v>
      </c>
      <c r="T193" s="27">
        <v>482.1</v>
      </c>
      <c r="U193" s="27" t="s">
        <v>182</v>
      </c>
      <c r="V193" s="27" t="s">
        <v>63</v>
      </c>
      <c r="W193" s="27" t="s">
        <v>70</v>
      </c>
      <c r="X193" s="27" t="s">
        <v>76</v>
      </c>
      <c r="Y193" s="28">
        <v>42244</v>
      </c>
      <c r="Z193" s="27" t="s">
        <v>64</v>
      </c>
      <c r="AA193" s="28">
        <v>42240</v>
      </c>
      <c r="AB193" s="27"/>
      <c r="AC193" s="27"/>
      <c r="AD193" s="27"/>
      <c r="AE193" s="27" t="s">
        <v>183</v>
      </c>
      <c r="AF193" s="27" t="s">
        <v>458</v>
      </c>
      <c r="AG193" s="27" t="s">
        <v>77</v>
      </c>
      <c r="AH193" s="27" t="s">
        <v>228</v>
      </c>
    </row>
    <row r="194" spans="1:34" x14ac:dyDescent="0.2">
      <c r="A194" s="27">
        <v>10019014</v>
      </c>
      <c r="B194" s="27" t="s">
        <v>18</v>
      </c>
      <c r="C194" s="27" t="s">
        <v>78</v>
      </c>
      <c r="D194" s="28">
        <v>42241</v>
      </c>
      <c r="E194" s="27">
        <v>93490533</v>
      </c>
      <c r="F194" s="28">
        <v>42237</v>
      </c>
      <c r="G194" s="27"/>
      <c r="H194" s="27">
        <v>1201120</v>
      </c>
      <c r="I194" s="27" t="s">
        <v>117</v>
      </c>
      <c r="J194" s="27">
        <v>1307782</v>
      </c>
      <c r="K194" s="27" t="s">
        <v>119</v>
      </c>
      <c r="L194" s="27">
        <v>1171090</v>
      </c>
      <c r="M194" s="27" t="s">
        <v>118</v>
      </c>
      <c r="N194" s="27" t="s">
        <v>459</v>
      </c>
      <c r="O194" s="27"/>
      <c r="P194" s="27"/>
      <c r="Q194" s="27" t="s">
        <v>181</v>
      </c>
      <c r="R194" s="27" t="s">
        <v>123</v>
      </c>
      <c r="S194" s="27" t="s">
        <v>124</v>
      </c>
      <c r="T194" s="27">
        <v>628.5</v>
      </c>
      <c r="U194" s="27" t="s">
        <v>182</v>
      </c>
      <c r="V194" s="27" t="s">
        <v>63</v>
      </c>
      <c r="W194" s="27" t="s">
        <v>70</v>
      </c>
      <c r="X194" s="27" t="s">
        <v>76</v>
      </c>
      <c r="Y194" s="28">
        <v>42244</v>
      </c>
      <c r="Z194" s="27" t="s">
        <v>64</v>
      </c>
      <c r="AA194" s="28">
        <v>42241</v>
      </c>
      <c r="AB194" s="27"/>
      <c r="AC194" s="27"/>
      <c r="AD194" s="27"/>
      <c r="AE194" s="27" t="s">
        <v>183</v>
      </c>
      <c r="AF194" s="27" t="s">
        <v>460</v>
      </c>
      <c r="AG194" s="27" t="s">
        <v>77</v>
      </c>
      <c r="AH194" s="27" t="s">
        <v>461</v>
      </c>
    </row>
    <row r="195" spans="1:34" x14ac:dyDescent="0.2">
      <c r="A195" s="27">
        <v>10019016</v>
      </c>
      <c r="B195" s="27" t="s">
        <v>23</v>
      </c>
      <c r="C195" s="27" t="s">
        <v>78</v>
      </c>
      <c r="D195" s="28">
        <v>42241</v>
      </c>
      <c r="E195" s="27">
        <v>93479969</v>
      </c>
      <c r="F195" s="28">
        <v>42229</v>
      </c>
      <c r="G195" s="27"/>
      <c r="H195" s="27">
        <v>1201120</v>
      </c>
      <c r="I195" s="27" t="s">
        <v>117</v>
      </c>
      <c r="J195" s="27">
        <v>1131196</v>
      </c>
      <c r="K195" s="27" t="s">
        <v>119</v>
      </c>
      <c r="L195" s="27">
        <v>1171090</v>
      </c>
      <c r="M195" s="27" t="s">
        <v>118</v>
      </c>
      <c r="N195" s="27">
        <v>61839</v>
      </c>
      <c r="O195" s="27"/>
      <c r="P195" s="27"/>
      <c r="Q195" s="27" t="s">
        <v>181</v>
      </c>
      <c r="R195" s="27" t="s">
        <v>102</v>
      </c>
      <c r="S195" s="27" t="s">
        <v>103</v>
      </c>
      <c r="T195" s="27">
        <v>556.02</v>
      </c>
      <c r="U195" s="27" t="s">
        <v>182</v>
      </c>
      <c r="V195" s="27" t="s">
        <v>63</v>
      </c>
      <c r="W195" s="27" t="s">
        <v>105</v>
      </c>
      <c r="X195" s="27" t="s">
        <v>82</v>
      </c>
      <c r="Y195" s="28">
        <v>42244</v>
      </c>
      <c r="Z195" s="27" t="s">
        <v>64</v>
      </c>
      <c r="AA195" s="28">
        <v>42241</v>
      </c>
      <c r="AB195" s="27"/>
      <c r="AC195" s="27"/>
      <c r="AD195" s="27"/>
      <c r="AE195" s="27" t="s">
        <v>183</v>
      </c>
      <c r="AF195" s="27" t="s">
        <v>462</v>
      </c>
      <c r="AG195" s="27" t="s">
        <v>106</v>
      </c>
      <c r="AH195" s="27" t="s">
        <v>463</v>
      </c>
    </row>
    <row r="196" spans="1:34" x14ac:dyDescent="0.2">
      <c r="A196" s="27">
        <v>10019017</v>
      </c>
      <c r="B196" s="27" t="s">
        <v>22</v>
      </c>
      <c r="C196" s="27" t="s">
        <v>78</v>
      </c>
      <c r="D196" s="28">
        <v>42241</v>
      </c>
      <c r="E196" s="27">
        <v>93459988</v>
      </c>
      <c r="F196" s="28">
        <v>42214</v>
      </c>
      <c r="G196" s="28">
        <v>42216</v>
      </c>
      <c r="H196" s="27">
        <v>1201547</v>
      </c>
      <c r="I196" s="27" t="s">
        <v>305</v>
      </c>
      <c r="J196" s="27">
        <v>1201547</v>
      </c>
      <c r="K196" s="27" t="s">
        <v>305</v>
      </c>
      <c r="L196" s="27">
        <v>1201547</v>
      </c>
      <c r="M196" s="27" t="s">
        <v>305</v>
      </c>
      <c r="N196" s="27">
        <v>94828</v>
      </c>
      <c r="O196" s="27"/>
      <c r="P196" s="27"/>
      <c r="Q196" s="27" t="s">
        <v>181</v>
      </c>
      <c r="R196" s="27" t="s">
        <v>67</v>
      </c>
      <c r="S196" s="27" t="s">
        <v>68</v>
      </c>
      <c r="T196" s="27">
        <v>334.2</v>
      </c>
      <c r="U196" s="27" t="s">
        <v>182</v>
      </c>
      <c r="V196" s="27" t="s">
        <v>63</v>
      </c>
      <c r="W196" s="27" t="s">
        <v>94</v>
      </c>
      <c r="X196" s="27" t="s">
        <v>141</v>
      </c>
      <c r="Y196" s="28">
        <v>42247</v>
      </c>
      <c r="Z196" s="27" t="s">
        <v>64</v>
      </c>
      <c r="AA196" s="28">
        <v>42241</v>
      </c>
      <c r="AB196" s="27"/>
      <c r="AC196" s="27"/>
      <c r="AD196" s="27"/>
      <c r="AE196" s="27" t="s">
        <v>183</v>
      </c>
      <c r="AF196" s="27">
        <v>3511782190</v>
      </c>
      <c r="AG196" s="27" t="s">
        <v>142</v>
      </c>
      <c r="AH196" s="27" t="s">
        <v>464</v>
      </c>
    </row>
    <row r="197" spans="1:34" x14ac:dyDescent="0.2">
      <c r="A197" s="27">
        <v>10019018</v>
      </c>
      <c r="B197" s="27" t="s">
        <v>27</v>
      </c>
      <c r="C197" s="27" t="s">
        <v>78</v>
      </c>
      <c r="D197" s="28">
        <v>42241</v>
      </c>
      <c r="E197" s="27">
        <v>93488775</v>
      </c>
      <c r="F197" s="28">
        <v>42236</v>
      </c>
      <c r="G197" s="27"/>
      <c r="H197" s="27">
        <v>1016311</v>
      </c>
      <c r="I197" s="27" t="s">
        <v>152</v>
      </c>
      <c r="J197" s="27">
        <v>1132034</v>
      </c>
      <c r="K197" s="27" t="s">
        <v>152</v>
      </c>
      <c r="L197" s="27">
        <v>1016311</v>
      </c>
      <c r="M197" s="27" t="s">
        <v>152</v>
      </c>
      <c r="N197" s="27">
        <v>231706</v>
      </c>
      <c r="O197" s="27"/>
      <c r="P197" s="27"/>
      <c r="Q197" s="27" t="s">
        <v>181</v>
      </c>
      <c r="R197" s="27" t="s">
        <v>97</v>
      </c>
      <c r="S197" s="27" t="s">
        <v>98</v>
      </c>
      <c r="T197" s="27">
        <v>28.44</v>
      </c>
      <c r="U197" s="27" t="s">
        <v>182</v>
      </c>
      <c r="V197" s="27" t="s">
        <v>69</v>
      </c>
      <c r="W197" s="27" t="s">
        <v>94</v>
      </c>
      <c r="X197" s="27" t="s">
        <v>71</v>
      </c>
      <c r="Y197" s="28">
        <v>42250</v>
      </c>
      <c r="Z197" s="27" t="s">
        <v>64</v>
      </c>
      <c r="AA197" s="28">
        <v>42241</v>
      </c>
      <c r="AB197" s="27" t="s">
        <v>72</v>
      </c>
      <c r="AC197" s="27">
        <v>61974904</v>
      </c>
      <c r="AD197" s="28">
        <v>42250</v>
      </c>
      <c r="AE197" s="27" t="s">
        <v>183</v>
      </c>
      <c r="AF197" s="27">
        <v>87944972413484</v>
      </c>
      <c r="AG197" s="27" t="s">
        <v>465</v>
      </c>
      <c r="AH197" s="27" t="s">
        <v>466</v>
      </c>
    </row>
    <row r="198" spans="1:34" x14ac:dyDescent="0.2">
      <c r="A198" s="27">
        <v>10019021</v>
      </c>
      <c r="B198" s="27" t="s">
        <v>26</v>
      </c>
      <c r="C198" s="27" t="s">
        <v>78</v>
      </c>
      <c r="D198" s="28">
        <v>42241</v>
      </c>
      <c r="E198" s="27">
        <v>93479798</v>
      </c>
      <c r="F198" s="28">
        <v>42229</v>
      </c>
      <c r="G198" s="27"/>
      <c r="H198" s="27">
        <v>1201047</v>
      </c>
      <c r="I198" s="27" t="s">
        <v>79</v>
      </c>
      <c r="J198" s="27">
        <v>1311671</v>
      </c>
      <c r="K198" s="27" t="s">
        <v>90</v>
      </c>
      <c r="L198" s="27">
        <v>1171089</v>
      </c>
      <c r="M198" s="27" t="s">
        <v>75</v>
      </c>
      <c r="N198" s="27">
        <v>21455766</v>
      </c>
      <c r="O198" s="27"/>
      <c r="P198" s="27"/>
      <c r="Q198" s="27" t="s">
        <v>181</v>
      </c>
      <c r="R198" s="27" t="s">
        <v>279</v>
      </c>
      <c r="S198" s="27" t="s">
        <v>280</v>
      </c>
      <c r="T198" s="27">
        <v>968.16</v>
      </c>
      <c r="U198" s="27" t="s">
        <v>182</v>
      </c>
      <c r="V198" s="27" t="s">
        <v>63</v>
      </c>
      <c r="W198" s="27" t="s">
        <v>81</v>
      </c>
      <c r="X198" s="27" t="s">
        <v>88</v>
      </c>
      <c r="Y198" s="28">
        <v>42248</v>
      </c>
      <c r="Z198" s="27" t="s">
        <v>64</v>
      </c>
      <c r="AA198" s="28">
        <v>42241</v>
      </c>
      <c r="AB198" s="27"/>
      <c r="AC198" s="27"/>
      <c r="AD198" s="27"/>
      <c r="AE198" s="27" t="s">
        <v>183</v>
      </c>
      <c r="AF198" s="27" t="s">
        <v>411</v>
      </c>
      <c r="AG198" s="27" t="s">
        <v>89</v>
      </c>
      <c r="AH198" s="27" t="s">
        <v>274</v>
      </c>
    </row>
    <row r="199" spans="1:34" x14ac:dyDescent="0.2">
      <c r="A199" s="27">
        <v>10019022</v>
      </c>
      <c r="B199" s="27" t="s">
        <v>18</v>
      </c>
      <c r="C199" s="27" t="s">
        <v>78</v>
      </c>
      <c r="D199" s="28">
        <v>42241</v>
      </c>
      <c r="E199" s="27">
        <v>93489088</v>
      </c>
      <c r="F199" s="28">
        <v>42236</v>
      </c>
      <c r="G199" s="28">
        <v>42240</v>
      </c>
      <c r="H199" s="27">
        <v>1201540</v>
      </c>
      <c r="I199" s="27" t="s">
        <v>150</v>
      </c>
      <c r="J199" s="27">
        <v>1312297</v>
      </c>
      <c r="K199" s="27" t="s">
        <v>151</v>
      </c>
      <c r="L199" s="27">
        <v>1201540</v>
      </c>
      <c r="M199" s="27" t="s">
        <v>150</v>
      </c>
      <c r="N199" s="27" t="s">
        <v>467</v>
      </c>
      <c r="O199" s="27"/>
      <c r="P199" s="27"/>
      <c r="Q199" s="27" t="s">
        <v>181</v>
      </c>
      <c r="R199" s="27" t="s">
        <v>67</v>
      </c>
      <c r="S199" s="27" t="s">
        <v>68</v>
      </c>
      <c r="T199" s="27">
        <v>916.46</v>
      </c>
      <c r="U199" s="27" t="s">
        <v>182</v>
      </c>
      <c r="V199" s="27" t="s">
        <v>63</v>
      </c>
      <c r="W199" s="27" t="s">
        <v>70</v>
      </c>
      <c r="X199" s="27" t="s">
        <v>76</v>
      </c>
      <c r="Y199" s="28">
        <v>42244</v>
      </c>
      <c r="Z199" s="27" t="s">
        <v>64</v>
      </c>
      <c r="AA199" s="28">
        <v>42241</v>
      </c>
      <c r="AB199" s="27"/>
      <c r="AC199" s="27"/>
      <c r="AD199" s="27"/>
      <c r="AE199" s="27" t="s">
        <v>183</v>
      </c>
      <c r="AF199" s="27">
        <v>2795192643</v>
      </c>
      <c r="AG199" s="27" t="s">
        <v>77</v>
      </c>
      <c r="AH199" s="27" t="s">
        <v>360</v>
      </c>
    </row>
    <row r="200" spans="1:34" x14ac:dyDescent="0.2">
      <c r="A200" s="27">
        <v>10019023</v>
      </c>
      <c r="B200" s="27" t="s">
        <v>18</v>
      </c>
      <c r="C200" s="27" t="s">
        <v>78</v>
      </c>
      <c r="D200" s="28">
        <v>42241</v>
      </c>
      <c r="E200" s="27">
        <v>93487303</v>
      </c>
      <c r="F200" s="28">
        <v>42235</v>
      </c>
      <c r="G200" s="27"/>
      <c r="H200" s="27">
        <v>1201047</v>
      </c>
      <c r="I200" s="27" t="s">
        <v>79</v>
      </c>
      <c r="J200" s="27">
        <v>1311011</v>
      </c>
      <c r="K200" s="27" t="s">
        <v>85</v>
      </c>
      <c r="L200" s="27">
        <v>1171089</v>
      </c>
      <c r="M200" s="27" t="s">
        <v>75</v>
      </c>
      <c r="N200" s="27">
        <v>19619949</v>
      </c>
      <c r="O200" s="27"/>
      <c r="P200" s="27"/>
      <c r="Q200" s="27" t="s">
        <v>181</v>
      </c>
      <c r="R200" s="27" t="s">
        <v>86</v>
      </c>
      <c r="S200" s="27" t="s">
        <v>87</v>
      </c>
      <c r="T200" s="27">
        <v>494.73</v>
      </c>
      <c r="U200" s="27" t="s">
        <v>182</v>
      </c>
      <c r="V200" s="27" t="s">
        <v>63</v>
      </c>
      <c r="W200" s="27" t="s">
        <v>70</v>
      </c>
      <c r="X200" s="27" t="s">
        <v>76</v>
      </c>
      <c r="Y200" s="28">
        <v>42244</v>
      </c>
      <c r="Z200" s="27" t="s">
        <v>64</v>
      </c>
      <c r="AA200" s="28">
        <v>42241</v>
      </c>
      <c r="AB200" s="27"/>
      <c r="AC200" s="27"/>
      <c r="AD200" s="27"/>
      <c r="AE200" s="27" t="s">
        <v>183</v>
      </c>
      <c r="AF200" s="27" t="s">
        <v>468</v>
      </c>
      <c r="AG200" s="27" t="s">
        <v>77</v>
      </c>
      <c r="AH200" s="27" t="s">
        <v>196</v>
      </c>
    </row>
    <row r="201" spans="1:34" x14ac:dyDescent="0.2">
      <c r="A201" s="27">
        <v>10019024</v>
      </c>
      <c r="B201" s="27" t="s">
        <v>22</v>
      </c>
      <c r="C201" s="27" t="s">
        <v>78</v>
      </c>
      <c r="D201" s="28">
        <v>42241</v>
      </c>
      <c r="E201" s="27">
        <v>93489108</v>
      </c>
      <c r="F201" s="28">
        <v>42236</v>
      </c>
      <c r="G201" s="27"/>
      <c r="H201" s="27">
        <v>1201605</v>
      </c>
      <c r="I201" s="27" t="s">
        <v>155</v>
      </c>
      <c r="J201" s="27">
        <v>1310002</v>
      </c>
      <c r="K201" s="27" t="s">
        <v>155</v>
      </c>
      <c r="L201" s="27">
        <v>1172017</v>
      </c>
      <c r="M201" s="27" t="s">
        <v>156</v>
      </c>
      <c r="N201" s="27">
        <v>528265</v>
      </c>
      <c r="O201" s="27"/>
      <c r="P201" s="27"/>
      <c r="Q201" s="27" t="s">
        <v>181</v>
      </c>
      <c r="R201" s="27" t="s">
        <v>97</v>
      </c>
      <c r="S201" s="27" t="s">
        <v>98</v>
      </c>
      <c r="T201" s="27">
        <v>4539.84</v>
      </c>
      <c r="U201" s="27" t="s">
        <v>182</v>
      </c>
      <c r="V201" s="27" t="s">
        <v>63</v>
      </c>
      <c r="W201" s="27" t="s">
        <v>94</v>
      </c>
      <c r="X201" s="27" t="s">
        <v>141</v>
      </c>
      <c r="Y201" s="28">
        <v>42242</v>
      </c>
      <c r="Z201" s="27" t="s">
        <v>64</v>
      </c>
      <c r="AA201" s="28">
        <v>42241</v>
      </c>
      <c r="AB201" s="27"/>
      <c r="AC201" s="27"/>
      <c r="AD201" s="27"/>
      <c r="AE201" s="27" t="s">
        <v>183</v>
      </c>
      <c r="AF201" s="27">
        <v>87944972414023</v>
      </c>
      <c r="AG201" s="27" t="s">
        <v>142</v>
      </c>
      <c r="AH201" s="27" t="s">
        <v>469</v>
      </c>
    </row>
    <row r="202" spans="1:34" x14ac:dyDescent="0.2">
      <c r="A202" s="27">
        <v>10019025</v>
      </c>
      <c r="B202" s="27" t="s">
        <v>26</v>
      </c>
      <c r="C202" s="27" t="s">
        <v>78</v>
      </c>
      <c r="D202" s="28">
        <v>42241</v>
      </c>
      <c r="E202" s="27">
        <v>93479887</v>
      </c>
      <c r="F202" s="28">
        <v>42229</v>
      </c>
      <c r="G202" s="27"/>
      <c r="H202" s="27">
        <v>1201047</v>
      </c>
      <c r="I202" s="27" t="s">
        <v>79</v>
      </c>
      <c r="J202" s="27">
        <v>1307128</v>
      </c>
      <c r="K202" s="27" t="s">
        <v>85</v>
      </c>
      <c r="L202" s="27">
        <v>1171089</v>
      </c>
      <c r="M202" s="27" t="s">
        <v>75</v>
      </c>
      <c r="N202" s="27">
        <v>10482056</v>
      </c>
      <c r="O202" s="27"/>
      <c r="P202" s="27"/>
      <c r="Q202" s="27" t="s">
        <v>181</v>
      </c>
      <c r="R202" s="27" t="s">
        <v>279</v>
      </c>
      <c r="S202" s="27" t="s">
        <v>280</v>
      </c>
      <c r="T202" s="27">
        <v>1484.64</v>
      </c>
      <c r="U202" s="27" t="s">
        <v>182</v>
      </c>
      <c r="V202" s="27" t="s">
        <v>63</v>
      </c>
      <c r="W202" s="27" t="s">
        <v>81</v>
      </c>
      <c r="X202" s="27" t="s">
        <v>88</v>
      </c>
      <c r="Y202" s="28">
        <v>42248</v>
      </c>
      <c r="Z202" s="27"/>
      <c r="AA202" s="27"/>
      <c r="AB202" s="27"/>
      <c r="AC202" s="27"/>
      <c r="AD202" s="27"/>
      <c r="AE202" s="27" t="s">
        <v>183</v>
      </c>
      <c r="AF202" s="27" t="s">
        <v>470</v>
      </c>
      <c r="AG202" s="27" t="s">
        <v>89</v>
      </c>
      <c r="AH202" s="27" t="s">
        <v>471</v>
      </c>
    </row>
    <row r="203" spans="1:34" x14ac:dyDescent="0.2">
      <c r="A203" s="27">
        <v>10019026</v>
      </c>
      <c r="B203" s="27" t="s">
        <v>22</v>
      </c>
      <c r="C203" s="27" t="s">
        <v>78</v>
      </c>
      <c r="D203" s="28">
        <v>42241</v>
      </c>
      <c r="E203" s="27">
        <v>93485428</v>
      </c>
      <c r="F203" s="28">
        <v>42234</v>
      </c>
      <c r="G203" s="28">
        <v>42237</v>
      </c>
      <c r="H203" s="27">
        <v>1201646</v>
      </c>
      <c r="I203" s="27" t="s">
        <v>164</v>
      </c>
      <c r="J203" s="27">
        <v>1201646</v>
      </c>
      <c r="K203" s="27" t="s">
        <v>164</v>
      </c>
      <c r="L203" s="27">
        <v>1201646</v>
      </c>
      <c r="M203" s="27" t="s">
        <v>164</v>
      </c>
      <c r="N203" s="27">
        <v>8044552</v>
      </c>
      <c r="O203" s="27"/>
      <c r="P203" s="27"/>
      <c r="Q203" s="27" t="s">
        <v>235</v>
      </c>
      <c r="R203" s="27" t="s">
        <v>67</v>
      </c>
      <c r="S203" s="27" t="s">
        <v>68</v>
      </c>
      <c r="T203" s="27">
        <v>415.2</v>
      </c>
      <c r="U203" s="27" t="s">
        <v>182</v>
      </c>
      <c r="V203" s="27" t="s">
        <v>63</v>
      </c>
      <c r="W203" s="27" t="s">
        <v>94</v>
      </c>
      <c r="X203" s="27" t="s">
        <v>141</v>
      </c>
      <c r="Y203" s="28">
        <v>42249</v>
      </c>
      <c r="Z203" s="27" t="s">
        <v>64</v>
      </c>
      <c r="AA203" s="28">
        <v>42241</v>
      </c>
      <c r="AB203" s="27"/>
      <c r="AC203" s="27"/>
      <c r="AD203" s="27"/>
      <c r="AE203" s="27" t="s">
        <v>183</v>
      </c>
      <c r="AF203" s="27">
        <v>3511787145</v>
      </c>
      <c r="AG203" s="27" t="s">
        <v>142</v>
      </c>
      <c r="AH203" s="27" t="s">
        <v>472</v>
      </c>
    </row>
    <row r="204" spans="1:34" x14ac:dyDescent="0.2">
      <c r="A204" s="27">
        <v>10019027</v>
      </c>
      <c r="B204" s="27" t="s">
        <v>26</v>
      </c>
      <c r="C204" s="27" t="s">
        <v>78</v>
      </c>
      <c r="D204" s="28">
        <v>42241</v>
      </c>
      <c r="E204" s="27">
        <v>93485428</v>
      </c>
      <c r="F204" s="28">
        <v>42234</v>
      </c>
      <c r="G204" s="28">
        <v>42237</v>
      </c>
      <c r="H204" s="27">
        <v>1201646</v>
      </c>
      <c r="I204" s="27" t="s">
        <v>164</v>
      </c>
      <c r="J204" s="27">
        <v>1201646</v>
      </c>
      <c r="K204" s="27" t="s">
        <v>164</v>
      </c>
      <c r="L204" s="27">
        <v>1201646</v>
      </c>
      <c r="M204" s="27" t="s">
        <v>164</v>
      </c>
      <c r="N204" s="27">
        <v>8044552</v>
      </c>
      <c r="O204" s="27"/>
      <c r="P204" s="27"/>
      <c r="Q204" s="27" t="s">
        <v>235</v>
      </c>
      <c r="R204" s="27" t="s">
        <v>67</v>
      </c>
      <c r="S204" s="27" t="s">
        <v>68</v>
      </c>
      <c r="T204" s="27">
        <v>2430</v>
      </c>
      <c r="U204" s="27" t="s">
        <v>182</v>
      </c>
      <c r="V204" s="27" t="s">
        <v>69</v>
      </c>
      <c r="W204" s="27" t="s">
        <v>94</v>
      </c>
      <c r="X204" s="27" t="s">
        <v>95</v>
      </c>
      <c r="Y204" s="28">
        <v>42248</v>
      </c>
      <c r="Z204" s="27" t="s">
        <v>83</v>
      </c>
      <c r="AA204" s="28">
        <v>42249</v>
      </c>
      <c r="AB204" s="27" t="s">
        <v>100</v>
      </c>
      <c r="AC204" s="27">
        <v>61987819</v>
      </c>
      <c r="AD204" s="28">
        <v>42270</v>
      </c>
      <c r="AE204" s="27" t="s">
        <v>183</v>
      </c>
      <c r="AF204" s="27">
        <v>3511787145</v>
      </c>
      <c r="AG204" s="27" t="s">
        <v>96</v>
      </c>
      <c r="AH204" s="27" t="s">
        <v>473</v>
      </c>
    </row>
    <row r="205" spans="1:34" x14ac:dyDescent="0.2">
      <c r="A205" s="27">
        <v>10019028</v>
      </c>
      <c r="B205" s="27" t="s">
        <v>18</v>
      </c>
      <c r="C205" s="27" t="s">
        <v>78</v>
      </c>
      <c r="D205" s="28">
        <v>42241</v>
      </c>
      <c r="E205" s="27">
        <v>93485428</v>
      </c>
      <c r="F205" s="28">
        <v>42234</v>
      </c>
      <c r="G205" s="28">
        <v>42237</v>
      </c>
      <c r="H205" s="27">
        <v>1201646</v>
      </c>
      <c r="I205" s="27" t="s">
        <v>164</v>
      </c>
      <c r="J205" s="27">
        <v>1201646</v>
      </c>
      <c r="K205" s="27" t="s">
        <v>164</v>
      </c>
      <c r="L205" s="27">
        <v>1201646</v>
      </c>
      <c r="M205" s="27" t="s">
        <v>164</v>
      </c>
      <c r="N205" s="27">
        <v>8044552</v>
      </c>
      <c r="O205" s="27"/>
      <c r="P205" s="27"/>
      <c r="Q205" s="27" t="s">
        <v>235</v>
      </c>
      <c r="R205" s="27" t="s">
        <v>67</v>
      </c>
      <c r="S205" s="27" t="s">
        <v>68</v>
      </c>
      <c r="T205" s="27">
        <v>45</v>
      </c>
      <c r="U205" s="27" t="s">
        <v>182</v>
      </c>
      <c r="V205" s="27" t="s">
        <v>63</v>
      </c>
      <c r="W205" s="27" t="s">
        <v>70</v>
      </c>
      <c r="X205" s="27" t="s">
        <v>76</v>
      </c>
      <c r="Y205" s="28">
        <v>42244</v>
      </c>
      <c r="Z205" s="27" t="s">
        <v>64</v>
      </c>
      <c r="AA205" s="28">
        <v>42241</v>
      </c>
      <c r="AB205" s="27"/>
      <c r="AC205" s="27"/>
      <c r="AD205" s="27"/>
      <c r="AE205" s="27" t="s">
        <v>183</v>
      </c>
      <c r="AF205" s="27">
        <v>3511787145</v>
      </c>
      <c r="AG205" s="27" t="s">
        <v>77</v>
      </c>
      <c r="AH205" s="27" t="s">
        <v>474</v>
      </c>
    </row>
    <row r="206" spans="1:34" x14ac:dyDescent="0.2">
      <c r="A206" s="27">
        <v>10019029</v>
      </c>
      <c r="B206" s="27" t="s">
        <v>26</v>
      </c>
      <c r="C206" s="27" t="s">
        <v>78</v>
      </c>
      <c r="D206" s="28">
        <v>42241</v>
      </c>
      <c r="E206" s="27">
        <v>93483782</v>
      </c>
      <c r="F206" s="28">
        <v>42233</v>
      </c>
      <c r="G206" s="27"/>
      <c r="H206" s="27">
        <v>1201047</v>
      </c>
      <c r="I206" s="27" t="s">
        <v>79</v>
      </c>
      <c r="J206" s="27">
        <v>1307128</v>
      </c>
      <c r="K206" s="27" t="s">
        <v>85</v>
      </c>
      <c r="L206" s="27">
        <v>1171089</v>
      </c>
      <c r="M206" s="27" t="s">
        <v>75</v>
      </c>
      <c r="N206" s="27">
        <v>10482056</v>
      </c>
      <c r="O206" s="27"/>
      <c r="P206" s="27"/>
      <c r="Q206" s="27" t="s">
        <v>181</v>
      </c>
      <c r="R206" s="27" t="s">
        <v>279</v>
      </c>
      <c r="S206" s="27" t="s">
        <v>280</v>
      </c>
      <c r="T206" s="27">
        <v>2914.56</v>
      </c>
      <c r="U206" s="27" t="s">
        <v>182</v>
      </c>
      <c r="V206" s="27" t="s">
        <v>69</v>
      </c>
      <c r="W206" s="27" t="s">
        <v>94</v>
      </c>
      <c r="X206" s="27" t="s">
        <v>95</v>
      </c>
      <c r="Y206" s="28">
        <v>42241</v>
      </c>
      <c r="Z206" s="27" t="s">
        <v>83</v>
      </c>
      <c r="AA206" s="28">
        <v>42243</v>
      </c>
      <c r="AB206" s="27" t="s">
        <v>100</v>
      </c>
      <c r="AC206" s="27">
        <v>61980658</v>
      </c>
      <c r="AD206" s="28">
        <v>42261</v>
      </c>
      <c r="AE206" s="27" t="s">
        <v>183</v>
      </c>
      <c r="AF206" s="27" t="s">
        <v>475</v>
      </c>
      <c r="AG206" s="27" t="s">
        <v>96</v>
      </c>
      <c r="AH206" s="27" t="s">
        <v>433</v>
      </c>
    </row>
    <row r="207" spans="1:34" x14ac:dyDescent="0.2">
      <c r="A207" s="27">
        <v>10019030</v>
      </c>
      <c r="B207" s="27" t="s">
        <v>18</v>
      </c>
      <c r="C207" s="27" t="s">
        <v>78</v>
      </c>
      <c r="D207" s="28">
        <v>42242</v>
      </c>
      <c r="E207" s="27">
        <v>93490525</v>
      </c>
      <c r="F207" s="28">
        <v>42237</v>
      </c>
      <c r="G207" s="27"/>
      <c r="H207" s="27">
        <v>1201120</v>
      </c>
      <c r="I207" s="27" t="s">
        <v>117</v>
      </c>
      <c r="J207" s="27">
        <v>1307782</v>
      </c>
      <c r="K207" s="27" t="s">
        <v>119</v>
      </c>
      <c r="L207" s="27">
        <v>1171090</v>
      </c>
      <c r="M207" s="27" t="s">
        <v>118</v>
      </c>
      <c r="N207" s="27" t="s">
        <v>476</v>
      </c>
      <c r="O207" s="27"/>
      <c r="P207" s="27"/>
      <c r="Q207" s="27" t="s">
        <v>181</v>
      </c>
      <c r="R207" s="27" t="s">
        <v>91</v>
      </c>
      <c r="S207" s="27" t="s">
        <v>92</v>
      </c>
      <c r="T207" s="27">
        <v>369.84</v>
      </c>
      <c r="U207" s="27" t="s">
        <v>182</v>
      </c>
      <c r="V207" s="27" t="s">
        <v>63</v>
      </c>
      <c r="W207" s="27" t="s">
        <v>70</v>
      </c>
      <c r="X207" s="27" t="s">
        <v>76</v>
      </c>
      <c r="Y207" s="28">
        <v>42244</v>
      </c>
      <c r="Z207" s="27" t="s">
        <v>64</v>
      </c>
      <c r="AA207" s="28">
        <v>42242</v>
      </c>
      <c r="AB207" s="27"/>
      <c r="AC207" s="27"/>
      <c r="AD207" s="27"/>
      <c r="AE207" s="27" t="s">
        <v>183</v>
      </c>
      <c r="AF207" s="27" t="s">
        <v>458</v>
      </c>
      <c r="AG207" s="27" t="s">
        <v>77</v>
      </c>
      <c r="AH207" s="27" t="s">
        <v>477</v>
      </c>
    </row>
    <row r="208" spans="1:34" x14ac:dyDescent="0.2">
      <c r="A208" s="27">
        <v>10019031</v>
      </c>
      <c r="B208" s="27" t="s">
        <v>18</v>
      </c>
      <c r="C208" s="27" t="s">
        <v>78</v>
      </c>
      <c r="D208" s="28">
        <v>42242</v>
      </c>
      <c r="E208" s="27">
        <v>93485429</v>
      </c>
      <c r="F208" s="28">
        <v>42234</v>
      </c>
      <c r="G208" s="28">
        <v>42240</v>
      </c>
      <c r="H208" s="27">
        <v>1201646</v>
      </c>
      <c r="I208" s="27" t="s">
        <v>164</v>
      </c>
      <c r="J208" s="27">
        <v>1201646</v>
      </c>
      <c r="K208" s="27" t="s">
        <v>164</v>
      </c>
      <c r="L208" s="27">
        <v>1201646</v>
      </c>
      <c r="M208" s="27" t="s">
        <v>164</v>
      </c>
      <c r="N208" s="27">
        <v>8044627</v>
      </c>
      <c r="O208" s="27"/>
      <c r="P208" s="27"/>
      <c r="Q208" s="27" t="s">
        <v>181</v>
      </c>
      <c r="R208" s="27" t="s">
        <v>67</v>
      </c>
      <c r="S208" s="27" t="s">
        <v>68</v>
      </c>
      <c r="T208" s="27">
        <v>111.65</v>
      </c>
      <c r="U208" s="27" t="s">
        <v>182</v>
      </c>
      <c r="V208" s="27" t="s">
        <v>63</v>
      </c>
      <c r="W208" s="27" t="s">
        <v>70</v>
      </c>
      <c r="X208" s="27" t="s">
        <v>76</v>
      </c>
      <c r="Y208" s="28">
        <v>42244</v>
      </c>
      <c r="Z208" s="27" t="s">
        <v>64</v>
      </c>
      <c r="AA208" s="28">
        <v>42242</v>
      </c>
      <c r="AB208" s="27"/>
      <c r="AC208" s="27"/>
      <c r="AD208" s="27"/>
      <c r="AE208" s="27" t="s">
        <v>183</v>
      </c>
      <c r="AF208" s="27">
        <v>3511787204</v>
      </c>
      <c r="AG208" s="27" t="s">
        <v>77</v>
      </c>
      <c r="AH208" s="27" t="s">
        <v>478</v>
      </c>
    </row>
    <row r="209" spans="1:34" x14ac:dyDescent="0.2">
      <c r="A209" s="27">
        <v>10019033</v>
      </c>
      <c r="B209" s="27" t="s">
        <v>18</v>
      </c>
      <c r="C209" s="27" t="s">
        <v>78</v>
      </c>
      <c r="D209" s="28">
        <v>42242</v>
      </c>
      <c r="E209" s="27">
        <v>93489178</v>
      </c>
      <c r="F209" s="28">
        <v>42236</v>
      </c>
      <c r="G209" s="28">
        <v>42237</v>
      </c>
      <c r="H209" s="27">
        <v>1319184</v>
      </c>
      <c r="I209" s="27" t="s">
        <v>479</v>
      </c>
      <c r="J209" s="27">
        <v>1319184</v>
      </c>
      <c r="K209" s="27" t="s">
        <v>479</v>
      </c>
      <c r="L209" s="27">
        <v>1319184</v>
      </c>
      <c r="M209" s="27" t="s">
        <v>479</v>
      </c>
      <c r="N209" s="27">
        <v>562630</v>
      </c>
      <c r="O209" s="27"/>
      <c r="P209" s="27"/>
      <c r="Q209" s="27" t="s">
        <v>181</v>
      </c>
      <c r="R209" s="27" t="s">
        <v>67</v>
      </c>
      <c r="S209" s="27" t="s">
        <v>68</v>
      </c>
      <c r="T209" s="27">
        <v>668.25</v>
      </c>
      <c r="U209" s="27" t="s">
        <v>182</v>
      </c>
      <c r="V209" s="27" t="s">
        <v>69</v>
      </c>
      <c r="W209" s="27" t="s">
        <v>70</v>
      </c>
      <c r="X209" s="27" t="s">
        <v>76</v>
      </c>
      <c r="Y209" s="28">
        <v>42244</v>
      </c>
      <c r="Z209" s="27" t="s">
        <v>64</v>
      </c>
      <c r="AA209" s="28">
        <v>42242</v>
      </c>
      <c r="AB209" s="27" t="s">
        <v>100</v>
      </c>
      <c r="AC209" s="27">
        <v>61981604</v>
      </c>
      <c r="AD209" s="28">
        <v>42262</v>
      </c>
      <c r="AE209" s="27" t="s">
        <v>183</v>
      </c>
      <c r="AF209" s="27">
        <v>2795192396</v>
      </c>
      <c r="AG209" s="27" t="s">
        <v>77</v>
      </c>
      <c r="AH209" s="27" t="s">
        <v>480</v>
      </c>
    </row>
    <row r="210" spans="1:34" x14ac:dyDescent="0.2">
      <c r="A210" s="27">
        <v>10019034</v>
      </c>
      <c r="B210" s="27" t="s">
        <v>18</v>
      </c>
      <c r="C210" s="27" t="s">
        <v>78</v>
      </c>
      <c r="D210" s="28">
        <v>42242</v>
      </c>
      <c r="E210" s="27">
        <v>93484316</v>
      </c>
      <c r="F210" s="28">
        <v>42233</v>
      </c>
      <c r="G210" s="28">
        <v>42235</v>
      </c>
      <c r="H210" s="27">
        <v>1322827</v>
      </c>
      <c r="I210" s="27" t="s">
        <v>253</v>
      </c>
      <c r="J210" s="27">
        <v>1327596</v>
      </c>
      <c r="K210" s="27" t="s">
        <v>449</v>
      </c>
      <c r="L210" s="27">
        <v>1322827</v>
      </c>
      <c r="M210" s="27" t="s">
        <v>253</v>
      </c>
      <c r="N210" s="27">
        <v>1232478</v>
      </c>
      <c r="O210" s="27"/>
      <c r="P210" s="27"/>
      <c r="Q210" s="27" t="s">
        <v>181</v>
      </c>
      <c r="R210" s="27" t="s">
        <v>67</v>
      </c>
      <c r="S210" s="27" t="s">
        <v>68</v>
      </c>
      <c r="T210" s="27">
        <v>1298.31</v>
      </c>
      <c r="U210" s="27" t="s">
        <v>182</v>
      </c>
      <c r="V210" s="27" t="s">
        <v>63</v>
      </c>
      <c r="W210" s="27" t="s">
        <v>70</v>
      </c>
      <c r="X210" s="27" t="s">
        <v>76</v>
      </c>
      <c r="Y210" s="28">
        <v>42244</v>
      </c>
      <c r="Z210" s="27" t="s">
        <v>83</v>
      </c>
      <c r="AA210" s="28">
        <v>42243</v>
      </c>
      <c r="AB210" s="27"/>
      <c r="AC210" s="27"/>
      <c r="AD210" s="27"/>
      <c r="AE210" s="27" t="s">
        <v>183</v>
      </c>
      <c r="AF210" s="27">
        <v>3511786935</v>
      </c>
      <c r="AG210" s="27" t="s">
        <v>77</v>
      </c>
      <c r="AH210" s="27" t="s">
        <v>481</v>
      </c>
    </row>
    <row r="211" spans="1:34" x14ac:dyDescent="0.2">
      <c r="A211" s="27">
        <v>10019035</v>
      </c>
      <c r="B211" s="27" t="s">
        <v>26</v>
      </c>
      <c r="C211" s="27" t="s">
        <v>78</v>
      </c>
      <c r="D211" s="28">
        <v>42242</v>
      </c>
      <c r="E211" s="27">
        <v>93487282</v>
      </c>
      <c r="F211" s="28">
        <v>42235</v>
      </c>
      <c r="G211" s="27"/>
      <c r="H211" s="27">
        <v>1201047</v>
      </c>
      <c r="I211" s="27" t="s">
        <v>79</v>
      </c>
      <c r="J211" s="27">
        <v>1321618</v>
      </c>
      <c r="K211" s="27" t="s">
        <v>85</v>
      </c>
      <c r="L211" s="27">
        <v>1171089</v>
      </c>
      <c r="M211" s="27" t="s">
        <v>75</v>
      </c>
      <c r="N211" s="27">
        <v>55519339</v>
      </c>
      <c r="O211" s="27"/>
      <c r="P211" s="27"/>
      <c r="Q211" s="27" t="s">
        <v>181</v>
      </c>
      <c r="R211" s="27" t="s">
        <v>91</v>
      </c>
      <c r="S211" s="27" t="s">
        <v>92</v>
      </c>
      <c r="T211" s="27">
        <v>1602</v>
      </c>
      <c r="U211" s="27" t="s">
        <v>182</v>
      </c>
      <c r="V211" s="27" t="s">
        <v>69</v>
      </c>
      <c r="W211" s="27" t="s">
        <v>94</v>
      </c>
      <c r="X211" s="27" t="s">
        <v>95</v>
      </c>
      <c r="Y211" s="28">
        <v>42247</v>
      </c>
      <c r="Z211" s="27" t="s">
        <v>83</v>
      </c>
      <c r="AA211" s="28">
        <v>42249</v>
      </c>
      <c r="AB211" s="27" t="s">
        <v>100</v>
      </c>
      <c r="AC211" s="27">
        <v>61980659</v>
      </c>
      <c r="AD211" s="28">
        <v>42261</v>
      </c>
      <c r="AE211" s="27" t="s">
        <v>183</v>
      </c>
      <c r="AF211" s="27" t="s">
        <v>482</v>
      </c>
      <c r="AG211" s="27" t="s">
        <v>96</v>
      </c>
      <c r="AH211" s="27" t="s">
        <v>483</v>
      </c>
    </row>
    <row r="212" spans="1:34" x14ac:dyDescent="0.2">
      <c r="A212" s="27">
        <v>10019036</v>
      </c>
      <c r="B212" s="27" t="s">
        <v>26</v>
      </c>
      <c r="C212" s="27" t="s">
        <v>78</v>
      </c>
      <c r="D212" s="28">
        <v>42242</v>
      </c>
      <c r="E212" s="27">
        <v>93487292</v>
      </c>
      <c r="F212" s="28">
        <v>42235</v>
      </c>
      <c r="G212" s="27"/>
      <c r="H212" s="27">
        <v>1201047</v>
      </c>
      <c r="I212" s="27" t="s">
        <v>79</v>
      </c>
      <c r="J212" s="27">
        <v>1321618</v>
      </c>
      <c r="K212" s="27" t="s">
        <v>85</v>
      </c>
      <c r="L212" s="27">
        <v>1171089</v>
      </c>
      <c r="M212" s="27" t="s">
        <v>75</v>
      </c>
      <c r="N212" s="27">
        <v>55519339</v>
      </c>
      <c r="O212" s="27"/>
      <c r="P212" s="27"/>
      <c r="Q212" s="27" t="s">
        <v>181</v>
      </c>
      <c r="R212" s="27" t="s">
        <v>91</v>
      </c>
      <c r="S212" s="27" t="s">
        <v>92</v>
      </c>
      <c r="T212" s="27">
        <v>418.08</v>
      </c>
      <c r="U212" s="27" t="s">
        <v>182</v>
      </c>
      <c r="V212" s="27" t="s">
        <v>69</v>
      </c>
      <c r="W212" s="27" t="s">
        <v>94</v>
      </c>
      <c r="X212" s="27" t="s">
        <v>95</v>
      </c>
      <c r="Y212" s="28">
        <v>42242</v>
      </c>
      <c r="Z212" s="27" t="s">
        <v>64</v>
      </c>
      <c r="AA212" s="28">
        <v>42242</v>
      </c>
      <c r="AB212" s="27" t="s">
        <v>100</v>
      </c>
      <c r="AC212" s="27">
        <v>61980660</v>
      </c>
      <c r="AD212" s="28">
        <v>42261</v>
      </c>
      <c r="AE212" s="27" t="s">
        <v>183</v>
      </c>
      <c r="AF212" s="27" t="s">
        <v>482</v>
      </c>
      <c r="AG212" s="27" t="s">
        <v>96</v>
      </c>
      <c r="AH212" s="27" t="s">
        <v>454</v>
      </c>
    </row>
    <row r="213" spans="1:34" x14ac:dyDescent="0.2">
      <c r="A213" s="27">
        <v>10019038</v>
      </c>
      <c r="B213" s="27" t="s">
        <v>18</v>
      </c>
      <c r="C213" s="27" t="s">
        <v>78</v>
      </c>
      <c r="D213" s="28">
        <v>42242</v>
      </c>
      <c r="E213" s="27">
        <v>93487547</v>
      </c>
      <c r="F213" s="28">
        <v>42235</v>
      </c>
      <c r="G213" s="27"/>
      <c r="H213" s="27">
        <v>1201399</v>
      </c>
      <c r="I213" s="27" t="s">
        <v>144</v>
      </c>
      <c r="J213" s="27">
        <v>1334926</v>
      </c>
      <c r="K213" s="27" t="s">
        <v>145</v>
      </c>
      <c r="L213" s="27">
        <v>1171970</v>
      </c>
      <c r="M213" s="27" t="s">
        <v>144</v>
      </c>
      <c r="N213" s="27">
        <v>8106670863</v>
      </c>
      <c r="O213" s="27"/>
      <c r="P213" s="27"/>
      <c r="Q213" s="27" t="s">
        <v>181</v>
      </c>
      <c r="R213" s="27" t="s">
        <v>91</v>
      </c>
      <c r="S213" s="27" t="s">
        <v>92</v>
      </c>
      <c r="T213" s="27">
        <v>17819.28</v>
      </c>
      <c r="U213" s="27" t="s">
        <v>182</v>
      </c>
      <c r="V213" s="27" t="s">
        <v>63</v>
      </c>
      <c r="W213" s="27" t="s">
        <v>70</v>
      </c>
      <c r="X213" s="27" t="s">
        <v>76</v>
      </c>
      <c r="Y213" s="28">
        <v>42244</v>
      </c>
      <c r="Z213" s="27" t="s">
        <v>83</v>
      </c>
      <c r="AA213" s="28">
        <v>42243</v>
      </c>
      <c r="AB213" s="27"/>
      <c r="AC213" s="27"/>
      <c r="AD213" s="27"/>
      <c r="AE213" s="27" t="s">
        <v>183</v>
      </c>
      <c r="AF213" s="27" t="s">
        <v>484</v>
      </c>
      <c r="AG213" s="27" t="s">
        <v>77</v>
      </c>
      <c r="AH213" s="27" t="s">
        <v>485</v>
      </c>
    </row>
    <row r="214" spans="1:34" x14ac:dyDescent="0.2">
      <c r="A214" s="27">
        <v>10019039</v>
      </c>
      <c r="B214" s="27" t="s">
        <v>18</v>
      </c>
      <c r="C214" s="27" t="s">
        <v>78</v>
      </c>
      <c r="D214" s="28">
        <v>42242</v>
      </c>
      <c r="E214" s="27">
        <v>93487548</v>
      </c>
      <c r="F214" s="28">
        <v>42235</v>
      </c>
      <c r="G214" s="27"/>
      <c r="H214" s="27">
        <v>1201399</v>
      </c>
      <c r="I214" s="27" t="s">
        <v>144</v>
      </c>
      <c r="J214" s="27">
        <v>1334926</v>
      </c>
      <c r="K214" s="27" t="s">
        <v>145</v>
      </c>
      <c r="L214" s="27">
        <v>1171970</v>
      </c>
      <c r="M214" s="27" t="s">
        <v>144</v>
      </c>
      <c r="N214" s="27">
        <v>8106670856</v>
      </c>
      <c r="O214" s="27"/>
      <c r="P214" s="27"/>
      <c r="Q214" s="27" t="s">
        <v>181</v>
      </c>
      <c r="R214" s="27" t="s">
        <v>279</v>
      </c>
      <c r="S214" s="27" t="s">
        <v>280</v>
      </c>
      <c r="T214" s="27">
        <v>8812.08</v>
      </c>
      <c r="U214" s="27" t="s">
        <v>182</v>
      </c>
      <c r="V214" s="27" t="s">
        <v>69</v>
      </c>
      <c r="W214" s="27" t="s">
        <v>70</v>
      </c>
      <c r="X214" s="27" t="s">
        <v>76</v>
      </c>
      <c r="Y214" s="28">
        <v>42244</v>
      </c>
      <c r="Z214" s="27" t="s">
        <v>83</v>
      </c>
      <c r="AA214" s="28">
        <v>42243</v>
      </c>
      <c r="AB214" s="27" t="s">
        <v>100</v>
      </c>
      <c r="AC214" s="27">
        <v>61988294</v>
      </c>
      <c r="AD214" s="28">
        <v>42271</v>
      </c>
      <c r="AE214" s="27" t="s">
        <v>183</v>
      </c>
      <c r="AF214" s="27" t="s">
        <v>486</v>
      </c>
      <c r="AG214" s="27" t="s">
        <v>77</v>
      </c>
      <c r="AH214" s="27" t="s">
        <v>370</v>
      </c>
    </row>
    <row r="215" spans="1:34" x14ac:dyDescent="0.2">
      <c r="A215" s="27">
        <v>10019041</v>
      </c>
      <c r="B215" s="27" t="s">
        <v>22</v>
      </c>
      <c r="C215" s="27" t="s">
        <v>78</v>
      </c>
      <c r="D215" s="28">
        <v>42242</v>
      </c>
      <c r="E215" s="27">
        <v>93474912</v>
      </c>
      <c r="F215" s="28">
        <v>42226</v>
      </c>
      <c r="G215" s="28">
        <v>42230</v>
      </c>
      <c r="H215" s="27">
        <v>1201156</v>
      </c>
      <c r="I215" s="27" t="s">
        <v>131</v>
      </c>
      <c r="J215" s="27">
        <v>1040821</v>
      </c>
      <c r="K215" s="27" t="s">
        <v>132</v>
      </c>
      <c r="L215" s="27">
        <v>1201156</v>
      </c>
      <c r="M215" s="27" t="s">
        <v>131</v>
      </c>
      <c r="N215" s="27">
        <v>1058889</v>
      </c>
      <c r="O215" s="27"/>
      <c r="P215" s="27"/>
      <c r="Q215" s="27" t="s">
        <v>181</v>
      </c>
      <c r="R215" s="27" t="s">
        <v>61</v>
      </c>
      <c r="S215" s="27" t="s">
        <v>62</v>
      </c>
      <c r="T215" s="27">
        <v>9612</v>
      </c>
      <c r="U215" s="27" t="s">
        <v>182</v>
      </c>
      <c r="V215" s="27" t="s">
        <v>63</v>
      </c>
      <c r="W215" s="27"/>
      <c r="X215" s="27"/>
      <c r="Y215" s="27"/>
      <c r="Z215" s="27" t="s">
        <v>64</v>
      </c>
      <c r="AA215" s="28">
        <v>42242</v>
      </c>
      <c r="AB215" s="27"/>
      <c r="AC215" s="27"/>
      <c r="AD215" s="27"/>
      <c r="AE215" s="27" t="s">
        <v>183</v>
      </c>
      <c r="AF215" s="27">
        <v>327755256</v>
      </c>
      <c r="AG215" s="27"/>
      <c r="AH215" s="27"/>
    </row>
    <row r="216" spans="1:34" x14ac:dyDescent="0.2">
      <c r="A216" s="27">
        <v>10019042</v>
      </c>
      <c r="B216" s="27" t="s">
        <v>18</v>
      </c>
      <c r="C216" s="27" t="s">
        <v>78</v>
      </c>
      <c r="D216" s="28">
        <v>42243</v>
      </c>
      <c r="E216" s="27">
        <v>93490387</v>
      </c>
      <c r="F216" s="28">
        <v>42237</v>
      </c>
      <c r="G216" s="28">
        <v>42241</v>
      </c>
      <c r="H216" s="27">
        <v>1022013</v>
      </c>
      <c r="I216" s="27" t="s">
        <v>114</v>
      </c>
      <c r="J216" s="27">
        <v>1022013</v>
      </c>
      <c r="K216" s="27" t="s">
        <v>114</v>
      </c>
      <c r="L216" s="27">
        <v>1022013</v>
      </c>
      <c r="M216" s="27" t="s">
        <v>114</v>
      </c>
      <c r="N216" s="27">
        <v>74614</v>
      </c>
      <c r="O216" s="27"/>
      <c r="P216" s="27"/>
      <c r="Q216" s="27" t="s">
        <v>181</v>
      </c>
      <c r="R216" s="27" t="s">
        <v>67</v>
      </c>
      <c r="S216" s="27" t="s">
        <v>68</v>
      </c>
      <c r="T216" s="27">
        <v>39.979999999999997</v>
      </c>
      <c r="U216" s="27" t="s">
        <v>182</v>
      </c>
      <c r="V216" s="27" t="s">
        <v>69</v>
      </c>
      <c r="W216" s="27" t="s">
        <v>70</v>
      </c>
      <c r="X216" s="27" t="s">
        <v>76</v>
      </c>
      <c r="Y216" s="28">
        <v>42244</v>
      </c>
      <c r="Z216" s="27" t="s">
        <v>64</v>
      </c>
      <c r="AA216" s="28">
        <v>42243</v>
      </c>
      <c r="AB216" s="27" t="s">
        <v>100</v>
      </c>
      <c r="AC216" s="27">
        <v>61982251</v>
      </c>
      <c r="AD216" s="28">
        <v>42263</v>
      </c>
      <c r="AE216" s="27" t="s">
        <v>183</v>
      </c>
      <c r="AF216" s="27">
        <v>2795192735</v>
      </c>
      <c r="AG216" s="27" t="s">
        <v>77</v>
      </c>
      <c r="AH216" s="27" t="s">
        <v>216</v>
      </c>
    </row>
    <row r="217" spans="1:34" x14ac:dyDescent="0.2">
      <c r="A217" s="27">
        <v>10019043</v>
      </c>
      <c r="B217" s="27" t="s">
        <v>18</v>
      </c>
      <c r="C217" s="27" t="s">
        <v>78</v>
      </c>
      <c r="D217" s="28">
        <v>42243</v>
      </c>
      <c r="E217" s="27">
        <v>93493086</v>
      </c>
      <c r="F217" s="28">
        <v>42240</v>
      </c>
      <c r="G217" s="28">
        <v>42242</v>
      </c>
      <c r="H217" s="27">
        <v>1022013</v>
      </c>
      <c r="I217" s="27" t="s">
        <v>114</v>
      </c>
      <c r="J217" s="27">
        <v>1335507</v>
      </c>
      <c r="K217" s="27" t="s">
        <v>114</v>
      </c>
      <c r="L217" s="27">
        <v>1022013</v>
      </c>
      <c r="M217" s="27" t="s">
        <v>114</v>
      </c>
      <c r="N217" s="27">
        <v>74615</v>
      </c>
      <c r="O217" s="27"/>
      <c r="P217" s="27"/>
      <c r="Q217" s="27" t="s">
        <v>181</v>
      </c>
      <c r="R217" s="27" t="s">
        <v>67</v>
      </c>
      <c r="S217" s="27" t="s">
        <v>68</v>
      </c>
      <c r="T217" s="27">
        <v>85.6</v>
      </c>
      <c r="U217" s="27" t="s">
        <v>182</v>
      </c>
      <c r="V217" s="27" t="s">
        <v>69</v>
      </c>
      <c r="W217" s="27" t="s">
        <v>70</v>
      </c>
      <c r="X217" s="27" t="s">
        <v>76</v>
      </c>
      <c r="Y217" s="28">
        <v>42244</v>
      </c>
      <c r="Z217" s="27" t="s">
        <v>64</v>
      </c>
      <c r="AA217" s="28">
        <v>42243</v>
      </c>
      <c r="AB217" s="27" t="s">
        <v>100</v>
      </c>
      <c r="AC217" s="27">
        <v>61982255</v>
      </c>
      <c r="AD217" s="28">
        <v>42263</v>
      </c>
      <c r="AE217" s="27" t="s">
        <v>183</v>
      </c>
      <c r="AF217" s="27">
        <v>2795192982</v>
      </c>
      <c r="AG217" s="27" t="s">
        <v>77</v>
      </c>
      <c r="AH217" s="27" t="s">
        <v>487</v>
      </c>
    </row>
    <row r="218" spans="1:34" x14ac:dyDescent="0.2">
      <c r="A218" s="27">
        <v>10019044</v>
      </c>
      <c r="B218" s="27" t="s">
        <v>22</v>
      </c>
      <c r="C218" s="27" t="s">
        <v>78</v>
      </c>
      <c r="D218" s="28">
        <v>42243</v>
      </c>
      <c r="E218" s="27">
        <v>93488964</v>
      </c>
      <c r="F218" s="28">
        <v>42236</v>
      </c>
      <c r="G218" s="28">
        <v>42240</v>
      </c>
      <c r="H218" s="27">
        <v>1201248</v>
      </c>
      <c r="I218" s="27" t="s">
        <v>488</v>
      </c>
      <c r="J218" s="27">
        <v>1201248</v>
      </c>
      <c r="K218" s="27" t="s">
        <v>488</v>
      </c>
      <c r="L218" s="27">
        <v>1201248</v>
      </c>
      <c r="M218" s="27" t="s">
        <v>488</v>
      </c>
      <c r="N218" s="27">
        <v>2125698</v>
      </c>
      <c r="O218" s="27"/>
      <c r="P218" s="27"/>
      <c r="Q218" s="27" t="s">
        <v>235</v>
      </c>
      <c r="R218" s="27" t="s">
        <v>67</v>
      </c>
      <c r="S218" s="27" t="s">
        <v>68</v>
      </c>
      <c r="T218" s="27">
        <v>306</v>
      </c>
      <c r="U218" s="27" t="s">
        <v>182</v>
      </c>
      <c r="V218" s="27" t="s">
        <v>63</v>
      </c>
      <c r="W218" s="27" t="s">
        <v>94</v>
      </c>
      <c r="X218" s="27" t="s">
        <v>141</v>
      </c>
      <c r="Y218" s="28">
        <v>42249</v>
      </c>
      <c r="Z218" s="27" t="s">
        <v>64</v>
      </c>
      <c r="AA218" s="28">
        <v>42243</v>
      </c>
      <c r="AB218" s="27"/>
      <c r="AC218" s="27"/>
      <c r="AD218" s="27"/>
      <c r="AE218" s="27" t="s">
        <v>183</v>
      </c>
      <c r="AF218" s="27">
        <v>2795192411</v>
      </c>
      <c r="AG218" s="27" t="s">
        <v>142</v>
      </c>
      <c r="AH218" s="27" t="s">
        <v>489</v>
      </c>
    </row>
    <row r="219" spans="1:34" x14ac:dyDescent="0.2">
      <c r="A219" s="27">
        <v>10019046</v>
      </c>
      <c r="B219" s="27" t="s">
        <v>26</v>
      </c>
      <c r="C219" s="27" t="s">
        <v>78</v>
      </c>
      <c r="D219" s="28">
        <v>42243</v>
      </c>
      <c r="E219" s="27">
        <v>93493104</v>
      </c>
      <c r="F219" s="28">
        <v>42240</v>
      </c>
      <c r="G219" s="27"/>
      <c r="H219" s="27">
        <v>1201047</v>
      </c>
      <c r="I219" s="27" t="s">
        <v>79</v>
      </c>
      <c r="J219" s="27">
        <v>1030704</v>
      </c>
      <c r="K219" s="27" t="s">
        <v>101</v>
      </c>
      <c r="L219" s="27">
        <v>1171089</v>
      </c>
      <c r="M219" s="27" t="s">
        <v>75</v>
      </c>
      <c r="N219" s="27">
        <v>3500351</v>
      </c>
      <c r="O219" s="27"/>
      <c r="P219" s="27"/>
      <c r="Q219" s="27" t="s">
        <v>181</v>
      </c>
      <c r="R219" s="27" t="s">
        <v>102</v>
      </c>
      <c r="S219" s="27" t="s">
        <v>103</v>
      </c>
      <c r="T219" s="27">
        <v>89.88</v>
      </c>
      <c r="U219" s="27" t="s">
        <v>182</v>
      </c>
      <c r="V219" s="27" t="s">
        <v>69</v>
      </c>
      <c r="W219" s="27" t="s">
        <v>94</v>
      </c>
      <c r="X219" s="27" t="s">
        <v>95</v>
      </c>
      <c r="Y219" s="28">
        <v>42244</v>
      </c>
      <c r="Z219" s="27" t="s">
        <v>64</v>
      </c>
      <c r="AA219" s="28">
        <v>42243</v>
      </c>
      <c r="AB219" s="27" t="s">
        <v>100</v>
      </c>
      <c r="AC219" s="27">
        <v>61980661</v>
      </c>
      <c r="AD219" s="28">
        <v>42261</v>
      </c>
      <c r="AE219" s="27" t="s">
        <v>183</v>
      </c>
      <c r="AF219" s="27">
        <v>636808612743</v>
      </c>
      <c r="AG219" s="27" t="s">
        <v>96</v>
      </c>
      <c r="AH219" s="27" t="s">
        <v>433</v>
      </c>
    </row>
    <row r="220" spans="1:34" x14ac:dyDescent="0.2">
      <c r="A220" s="27">
        <v>10019047</v>
      </c>
      <c r="B220" s="27" t="s">
        <v>18</v>
      </c>
      <c r="C220" s="27" t="s">
        <v>78</v>
      </c>
      <c r="D220" s="28">
        <v>42243</v>
      </c>
      <c r="E220" s="27">
        <v>93483947</v>
      </c>
      <c r="F220" s="28">
        <v>42233</v>
      </c>
      <c r="G220" s="27"/>
      <c r="H220" s="27">
        <v>1201120</v>
      </c>
      <c r="I220" s="27" t="s">
        <v>117</v>
      </c>
      <c r="J220" s="27">
        <v>1307782</v>
      </c>
      <c r="K220" s="27" t="s">
        <v>119</v>
      </c>
      <c r="L220" s="27">
        <v>1171090</v>
      </c>
      <c r="M220" s="27" t="s">
        <v>118</v>
      </c>
      <c r="N220" s="27" t="s">
        <v>490</v>
      </c>
      <c r="O220" s="27"/>
      <c r="P220" s="27"/>
      <c r="Q220" s="27" t="s">
        <v>181</v>
      </c>
      <c r="R220" s="27" t="s">
        <v>121</v>
      </c>
      <c r="S220" s="27" t="s">
        <v>122</v>
      </c>
      <c r="T220" s="27">
        <v>3955.35</v>
      </c>
      <c r="U220" s="27" t="s">
        <v>182</v>
      </c>
      <c r="V220" s="27" t="s">
        <v>63</v>
      </c>
      <c r="W220" s="27" t="s">
        <v>70</v>
      </c>
      <c r="X220" s="27" t="s">
        <v>76</v>
      </c>
      <c r="Y220" s="28">
        <v>42244</v>
      </c>
      <c r="Z220" s="27" t="s">
        <v>83</v>
      </c>
      <c r="AA220" s="28">
        <v>42247</v>
      </c>
      <c r="AB220" s="27"/>
      <c r="AC220" s="27"/>
      <c r="AD220" s="27"/>
      <c r="AE220" s="27" t="s">
        <v>183</v>
      </c>
      <c r="AF220" s="27" t="s">
        <v>447</v>
      </c>
      <c r="AG220" s="27" t="s">
        <v>77</v>
      </c>
      <c r="AH220" s="27" t="s">
        <v>491</v>
      </c>
    </row>
    <row r="221" spans="1:34" x14ac:dyDescent="0.2">
      <c r="A221" s="27">
        <v>10019048</v>
      </c>
      <c r="B221" s="27" t="s">
        <v>26</v>
      </c>
      <c r="C221" s="27" t="s">
        <v>78</v>
      </c>
      <c r="D221" s="28">
        <v>42243</v>
      </c>
      <c r="E221" s="27">
        <v>93493374</v>
      </c>
      <c r="F221" s="28">
        <v>42240</v>
      </c>
      <c r="G221" s="28">
        <v>42242</v>
      </c>
      <c r="H221" s="27">
        <v>1201248</v>
      </c>
      <c r="I221" s="27" t="s">
        <v>488</v>
      </c>
      <c r="J221" s="27">
        <v>1201248</v>
      </c>
      <c r="K221" s="27" t="s">
        <v>488</v>
      </c>
      <c r="L221" s="27">
        <v>1201248</v>
      </c>
      <c r="M221" s="27" t="s">
        <v>488</v>
      </c>
      <c r="N221" s="27">
        <v>2125698</v>
      </c>
      <c r="O221" s="27"/>
      <c r="P221" s="27"/>
      <c r="Q221" s="27" t="s">
        <v>235</v>
      </c>
      <c r="R221" s="27" t="s">
        <v>67</v>
      </c>
      <c r="S221" s="27" t="s">
        <v>68</v>
      </c>
      <c r="T221" s="27">
        <v>72</v>
      </c>
      <c r="U221" s="27" t="s">
        <v>182</v>
      </c>
      <c r="V221" s="27" t="s">
        <v>63</v>
      </c>
      <c r="W221" s="27" t="s">
        <v>94</v>
      </c>
      <c r="X221" s="27" t="s">
        <v>95</v>
      </c>
      <c r="Y221" s="28">
        <v>42244</v>
      </c>
      <c r="Z221" s="27" t="s">
        <v>64</v>
      </c>
      <c r="AA221" s="28">
        <v>42243</v>
      </c>
      <c r="AB221" s="27"/>
      <c r="AC221" s="27"/>
      <c r="AD221" s="27"/>
      <c r="AE221" s="27" t="s">
        <v>183</v>
      </c>
      <c r="AF221" s="27">
        <v>2795192971</v>
      </c>
      <c r="AG221" s="27" t="s">
        <v>96</v>
      </c>
      <c r="AH221" s="27" t="s">
        <v>492</v>
      </c>
    </row>
    <row r="222" spans="1:34" x14ac:dyDescent="0.2">
      <c r="A222" s="27">
        <v>10019049</v>
      </c>
      <c r="B222" s="27" t="s">
        <v>22</v>
      </c>
      <c r="C222" s="27" t="s">
        <v>78</v>
      </c>
      <c r="D222" s="28">
        <v>42243</v>
      </c>
      <c r="E222" s="27">
        <v>93493380</v>
      </c>
      <c r="F222" s="28">
        <v>42240</v>
      </c>
      <c r="G222" s="28">
        <v>42242</v>
      </c>
      <c r="H222" s="27">
        <v>1201315</v>
      </c>
      <c r="I222" s="27" t="s">
        <v>256</v>
      </c>
      <c r="J222" s="27">
        <v>1319408</v>
      </c>
      <c r="K222" s="27" t="s">
        <v>256</v>
      </c>
      <c r="L222" s="27">
        <v>1201315</v>
      </c>
      <c r="M222" s="27" t="s">
        <v>256</v>
      </c>
      <c r="N222" s="27">
        <v>5605557</v>
      </c>
      <c r="O222" s="27"/>
      <c r="P222" s="27"/>
      <c r="Q222" s="27" t="s">
        <v>181</v>
      </c>
      <c r="R222" s="27" t="s">
        <v>67</v>
      </c>
      <c r="S222" s="27" t="s">
        <v>68</v>
      </c>
      <c r="T222" s="27">
        <v>550</v>
      </c>
      <c r="U222" s="27" t="s">
        <v>182</v>
      </c>
      <c r="V222" s="27" t="s">
        <v>63</v>
      </c>
      <c r="W222" s="27" t="s">
        <v>94</v>
      </c>
      <c r="X222" s="27" t="s">
        <v>141</v>
      </c>
      <c r="Y222" s="28">
        <v>42247</v>
      </c>
      <c r="Z222" s="27" t="s">
        <v>64</v>
      </c>
      <c r="AA222" s="28">
        <v>42243</v>
      </c>
      <c r="AB222" s="27"/>
      <c r="AC222" s="27"/>
      <c r="AD222" s="27"/>
      <c r="AE222" s="27" t="s">
        <v>183</v>
      </c>
      <c r="AF222" s="27">
        <v>2795193170</v>
      </c>
      <c r="AG222" s="27" t="s">
        <v>142</v>
      </c>
      <c r="AH222" s="27" t="s">
        <v>493</v>
      </c>
    </row>
    <row r="223" spans="1:34" x14ac:dyDescent="0.2">
      <c r="A223" s="27">
        <v>10019053</v>
      </c>
      <c r="B223" s="27" t="s">
        <v>26</v>
      </c>
      <c r="C223" s="27" t="s">
        <v>78</v>
      </c>
      <c r="D223" s="28">
        <v>42244</v>
      </c>
      <c r="E223" s="27">
        <v>93479808</v>
      </c>
      <c r="F223" s="28">
        <v>42229</v>
      </c>
      <c r="G223" s="28">
        <v>42230</v>
      </c>
      <c r="H223" s="27">
        <v>1201047</v>
      </c>
      <c r="I223" s="27" t="s">
        <v>79</v>
      </c>
      <c r="J223" s="27">
        <v>1317086</v>
      </c>
      <c r="K223" s="27" t="s">
        <v>85</v>
      </c>
      <c r="L223" s="27">
        <v>1171089</v>
      </c>
      <c r="M223" s="27" t="s">
        <v>75</v>
      </c>
      <c r="N223" s="27">
        <v>23603970</v>
      </c>
      <c r="O223" s="27"/>
      <c r="P223" s="27"/>
      <c r="Q223" s="27" t="s">
        <v>181</v>
      </c>
      <c r="R223" s="27" t="s">
        <v>91</v>
      </c>
      <c r="S223" s="27" t="s">
        <v>92</v>
      </c>
      <c r="T223" s="27">
        <v>3014.88</v>
      </c>
      <c r="U223" s="27" t="s">
        <v>182</v>
      </c>
      <c r="V223" s="27" t="s">
        <v>63</v>
      </c>
      <c r="W223" s="27" t="s">
        <v>94</v>
      </c>
      <c r="X223" s="27" t="s">
        <v>95</v>
      </c>
      <c r="Y223" s="28">
        <v>42247</v>
      </c>
      <c r="Z223" s="27" t="s">
        <v>83</v>
      </c>
      <c r="AA223" s="28">
        <v>42247</v>
      </c>
      <c r="AB223" s="27"/>
      <c r="AC223" s="27"/>
      <c r="AD223" s="27"/>
      <c r="AE223" s="27" t="s">
        <v>183</v>
      </c>
      <c r="AF223" s="27" t="s">
        <v>494</v>
      </c>
      <c r="AG223" s="27" t="s">
        <v>96</v>
      </c>
      <c r="AH223" s="27" t="s">
        <v>495</v>
      </c>
    </row>
    <row r="224" spans="1:34" x14ac:dyDescent="0.2">
      <c r="A224" s="27">
        <v>10019054</v>
      </c>
      <c r="B224" s="27" t="s">
        <v>26</v>
      </c>
      <c r="C224" s="27" t="s">
        <v>78</v>
      </c>
      <c r="D224" s="28">
        <v>42244</v>
      </c>
      <c r="E224" s="27">
        <v>93485022</v>
      </c>
      <c r="F224" s="28">
        <v>42234</v>
      </c>
      <c r="G224" s="27"/>
      <c r="H224" s="27">
        <v>1201047</v>
      </c>
      <c r="I224" s="27" t="s">
        <v>79</v>
      </c>
      <c r="J224" s="27">
        <v>1311671</v>
      </c>
      <c r="K224" s="27" t="s">
        <v>90</v>
      </c>
      <c r="L224" s="27">
        <v>1171089</v>
      </c>
      <c r="M224" s="27" t="s">
        <v>75</v>
      </c>
      <c r="N224" s="27">
        <v>21456684</v>
      </c>
      <c r="O224" s="27"/>
      <c r="P224" s="27"/>
      <c r="Q224" s="27" t="s">
        <v>181</v>
      </c>
      <c r="R224" s="27" t="s">
        <v>91</v>
      </c>
      <c r="S224" s="27" t="s">
        <v>92</v>
      </c>
      <c r="T224" s="27">
        <v>1557.95</v>
      </c>
      <c r="U224" s="27" t="s">
        <v>182</v>
      </c>
      <c r="V224" s="27" t="s">
        <v>63</v>
      </c>
      <c r="W224" s="27" t="s">
        <v>94</v>
      </c>
      <c r="X224" s="27" t="s">
        <v>82</v>
      </c>
      <c r="Y224" s="28">
        <v>42261</v>
      </c>
      <c r="Z224" s="27"/>
      <c r="AA224" s="27"/>
      <c r="AB224" s="27"/>
      <c r="AC224" s="27"/>
      <c r="AD224" s="27"/>
      <c r="AE224" s="27" t="s">
        <v>183</v>
      </c>
      <c r="AF224" s="27" t="s">
        <v>496</v>
      </c>
      <c r="AG224" s="27" t="s">
        <v>96</v>
      </c>
      <c r="AH224" s="27" t="s">
        <v>497</v>
      </c>
    </row>
    <row r="225" spans="1:34" x14ac:dyDescent="0.2">
      <c r="A225" s="27">
        <v>10019055</v>
      </c>
      <c r="B225" s="27" t="s">
        <v>26</v>
      </c>
      <c r="C225" s="27" t="s">
        <v>78</v>
      </c>
      <c r="D225" s="28">
        <v>42244</v>
      </c>
      <c r="E225" s="27">
        <v>93497685</v>
      </c>
      <c r="F225" s="28">
        <v>42242</v>
      </c>
      <c r="G225" s="27"/>
      <c r="H225" s="27">
        <v>1318826</v>
      </c>
      <c r="I225" s="27" t="s">
        <v>110</v>
      </c>
      <c r="J225" s="27">
        <v>1337270</v>
      </c>
      <c r="K225" s="27" t="s">
        <v>111</v>
      </c>
      <c r="L225" s="27">
        <v>1318826</v>
      </c>
      <c r="M225" s="27" t="s">
        <v>110</v>
      </c>
      <c r="N225" s="27">
        <v>1030757</v>
      </c>
      <c r="O225" s="27"/>
      <c r="P225" s="27"/>
      <c r="Q225" s="27" t="s">
        <v>181</v>
      </c>
      <c r="R225" s="27" t="s">
        <v>91</v>
      </c>
      <c r="S225" s="27" t="s">
        <v>92</v>
      </c>
      <c r="T225" s="27">
        <v>42.24</v>
      </c>
      <c r="U225" s="27" t="s">
        <v>182</v>
      </c>
      <c r="V225" s="27" t="s">
        <v>63</v>
      </c>
      <c r="W225" s="27" t="s">
        <v>94</v>
      </c>
      <c r="X225" s="27" t="s">
        <v>95</v>
      </c>
      <c r="Y225" s="28">
        <v>42250</v>
      </c>
      <c r="Z225" s="27" t="s">
        <v>64</v>
      </c>
      <c r="AA225" s="28">
        <v>42244</v>
      </c>
      <c r="AB225" s="27"/>
      <c r="AC225" s="27"/>
      <c r="AD225" s="27"/>
      <c r="AE225" s="27" t="s">
        <v>183</v>
      </c>
      <c r="AF225" s="27" t="s">
        <v>498</v>
      </c>
      <c r="AG225" s="27" t="s">
        <v>96</v>
      </c>
      <c r="AH225" s="27" t="s">
        <v>499</v>
      </c>
    </row>
    <row r="226" spans="1:34" x14ac:dyDescent="0.2">
      <c r="A226" s="27">
        <v>10019056</v>
      </c>
      <c r="B226" s="27" t="s">
        <v>26</v>
      </c>
      <c r="C226" s="27" t="s">
        <v>78</v>
      </c>
      <c r="D226" s="28">
        <v>42244</v>
      </c>
      <c r="E226" s="27">
        <v>93487302</v>
      </c>
      <c r="F226" s="28">
        <v>42235</v>
      </c>
      <c r="G226" s="27"/>
      <c r="H226" s="27">
        <v>1201047</v>
      </c>
      <c r="I226" s="27" t="s">
        <v>79</v>
      </c>
      <c r="J226" s="27">
        <v>1022214</v>
      </c>
      <c r="K226" s="27" t="s">
        <v>80</v>
      </c>
      <c r="L226" s="27">
        <v>1171089</v>
      </c>
      <c r="M226" s="27" t="s">
        <v>75</v>
      </c>
      <c r="N226" s="27">
        <v>4737735</v>
      </c>
      <c r="O226" s="27"/>
      <c r="P226" s="27"/>
      <c r="Q226" s="27" t="s">
        <v>181</v>
      </c>
      <c r="R226" s="27" t="s">
        <v>91</v>
      </c>
      <c r="S226" s="27" t="s">
        <v>92</v>
      </c>
      <c r="T226" s="27">
        <v>6210.72</v>
      </c>
      <c r="U226" s="27" t="s">
        <v>182</v>
      </c>
      <c r="V226" s="27" t="s">
        <v>63</v>
      </c>
      <c r="W226" s="27" t="s">
        <v>81</v>
      </c>
      <c r="X226" s="27" t="s">
        <v>88</v>
      </c>
      <c r="Y226" s="28">
        <v>42261</v>
      </c>
      <c r="Z226" s="27"/>
      <c r="AA226" s="27"/>
      <c r="AB226" s="27"/>
      <c r="AC226" s="27"/>
      <c r="AD226" s="27"/>
      <c r="AE226" s="27" t="s">
        <v>183</v>
      </c>
      <c r="AF226" s="27" t="s">
        <v>500</v>
      </c>
      <c r="AG226" s="27" t="s">
        <v>89</v>
      </c>
      <c r="AH226" s="27" t="s">
        <v>274</v>
      </c>
    </row>
    <row r="227" spans="1:34" x14ac:dyDescent="0.2">
      <c r="A227" s="27">
        <v>10019057</v>
      </c>
      <c r="B227" s="27" t="s">
        <v>18</v>
      </c>
      <c r="C227" s="27" t="s">
        <v>78</v>
      </c>
      <c r="D227" s="28">
        <v>42244</v>
      </c>
      <c r="E227" s="27">
        <v>93493366</v>
      </c>
      <c r="F227" s="28">
        <v>42240</v>
      </c>
      <c r="G227" s="28">
        <v>42241</v>
      </c>
      <c r="H227" s="27">
        <v>1201215</v>
      </c>
      <c r="I227" s="27" t="s">
        <v>138</v>
      </c>
      <c r="J227" s="27">
        <v>1324492</v>
      </c>
      <c r="K227" s="27" t="s">
        <v>138</v>
      </c>
      <c r="L227" s="27">
        <v>1201215</v>
      </c>
      <c r="M227" s="27" t="s">
        <v>138</v>
      </c>
      <c r="N227" s="27" t="s">
        <v>501</v>
      </c>
      <c r="O227" s="27"/>
      <c r="P227" s="27"/>
      <c r="Q227" s="27" t="s">
        <v>181</v>
      </c>
      <c r="R227" s="27" t="s">
        <v>67</v>
      </c>
      <c r="S227" s="27" t="s">
        <v>68</v>
      </c>
      <c r="T227" s="27">
        <v>222.12</v>
      </c>
      <c r="U227" s="27" t="s">
        <v>182</v>
      </c>
      <c r="V227" s="27" t="s">
        <v>63</v>
      </c>
      <c r="W227" s="27" t="s">
        <v>70</v>
      </c>
      <c r="X227" s="27" t="s">
        <v>76</v>
      </c>
      <c r="Y227" s="28">
        <v>42262</v>
      </c>
      <c r="Z227" s="27" t="s">
        <v>64</v>
      </c>
      <c r="AA227" s="28">
        <v>42244</v>
      </c>
      <c r="AB227" s="27"/>
      <c r="AC227" s="27"/>
      <c r="AD227" s="27"/>
      <c r="AE227" s="27" t="s">
        <v>183</v>
      </c>
      <c r="AF227" s="27">
        <v>2795193122</v>
      </c>
      <c r="AG227" s="27" t="s">
        <v>77</v>
      </c>
      <c r="AH227" s="27" t="s">
        <v>376</v>
      </c>
    </row>
    <row r="228" spans="1:34" x14ac:dyDescent="0.2">
      <c r="A228" s="27">
        <v>10019058</v>
      </c>
      <c r="B228" s="27" t="s">
        <v>18</v>
      </c>
      <c r="C228" s="27" t="s">
        <v>78</v>
      </c>
      <c r="D228" s="28">
        <v>42244</v>
      </c>
      <c r="E228" s="27">
        <v>93473093</v>
      </c>
      <c r="F228" s="28">
        <v>42223</v>
      </c>
      <c r="G228" s="28">
        <v>42228</v>
      </c>
      <c r="H228" s="27">
        <v>1201047</v>
      </c>
      <c r="I228" s="27" t="s">
        <v>79</v>
      </c>
      <c r="J228" s="27">
        <v>1022214</v>
      </c>
      <c r="K228" s="27" t="s">
        <v>80</v>
      </c>
      <c r="L228" s="27">
        <v>1171089</v>
      </c>
      <c r="M228" s="27" t="s">
        <v>75</v>
      </c>
      <c r="N228" s="27">
        <v>4736285</v>
      </c>
      <c r="O228" s="27"/>
      <c r="P228" s="27"/>
      <c r="Q228" s="27" t="s">
        <v>181</v>
      </c>
      <c r="R228" s="27" t="s">
        <v>67</v>
      </c>
      <c r="S228" s="27" t="s">
        <v>68</v>
      </c>
      <c r="T228" s="27">
        <v>412.08</v>
      </c>
      <c r="U228" s="27" t="s">
        <v>182</v>
      </c>
      <c r="V228" s="27" t="s">
        <v>63</v>
      </c>
      <c r="W228" s="27" t="s">
        <v>70</v>
      </c>
      <c r="X228" s="27" t="s">
        <v>76</v>
      </c>
      <c r="Y228" s="28">
        <v>42262</v>
      </c>
      <c r="Z228" s="27" t="s">
        <v>64</v>
      </c>
      <c r="AA228" s="28">
        <v>42244</v>
      </c>
      <c r="AB228" s="27"/>
      <c r="AC228" s="27"/>
      <c r="AD228" s="27"/>
      <c r="AE228" s="27" t="s">
        <v>183</v>
      </c>
      <c r="AF228" s="27">
        <v>3511785384</v>
      </c>
      <c r="AG228" s="27" t="s">
        <v>77</v>
      </c>
      <c r="AH228" s="27" t="s">
        <v>228</v>
      </c>
    </row>
    <row r="229" spans="1:34" x14ac:dyDescent="0.2">
      <c r="A229" s="27">
        <v>10019059</v>
      </c>
      <c r="B229" s="27" t="s">
        <v>18</v>
      </c>
      <c r="C229" s="27" t="s">
        <v>78</v>
      </c>
      <c r="D229" s="28">
        <v>42244</v>
      </c>
      <c r="E229" s="27">
        <v>93494899</v>
      </c>
      <c r="F229" s="28">
        <v>42241</v>
      </c>
      <c r="G229" s="27"/>
      <c r="H229" s="27">
        <v>1201047</v>
      </c>
      <c r="I229" s="27" t="s">
        <v>79</v>
      </c>
      <c r="J229" s="27">
        <v>1311671</v>
      </c>
      <c r="K229" s="27" t="s">
        <v>90</v>
      </c>
      <c r="L229" s="27">
        <v>1171089</v>
      </c>
      <c r="M229" s="27" t="s">
        <v>75</v>
      </c>
      <c r="N229" s="27">
        <v>21457421</v>
      </c>
      <c r="O229" s="27"/>
      <c r="P229" s="27"/>
      <c r="Q229" s="27" t="s">
        <v>181</v>
      </c>
      <c r="R229" s="27" t="s">
        <v>91</v>
      </c>
      <c r="S229" s="27" t="s">
        <v>92</v>
      </c>
      <c r="T229" s="27">
        <v>95.04</v>
      </c>
      <c r="U229" s="27" t="s">
        <v>182</v>
      </c>
      <c r="V229" s="27" t="s">
        <v>63</v>
      </c>
      <c r="W229" s="27" t="s">
        <v>70</v>
      </c>
      <c r="X229" s="27" t="s">
        <v>76</v>
      </c>
      <c r="Y229" s="28">
        <v>42262</v>
      </c>
      <c r="Z229" s="27" t="s">
        <v>64</v>
      </c>
      <c r="AA229" s="28">
        <v>42244</v>
      </c>
      <c r="AB229" s="27"/>
      <c r="AC229" s="27"/>
      <c r="AD229" s="27"/>
      <c r="AE229" s="27" t="s">
        <v>183</v>
      </c>
      <c r="AF229" s="27" t="s">
        <v>502</v>
      </c>
      <c r="AG229" s="27" t="s">
        <v>77</v>
      </c>
      <c r="AH229" s="27" t="s">
        <v>370</v>
      </c>
    </row>
    <row r="230" spans="1:34" x14ac:dyDescent="0.2">
      <c r="A230" s="27">
        <v>10019060</v>
      </c>
      <c r="B230" s="27" t="s">
        <v>26</v>
      </c>
      <c r="C230" s="27" t="s">
        <v>78</v>
      </c>
      <c r="D230" s="28">
        <v>42244</v>
      </c>
      <c r="E230" s="27">
        <v>93488811</v>
      </c>
      <c r="F230" s="28">
        <v>42236</v>
      </c>
      <c r="G230" s="27"/>
      <c r="H230" s="27">
        <v>1201047</v>
      </c>
      <c r="I230" s="27" t="s">
        <v>79</v>
      </c>
      <c r="J230" s="27">
        <v>1311671</v>
      </c>
      <c r="K230" s="27" t="s">
        <v>90</v>
      </c>
      <c r="L230" s="27">
        <v>1171089</v>
      </c>
      <c r="M230" s="27" t="s">
        <v>75</v>
      </c>
      <c r="N230" s="27">
        <v>21456798</v>
      </c>
      <c r="O230" s="27"/>
      <c r="P230" s="27"/>
      <c r="Q230" s="27" t="s">
        <v>181</v>
      </c>
      <c r="R230" s="27" t="s">
        <v>91</v>
      </c>
      <c r="S230" s="27" t="s">
        <v>92</v>
      </c>
      <c r="T230" s="27">
        <v>84841.2</v>
      </c>
      <c r="U230" s="27" t="s">
        <v>182</v>
      </c>
      <c r="V230" s="27" t="s">
        <v>69</v>
      </c>
      <c r="W230" s="27" t="s">
        <v>94</v>
      </c>
      <c r="X230" s="27" t="s">
        <v>71</v>
      </c>
      <c r="Y230" s="28">
        <v>42261</v>
      </c>
      <c r="Z230" s="27" t="s">
        <v>83</v>
      </c>
      <c r="AA230" s="28">
        <v>42261</v>
      </c>
      <c r="AB230" s="27" t="s">
        <v>72</v>
      </c>
      <c r="AC230" s="27">
        <v>61981636</v>
      </c>
      <c r="AD230" s="28">
        <v>42262</v>
      </c>
      <c r="AE230" s="27" t="s">
        <v>183</v>
      </c>
      <c r="AF230" s="27" t="s">
        <v>503</v>
      </c>
      <c r="AG230" s="27" t="s">
        <v>96</v>
      </c>
      <c r="AH230" s="27" t="s">
        <v>504</v>
      </c>
    </row>
    <row r="231" spans="1:34" x14ac:dyDescent="0.2">
      <c r="A231" s="27">
        <v>10019061</v>
      </c>
      <c r="B231" s="27" t="s">
        <v>26</v>
      </c>
      <c r="C231" s="27" t="s">
        <v>197</v>
      </c>
      <c r="D231" s="28">
        <v>42244</v>
      </c>
      <c r="E231" s="27">
        <v>93481744</v>
      </c>
      <c r="F231" s="28">
        <v>42230</v>
      </c>
      <c r="G231" s="28">
        <v>42235</v>
      </c>
      <c r="H231" s="27">
        <v>1201640</v>
      </c>
      <c r="I231" s="27" t="s">
        <v>159</v>
      </c>
      <c r="J231" s="27">
        <v>1338029</v>
      </c>
      <c r="K231" s="27" t="s">
        <v>160</v>
      </c>
      <c r="L231" s="27">
        <v>1201640</v>
      </c>
      <c r="M231" s="27" t="s">
        <v>159</v>
      </c>
      <c r="N231" s="27" t="s">
        <v>505</v>
      </c>
      <c r="O231" s="27"/>
      <c r="P231" s="27"/>
      <c r="Q231" s="27" t="s">
        <v>181</v>
      </c>
      <c r="R231" s="27" t="s">
        <v>67</v>
      </c>
      <c r="S231" s="27" t="s">
        <v>68</v>
      </c>
      <c r="T231" s="27">
        <v>60.96</v>
      </c>
      <c r="U231" s="27" t="s">
        <v>182</v>
      </c>
      <c r="V231" s="27" t="s">
        <v>63</v>
      </c>
      <c r="W231" s="27" t="s">
        <v>94</v>
      </c>
      <c r="X231" s="27" t="s">
        <v>95</v>
      </c>
      <c r="Y231" s="28">
        <v>42247</v>
      </c>
      <c r="Z231" s="27" t="s">
        <v>64</v>
      </c>
      <c r="AA231" s="28">
        <v>42244</v>
      </c>
      <c r="AB231" s="27"/>
      <c r="AC231" s="27"/>
      <c r="AD231" s="27"/>
      <c r="AE231" s="27" t="s">
        <v>183</v>
      </c>
      <c r="AF231" s="27">
        <v>3511786596</v>
      </c>
      <c r="AG231" s="27" t="s">
        <v>96</v>
      </c>
      <c r="AH231" s="27" t="s">
        <v>506</v>
      </c>
    </row>
    <row r="232" spans="1:34" x14ac:dyDescent="0.2">
      <c r="A232" s="27">
        <v>10019062</v>
      </c>
      <c r="B232" s="27" t="s">
        <v>24</v>
      </c>
      <c r="C232" s="27" t="s">
        <v>78</v>
      </c>
      <c r="D232" s="28">
        <v>42244</v>
      </c>
      <c r="E232" s="27">
        <v>93488917</v>
      </c>
      <c r="F232" s="28">
        <v>42236</v>
      </c>
      <c r="G232" s="27"/>
      <c r="H232" s="27">
        <v>1201156</v>
      </c>
      <c r="I232" s="27" t="s">
        <v>131</v>
      </c>
      <c r="J232" s="27">
        <v>1319569</v>
      </c>
      <c r="K232" s="27" t="s">
        <v>132</v>
      </c>
      <c r="L232" s="27">
        <v>1201156</v>
      </c>
      <c r="M232" s="27" t="s">
        <v>131</v>
      </c>
      <c r="N232" s="27">
        <v>8310848</v>
      </c>
      <c r="O232" s="27"/>
      <c r="P232" s="27"/>
      <c r="Q232" s="27" t="s">
        <v>181</v>
      </c>
      <c r="R232" s="27" t="s">
        <v>61</v>
      </c>
      <c r="S232" s="27" t="s">
        <v>62</v>
      </c>
      <c r="T232" s="27">
        <v>655.53</v>
      </c>
      <c r="U232" s="27" t="s">
        <v>182</v>
      </c>
      <c r="V232" s="27" t="s">
        <v>69</v>
      </c>
      <c r="W232" s="27" t="s">
        <v>70</v>
      </c>
      <c r="X232" s="27" t="s">
        <v>71</v>
      </c>
      <c r="Y232" s="28">
        <v>42262</v>
      </c>
      <c r="Z232" s="27" t="s">
        <v>64</v>
      </c>
      <c r="AA232" s="28">
        <v>42244</v>
      </c>
      <c r="AB232" s="27" t="s">
        <v>72</v>
      </c>
      <c r="AC232" s="27">
        <v>61981637</v>
      </c>
      <c r="AD232" s="28">
        <v>42262</v>
      </c>
      <c r="AE232" s="27" t="s">
        <v>183</v>
      </c>
      <c r="AF232" s="27">
        <v>327755291</v>
      </c>
      <c r="AG232" s="27" t="s">
        <v>73</v>
      </c>
      <c r="AH232" s="27" t="s">
        <v>507</v>
      </c>
    </row>
    <row r="233" spans="1:34" x14ac:dyDescent="0.2">
      <c r="A233" s="27">
        <v>10019063</v>
      </c>
      <c r="B233" s="27" t="s">
        <v>18</v>
      </c>
      <c r="C233" s="27" t="s">
        <v>78</v>
      </c>
      <c r="D233" s="28">
        <v>42244</v>
      </c>
      <c r="E233" s="27">
        <v>93493085</v>
      </c>
      <c r="F233" s="28">
        <v>42240</v>
      </c>
      <c r="G233" s="28">
        <v>42242</v>
      </c>
      <c r="H233" s="27">
        <v>1022013</v>
      </c>
      <c r="I233" s="27" t="s">
        <v>114</v>
      </c>
      <c r="J233" s="27">
        <v>1022013</v>
      </c>
      <c r="K233" s="27" t="s">
        <v>114</v>
      </c>
      <c r="L233" s="27">
        <v>1022013</v>
      </c>
      <c r="M233" s="27" t="s">
        <v>114</v>
      </c>
      <c r="N233" s="27">
        <v>74614</v>
      </c>
      <c r="O233" s="27"/>
      <c r="P233" s="27"/>
      <c r="Q233" s="27" t="s">
        <v>181</v>
      </c>
      <c r="R233" s="27" t="s">
        <v>67</v>
      </c>
      <c r="S233" s="27" t="s">
        <v>68</v>
      </c>
      <c r="T233" s="27">
        <v>16.079999999999998</v>
      </c>
      <c r="U233" s="27" t="s">
        <v>182</v>
      </c>
      <c r="V233" s="27" t="s">
        <v>63</v>
      </c>
      <c r="W233" s="27" t="s">
        <v>70</v>
      </c>
      <c r="X233" s="27" t="s">
        <v>76</v>
      </c>
      <c r="Y233" s="28">
        <v>42262</v>
      </c>
      <c r="Z233" s="27" t="s">
        <v>64</v>
      </c>
      <c r="AA233" s="28">
        <v>42244</v>
      </c>
      <c r="AB233" s="27"/>
      <c r="AC233" s="27"/>
      <c r="AD233" s="27"/>
      <c r="AE233" s="27" t="s">
        <v>183</v>
      </c>
      <c r="AF233" s="27">
        <v>2795193015</v>
      </c>
      <c r="AG233" s="27" t="s">
        <v>77</v>
      </c>
      <c r="AH233" s="27" t="s">
        <v>508</v>
      </c>
    </row>
    <row r="234" spans="1:34" x14ac:dyDescent="0.2">
      <c r="A234" s="27">
        <v>10019064</v>
      </c>
      <c r="B234" s="27" t="s">
        <v>18</v>
      </c>
      <c r="C234" s="27" t="s">
        <v>78</v>
      </c>
      <c r="D234" s="28">
        <v>42244</v>
      </c>
      <c r="E234" s="27">
        <v>93493276</v>
      </c>
      <c r="F234" s="28">
        <v>42240</v>
      </c>
      <c r="G234" s="27"/>
      <c r="H234" s="27">
        <v>1201120</v>
      </c>
      <c r="I234" s="27" t="s">
        <v>117</v>
      </c>
      <c r="J234" s="27">
        <v>1307782</v>
      </c>
      <c r="K234" s="27" t="s">
        <v>119</v>
      </c>
      <c r="L234" s="27">
        <v>1171090</v>
      </c>
      <c r="M234" s="27" t="s">
        <v>118</v>
      </c>
      <c r="N234" s="27" t="s">
        <v>459</v>
      </c>
      <c r="O234" s="27"/>
      <c r="P234" s="27"/>
      <c r="Q234" s="27" t="s">
        <v>181</v>
      </c>
      <c r="R234" s="27" t="s">
        <v>121</v>
      </c>
      <c r="S234" s="27" t="s">
        <v>122</v>
      </c>
      <c r="T234" s="27">
        <v>3137.66</v>
      </c>
      <c r="U234" s="27" t="s">
        <v>182</v>
      </c>
      <c r="V234" s="27" t="s">
        <v>63</v>
      </c>
      <c r="W234" s="27" t="s">
        <v>70</v>
      </c>
      <c r="X234" s="27" t="s">
        <v>76</v>
      </c>
      <c r="Y234" s="28">
        <v>42262</v>
      </c>
      <c r="Z234" s="27" t="s">
        <v>83</v>
      </c>
      <c r="AA234" s="28">
        <v>42247</v>
      </c>
      <c r="AB234" s="27"/>
      <c r="AC234" s="27"/>
      <c r="AD234" s="27"/>
      <c r="AE234" s="27" t="s">
        <v>183</v>
      </c>
      <c r="AF234" s="27" t="s">
        <v>509</v>
      </c>
      <c r="AG234" s="27" t="s">
        <v>77</v>
      </c>
      <c r="AH234" s="27" t="s">
        <v>510</v>
      </c>
    </row>
    <row r="235" spans="1:34" x14ac:dyDescent="0.2">
      <c r="A235" s="27">
        <v>10019065</v>
      </c>
      <c r="B235" s="27" t="s">
        <v>18</v>
      </c>
      <c r="C235" s="27" t="s">
        <v>78</v>
      </c>
      <c r="D235" s="28">
        <v>42244</v>
      </c>
      <c r="E235" s="27">
        <v>93493259</v>
      </c>
      <c r="F235" s="28">
        <v>42240</v>
      </c>
      <c r="G235" s="27"/>
      <c r="H235" s="27">
        <v>1201120</v>
      </c>
      <c r="I235" s="27" t="s">
        <v>117</v>
      </c>
      <c r="J235" s="27">
        <v>1307782</v>
      </c>
      <c r="K235" s="27" t="s">
        <v>119</v>
      </c>
      <c r="L235" s="27">
        <v>1171090</v>
      </c>
      <c r="M235" s="27" t="s">
        <v>118</v>
      </c>
      <c r="N235" s="27" t="s">
        <v>511</v>
      </c>
      <c r="O235" s="27"/>
      <c r="P235" s="27"/>
      <c r="Q235" s="27" t="s">
        <v>181</v>
      </c>
      <c r="R235" s="27" t="s">
        <v>121</v>
      </c>
      <c r="S235" s="27" t="s">
        <v>122</v>
      </c>
      <c r="T235" s="27">
        <v>175.24</v>
      </c>
      <c r="U235" s="27" t="s">
        <v>182</v>
      </c>
      <c r="V235" s="27" t="s">
        <v>63</v>
      </c>
      <c r="W235" s="27" t="s">
        <v>70</v>
      </c>
      <c r="X235" s="27" t="s">
        <v>76</v>
      </c>
      <c r="Y235" s="28">
        <v>42262</v>
      </c>
      <c r="Z235" s="27" t="s">
        <v>64</v>
      </c>
      <c r="AA235" s="28">
        <v>42244</v>
      </c>
      <c r="AB235" s="27"/>
      <c r="AC235" s="27"/>
      <c r="AD235" s="27"/>
      <c r="AE235" s="27" t="s">
        <v>183</v>
      </c>
      <c r="AF235" s="27" t="s">
        <v>509</v>
      </c>
      <c r="AG235" s="27" t="s">
        <v>77</v>
      </c>
      <c r="AH235" s="27" t="s">
        <v>355</v>
      </c>
    </row>
    <row r="236" spans="1:34" x14ac:dyDescent="0.2">
      <c r="A236" s="27">
        <v>10019066</v>
      </c>
      <c r="B236" s="27" t="s">
        <v>26</v>
      </c>
      <c r="C236" s="27" t="s">
        <v>78</v>
      </c>
      <c r="D236" s="28">
        <v>42247</v>
      </c>
      <c r="E236" s="27">
        <v>93495326</v>
      </c>
      <c r="F236" s="28">
        <v>42241</v>
      </c>
      <c r="G236" s="28">
        <v>42243</v>
      </c>
      <c r="H236" s="27">
        <v>1324774</v>
      </c>
      <c r="I236" s="27" t="s">
        <v>389</v>
      </c>
      <c r="J236" s="27">
        <v>1317726</v>
      </c>
      <c r="K236" s="27" t="s">
        <v>389</v>
      </c>
      <c r="L236" s="27">
        <v>1324774</v>
      </c>
      <c r="M236" s="27" t="s">
        <v>389</v>
      </c>
      <c r="N236" s="27">
        <v>150000150122</v>
      </c>
      <c r="O236" s="27"/>
      <c r="P236" s="27"/>
      <c r="Q236" s="27" t="s">
        <v>181</v>
      </c>
      <c r="R236" s="27" t="s">
        <v>67</v>
      </c>
      <c r="S236" s="27" t="s">
        <v>68</v>
      </c>
      <c r="T236" s="27">
        <v>118.8</v>
      </c>
      <c r="U236" s="27" t="s">
        <v>182</v>
      </c>
      <c r="V236" s="27" t="s">
        <v>63</v>
      </c>
      <c r="W236" s="27" t="s">
        <v>94</v>
      </c>
      <c r="X236" s="27" t="s">
        <v>95</v>
      </c>
      <c r="Y236" s="28">
        <v>42257</v>
      </c>
      <c r="Z236" s="27" t="s">
        <v>64</v>
      </c>
      <c r="AA236" s="28">
        <v>42247</v>
      </c>
      <c r="AB236" s="27"/>
      <c r="AC236" s="27"/>
      <c r="AD236" s="27"/>
      <c r="AE236" s="27" t="s">
        <v>183</v>
      </c>
      <c r="AF236" s="27">
        <v>2795193306</v>
      </c>
      <c r="AG236" s="27" t="s">
        <v>96</v>
      </c>
      <c r="AH236" s="27" t="s">
        <v>512</v>
      </c>
    </row>
    <row r="237" spans="1:34" x14ac:dyDescent="0.2">
      <c r="A237" s="27">
        <v>10019067</v>
      </c>
      <c r="B237" s="27" t="s">
        <v>18</v>
      </c>
      <c r="C237" s="27" t="s">
        <v>78</v>
      </c>
      <c r="D237" s="28">
        <v>42247</v>
      </c>
      <c r="E237" s="27">
        <v>93489079</v>
      </c>
      <c r="F237" s="28">
        <v>42236</v>
      </c>
      <c r="G237" s="28">
        <v>42238</v>
      </c>
      <c r="H237" s="27">
        <v>1201494</v>
      </c>
      <c r="I237" s="27" t="s">
        <v>161</v>
      </c>
      <c r="J237" s="27">
        <v>1064093</v>
      </c>
      <c r="K237" s="27" t="s">
        <v>390</v>
      </c>
      <c r="L237" s="27">
        <v>1172005</v>
      </c>
      <c r="M237" s="27" t="s">
        <v>161</v>
      </c>
      <c r="N237" s="27">
        <v>57791</v>
      </c>
      <c r="O237" s="27"/>
      <c r="P237" s="27"/>
      <c r="Q237" s="27" t="s">
        <v>181</v>
      </c>
      <c r="R237" s="27" t="s">
        <v>67</v>
      </c>
      <c r="S237" s="27" t="s">
        <v>68</v>
      </c>
      <c r="T237" s="27">
        <v>2.9</v>
      </c>
      <c r="U237" s="27" t="s">
        <v>182</v>
      </c>
      <c r="V237" s="27" t="s">
        <v>69</v>
      </c>
      <c r="W237" s="27" t="s">
        <v>70</v>
      </c>
      <c r="X237" s="27" t="s">
        <v>76</v>
      </c>
      <c r="Y237" s="28">
        <v>42249</v>
      </c>
      <c r="Z237" s="27" t="s">
        <v>64</v>
      </c>
      <c r="AA237" s="28">
        <v>42247</v>
      </c>
      <c r="AB237" s="27" t="s">
        <v>100</v>
      </c>
      <c r="AC237" s="27">
        <v>61983469</v>
      </c>
      <c r="AD237" s="28">
        <v>42265</v>
      </c>
      <c r="AE237" s="27" t="s">
        <v>183</v>
      </c>
      <c r="AF237" s="27">
        <v>2795192551</v>
      </c>
      <c r="AG237" s="27" t="s">
        <v>77</v>
      </c>
      <c r="AH237" s="27" t="s">
        <v>196</v>
      </c>
    </row>
    <row r="238" spans="1:34" x14ac:dyDescent="0.2">
      <c r="A238" s="27">
        <v>10019068</v>
      </c>
      <c r="B238" s="27" t="s">
        <v>18</v>
      </c>
      <c r="C238" s="27" t="s">
        <v>78</v>
      </c>
      <c r="D238" s="28">
        <v>42247</v>
      </c>
      <c r="E238" s="27">
        <v>93493261</v>
      </c>
      <c r="F238" s="28">
        <v>42240</v>
      </c>
      <c r="G238" s="27"/>
      <c r="H238" s="27">
        <v>1201120</v>
      </c>
      <c r="I238" s="27" t="s">
        <v>117</v>
      </c>
      <c r="J238" s="27">
        <v>1307782</v>
      </c>
      <c r="K238" s="27" t="s">
        <v>119</v>
      </c>
      <c r="L238" s="27">
        <v>1171090</v>
      </c>
      <c r="M238" s="27" t="s">
        <v>118</v>
      </c>
      <c r="N238" s="27" t="s">
        <v>513</v>
      </c>
      <c r="O238" s="27"/>
      <c r="P238" s="27"/>
      <c r="Q238" s="27" t="s">
        <v>181</v>
      </c>
      <c r="R238" s="27" t="s">
        <v>125</v>
      </c>
      <c r="S238" s="27" t="s">
        <v>126</v>
      </c>
      <c r="T238" s="27">
        <v>4822.95</v>
      </c>
      <c r="U238" s="27" t="s">
        <v>182</v>
      </c>
      <c r="V238" s="27" t="s">
        <v>63</v>
      </c>
      <c r="W238" s="27" t="s">
        <v>70</v>
      </c>
      <c r="X238" s="27" t="s">
        <v>76</v>
      </c>
      <c r="Y238" s="28">
        <v>42249</v>
      </c>
      <c r="Z238" s="27" t="s">
        <v>83</v>
      </c>
      <c r="AA238" s="28">
        <v>42247</v>
      </c>
      <c r="AB238" s="27"/>
      <c r="AC238" s="27"/>
      <c r="AD238" s="27"/>
      <c r="AE238" s="27" t="s">
        <v>183</v>
      </c>
      <c r="AF238" s="27" t="s">
        <v>514</v>
      </c>
      <c r="AG238" s="27" t="s">
        <v>77</v>
      </c>
      <c r="AH238" s="27" t="s">
        <v>346</v>
      </c>
    </row>
    <row r="239" spans="1:34" x14ac:dyDescent="0.2">
      <c r="A239" s="27">
        <v>10019069</v>
      </c>
      <c r="B239" s="27" t="s">
        <v>18</v>
      </c>
      <c r="C239" s="27" t="s">
        <v>78</v>
      </c>
      <c r="D239" s="28">
        <v>42247</v>
      </c>
      <c r="E239" s="27">
        <v>93493280</v>
      </c>
      <c r="F239" s="28">
        <v>42240</v>
      </c>
      <c r="G239" s="27"/>
      <c r="H239" s="27">
        <v>1201120</v>
      </c>
      <c r="I239" s="27" t="s">
        <v>117</v>
      </c>
      <c r="J239" s="27">
        <v>1307782</v>
      </c>
      <c r="K239" s="27" t="s">
        <v>119</v>
      </c>
      <c r="L239" s="27">
        <v>1171090</v>
      </c>
      <c r="M239" s="27" t="s">
        <v>118</v>
      </c>
      <c r="N239" s="27" t="s">
        <v>513</v>
      </c>
      <c r="O239" s="27"/>
      <c r="P239" s="27"/>
      <c r="Q239" s="27" t="s">
        <v>181</v>
      </c>
      <c r="R239" s="27" t="s">
        <v>125</v>
      </c>
      <c r="S239" s="27" t="s">
        <v>126</v>
      </c>
      <c r="T239" s="27">
        <v>3042.96</v>
      </c>
      <c r="U239" s="27" t="s">
        <v>182</v>
      </c>
      <c r="V239" s="27" t="s">
        <v>63</v>
      </c>
      <c r="W239" s="27" t="s">
        <v>70</v>
      </c>
      <c r="X239" s="27" t="s">
        <v>76</v>
      </c>
      <c r="Y239" s="28">
        <v>42249</v>
      </c>
      <c r="Z239" s="27" t="s">
        <v>83</v>
      </c>
      <c r="AA239" s="28">
        <v>42247</v>
      </c>
      <c r="AB239" s="27"/>
      <c r="AC239" s="27"/>
      <c r="AD239" s="27"/>
      <c r="AE239" s="27" t="s">
        <v>183</v>
      </c>
      <c r="AF239" s="27" t="s">
        <v>514</v>
      </c>
      <c r="AG239" s="27" t="s">
        <v>77</v>
      </c>
      <c r="AH239" s="27" t="s">
        <v>355</v>
      </c>
    </row>
    <row r="240" spans="1:34" x14ac:dyDescent="0.2">
      <c r="A240" s="27">
        <v>10019070</v>
      </c>
      <c r="B240" s="27" t="s">
        <v>18</v>
      </c>
      <c r="C240" s="27" t="s">
        <v>78</v>
      </c>
      <c r="D240" s="28">
        <v>42247</v>
      </c>
      <c r="E240" s="27">
        <v>93497313</v>
      </c>
      <c r="F240" s="28">
        <v>42242</v>
      </c>
      <c r="G240" s="27"/>
      <c r="H240" s="27">
        <v>1201120</v>
      </c>
      <c r="I240" s="27" t="s">
        <v>117</v>
      </c>
      <c r="J240" s="27">
        <v>1307782</v>
      </c>
      <c r="K240" s="27" t="s">
        <v>119</v>
      </c>
      <c r="L240" s="27">
        <v>1171090</v>
      </c>
      <c r="M240" s="27" t="s">
        <v>118</v>
      </c>
      <c r="N240" s="27" t="s">
        <v>513</v>
      </c>
      <c r="O240" s="27"/>
      <c r="P240" s="27"/>
      <c r="Q240" s="27" t="s">
        <v>181</v>
      </c>
      <c r="R240" s="27" t="s">
        <v>97</v>
      </c>
      <c r="S240" s="27" t="s">
        <v>98</v>
      </c>
      <c r="T240" s="27">
        <v>1130.0999999999999</v>
      </c>
      <c r="U240" s="27" t="s">
        <v>182</v>
      </c>
      <c r="V240" s="27" t="s">
        <v>63</v>
      </c>
      <c r="W240" s="27" t="s">
        <v>70</v>
      </c>
      <c r="X240" s="27" t="s">
        <v>76</v>
      </c>
      <c r="Y240" s="28">
        <v>42249</v>
      </c>
      <c r="Z240" s="27" t="s">
        <v>83</v>
      </c>
      <c r="AA240" s="28">
        <v>42247</v>
      </c>
      <c r="AB240" s="27"/>
      <c r="AC240" s="27"/>
      <c r="AD240" s="27"/>
      <c r="AE240" s="27" t="s">
        <v>183</v>
      </c>
      <c r="AF240" s="27">
        <v>87944972434502</v>
      </c>
      <c r="AG240" s="27" t="s">
        <v>77</v>
      </c>
      <c r="AH240" s="27" t="s">
        <v>191</v>
      </c>
    </row>
    <row r="241" spans="1:34" x14ac:dyDescent="0.2">
      <c r="A241" s="27">
        <v>10019071</v>
      </c>
      <c r="B241" s="27" t="s">
        <v>18</v>
      </c>
      <c r="C241" s="27" t="s">
        <v>78</v>
      </c>
      <c r="D241" s="28">
        <v>42247</v>
      </c>
      <c r="E241" s="27">
        <v>93501568</v>
      </c>
      <c r="F241" s="28">
        <v>42244</v>
      </c>
      <c r="G241" s="27"/>
      <c r="H241" s="27">
        <v>1201120</v>
      </c>
      <c r="I241" s="27" t="s">
        <v>117</v>
      </c>
      <c r="J241" s="27">
        <v>1307782</v>
      </c>
      <c r="K241" s="27" t="s">
        <v>119</v>
      </c>
      <c r="L241" s="27">
        <v>1171090</v>
      </c>
      <c r="M241" s="27" t="s">
        <v>118</v>
      </c>
      <c r="N241" s="27" t="s">
        <v>515</v>
      </c>
      <c r="O241" s="27"/>
      <c r="P241" s="27"/>
      <c r="Q241" s="27" t="s">
        <v>181</v>
      </c>
      <c r="R241" s="27" t="s">
        <v>123</v>
      </c>
      <c r="S241" s="27" t="s">
        <v>124</v>
      </c>
      <c r="T241" s="27">
        <v>9</v>
      </c>
      <c r="U241" s="27" t="s">
        <v>182</v>
      </c>
      <c r="V241" s="27" t="s">
        <v>63</v>
      </c>
      <c r="W241" s="27" t="s">
        <v>70</v>
      </c>
      <c r="X241" s="27" t="s">
        <v>76</v>
      </c>
      <c r="Y241" s="28">
        <v>42249</v>
      </c>
      <c r="Z241" s="27" t="s">
        <v>64</v>
      </c>
      <c r="AA241" s="28">
        <v>42247</v>
      </c>
      <c r="AB241" s="27"/>
      <c r="AC241" s="27"/>
      <c r="AD241" s="27"/>
      <c r="AE241" s="27" t="s">
        <v>183</v>
      </c>
      <c r="AF241" s="27" t="s">
        <v>516</v>
      </c>
      <c r="AG241" s="27" t="s">
        <v>77</v>
      </c>
      <c r="AH241" s="27" t="s">
        <v>196</v>
      </c>
    </row>
    <row r="242" spans="1:34" x14ac:dyDescent="0.2">
      <c r="A242" s="27">
        <v>10019072</v>
      </c>
      <c r="B242" s="27" t="s">
        <v>18</v>
      </c>
      <c r="C242" s="27" t="s">
        <v>78</v>
      </c>
      <c r="D242" s="28">
        <v>42247</v>
      </c>
      <c r="E242" s="27">
        <v>93501570</v>
      </c>
      <c r="F242" s="28">
        <v>42244</v>
      </c>
      <c r="G242" s="27"/>
      <c r="H242" s="27">
        <v>1201120</v>
      </c>
      <c r="I242" s="27" t="s">
        <v>117</v>
      </c>
      <c r="J242" s="27">
        <v>1307782</v>
      </c>
      <c r="K242" s="27" t="s">
        <v>119</v>
      </c>
      <c r="L242" s="27">
        <v>1171090</v>
      </c>
      <c r="M242" s="27" t="s">
        <v>118</v>
      </c>
      <c r="N242" s="27" t="s">
        <v>515</v>
      </c>
      <c r="O242" s="27"/>
      <c r="P242" s="27"/>
      <c r="Q242" s="27" t="s">
        <v>181</v>
      </c>
      <c r="R242" s="27" t="s">
        <v>91</v>
      </c>
      <c r="S242" s="27" t="s">
        <v>92</v>
      </c>
      <c r="T242" s="27">
        <v>298.62</v>
      </c>
      <c r="U242" s="27" t="s">
        <v>182</v>
      </c>
      <c r="V242" s="27" t="s">
        <v>63</v>
      </c>
      <c r="W242" s="27" t="s">
        <v>70</v>
      </c>
      <c r="X242" s="27" t="s">
        <v>76</v>
      </c>
      <c r="Y242" s="28">
        <v>42249</v>
      </c>
      <c r="Z242" s="27" t="s">
        <v>64</v>
      </c>
      <c r="AA242" s="28">
        <v>42247</v>
      </c>
      <c r="AB242" s="27"/>
      <c r="AC242" s="27"/>
      <c r="AD242" s="27"/>
      <c r="AE242" s="27" t="s">
        <v>183</v>
      </c>
      <c r="AF242" s="27" t="s">
        <v>517</v>
      </c>
      <c r="AG242" s="27" t="s">
        <v>77</v>
      </c>
      <c r="AH242" s="27" t="s">
        <v>191</v>
      </c>
    </row>
    <row r="243" spans="1:34" x14ac:dyDescent="0.2">
      <c r="A243" s="27">
        <v>10019073</v>
      </c>
      <c r="B243" s="27" t="s">
        <v>22</v>
      </c>
      <c r="C243" s="27" t="s">
        <v>78</v>
      </c>
      <c r="D243" s="28">
        <v>42247</v>
      </c>
      <c r="E243" s="27">
        <v>93467327</v>
      </c>
      <c r="F243" s="28">
        <v>42220</v>
      </c>
      <c r="G243" s="27"/>
      <c r="H243" s="27">
        <v>1201047</v>
      </c>
      <c r="I243" s="27" t="s">
        <v>79</v>
      </c>
      <c r="J243" s="27">
        <v>1019056</v>
      </c>
      <c r="K243" s="27" t="s">
        <v>80</v>
      </c>
      <c r="L243" s="27">
        <v>1171089</v>
      </c>
      <c r="M243" s="27" t="s">
        <v>75</v>
      </c>
      <c r="N243" s="27">
        <v>41389567</v>
      </c>
      <c r="O243" s="27"/>
      <c r="P243" s="27"/>
      <c r="Q243" s="27" t="s">
        <v>181</v>
      </c>
      <c r="R243" s="27" t="s">
        <v>86</v>
      </c>
      <c r="S243" s="27" t="s">
        <v>87</v>
      </c>
      <c r="T243" s="27">
        <v>31328.639999999999</v>
      </c>
      <c r="U243" s="27" t="s">
        <v>182</v>
      </c>
      <c r="V243" s="27" t="s">
        <v>63</v>
      </c>
      <c r="W243" s="27" t="s">
        <v>94</v>
      </c>
      <c r="X243" s="27" t="s">
        <v>141</v>
      </c>
      <c r="Y243" s="28">
        <v>42249</v>
      </c>
      <c r="Z243" s="27" t="s">
        <v>64</v>
      </c>
      <c r="AA243" s="28">
        <v>42247</v>
      </c>
      <c r="AB243" s="27"/>
      <c r="AC243" s="27"/>
      <c r="AD243" s="27"/>
      <c r="AE243" s="27" t="s">
        <v>183</v>
      </c>
      <c r="AF243" s="27" t="s">
        <v>296</v>
      </c>
      <c r="AG243" s="27" t="s">
        <v>142</v>
      </c>
      <c r="AH243" s="27" t="s">
        <v>518</v>
      </c>
    </row>
    <row r="244" spans="1:34" x14ac:dyDescent="0.2">
      <c r="A244" s="27">
        <v>10019074</v>
      </c>
      <c r="B244" s="27" t="s">
        <v>18</v>
      </c>
      <c r="C244" s="27" t="s">
        <v>78</v>
      </c>
      <c r="D244" s="28">
        <v>42247</v>
      </c>
      <c r="E244" s="27">
        <v>93495272</v>
      </c>
      <c r="F244" s="28">
        <v>42241</v>
      </c>
      <c r="G244" s="28">
        <v>42243</v>
      </c>
      <c r="H244" s="27">
        <v>1201605</v>
      </c>
      <c r="I244" s="27" t="s">
        <v>155</v>
      </c>
      <c r="J244" s="27">
        <v>1023292</v>
      </c>
      <c r="K244" s="27" t="s">
        <v>155</v>
      </c>
      <c r="L244" s="27">
        <v>1172017</v>
      </c>
      <c r="M244" s="27" t="s">
        <v>156</v>
      </c>
      <c r="N244" s="27">
        <v>529824</v>
      </c>
      <c r="O244" s="27"/>
      <c r="P244" s="27"/>
      <c r="Q244" s="27" t="s">
        <v>181</v>
      </c>
      <c r="R244" s="27" t="s">
        <v>67</v>
      </c>
      <c r="S244" s="27" t="s">
        <v>68</v>
      </c>
      <c r="T244" s="27">
        <v>352</v>
      </c>
      <c r="U244" s="27" t="s">
        <v>182</v>
      </c>
      <c r="V244" s="27" t="s">
        <v>63</v>
      </c>
      <c r="W244" s="27" t="s">
        <v>70</v>
      </c>
      <c r="X244" s="27" t="s">
        <v>76</v>
      </c>
      <c r="Y244" s="28">
        <v>42249</v>
      </c>
      <c r="Z244" s="27" t="s">
        <v>64</v>
      </c>
      <c r="AA244" s="28">
        <v>42247</v>
      </c>
      <c r="AB244" s="27"/>
      <c r="AC244" s="27"/>
      <c r="AD244" s="27"/>
      <c r="AE244" s="27" t="s">
        <v>183</v>
      </c>
      <c r="AF244" s="27">
        <v>2795191383</v>
      </c>
      <c r="AG244" s="27" t="s">
        <v>77</v>
      </c>
      <c r="AH244" s="27" t="s">
        <v>216</v>
      </c>
    </row>
    <row r="245" spans="1:34" x14ac:dyDescent="0.2">
      <c r="A245" s="27">
        <v>10019075</v>
      </c>
      <c r="B245" s="27" t="s">
        <v>24</v>
      </c>
      <c r="C245" s="27" t="s">
        <v>78</v>
      </c>
      <c r="D245" s="28">
        <v>42247</v>
      </c>
      <c r="E245" s="27">
        <v>93489006</v>
      </c>
      <c r="F245" s="28">
        <v>42236</v>
      </c>
      <c r="G245" s="28">
        <v>42241</v>
      </c>
      <c r="H245" s="27">
        <v>1201316</v>
      </c>
      <c r="I245" s="27" t="s">
        <v>519</v>
      </c>
      <c r="J245" s="27">
        <v>1027443</v>
      </c>
      <c r="K245" s="27" t="s">
        <v>520</v>
      </c>
      <c r="L245" s="27">
        <v>1171973</v>
      </c>
      <c r="M245" s="27" t="s">
        <v>521</v>
      </c>
      <c r="N245" s="27" t="s">
        <v>522</v>
      </c>
      <c r="O245" s="27"/>
      <c r="P245" s="27"/>
      <c r="Q245" s="27" t="s">
        <v>181</v>
      </c>
      <c r="R245" s="27" t="s">
        <v>67</v>
      </c>
      <c r="S245" s="27" t="s">
        <v>68</v>
      </c>
      <c r="T245" s="27">
        <v>2652</v>
      </c>
      <c r="U245" s="27" t="s">
        <v>182</v>
      </c>
      <c r="V245" s="27" t="s">
        <v>69</v>
      </c>
      <c r="W245" s="27" t="s">
        <v>70</v>
      </c>
      <c r="X245" s="27" t="s">
        <v>71</v>
      </c>
      <c r="Y245" s="28">
        <v>42249</v>
      </c>
      <c r="Z245" s="27" t="s">
        <v>64</v>
      </c>
      <c r="AA245" s="28">
        <v>42247</v>
      </c>
      <c r="AB245" s="27" t="s">
        <v>72</v>
      </c>
      <c r="AC245" s="27">
        <v>61974905</v>
      </c>
      <c r="AD245" s="28">
        <v>42250</v>
      </c>
      <c r="AE245" s="27" t="s">
        <v>183</v>
      </c>
      <c r="AF245" s="27">
        <v>2795192540</v>
      </c>
      <c r="AG245" s="27" t="s">
        <v>73</v>
      </c>
      <c r="AH245" s="27" t="s">
        <v>523</v>
      </c>
    </row>
    <row r="246" spans="1:34" x14ac:dyDescent="0.2">
      <c r="A246" s="27">
        <v>10019076</v>
      </c>
      <c r="B246" s="27" t="s">
        <v>18</v>
      </c>
      <c r="C246" s="27" t="s">
        <v>78</v>
      </c>
      <c r="D246" s="28">
        <v>42247</v>
      </c>
      <c r="E246" s="27">
        <v>93501568</v>
      </c>
      <c r="F246" s="28">
        <v>42244</v>
      </c>
      <c r="G246" s="27"/>
      <c r="H246" s="27">
        <v>1201120</v>
      </c>
      <c r="I246" s="27" t="s">
        <v>117</v>
      </c>
      <c r="J246" s="27">
        <v>1307782</v>
      </c>
      <c r="K246" s="27" t="s">
        <v>119</v>
      </c>
      <c r="L246" s="27">
        <v>1171090</v>
      </c>
      <c r="M246" s="27" t="s">
        <v>118</v>
      </c>
      <c r="N246" s="27" t="s">
        <v>515</v>
      </c>
      <c r="O246" s="27"/>
      <c r="P246" s="27"/>
      <c r="Q246" s="27" t="s">
        <v>181</v>
      </c>
      <c r="R246" s="27" t="s">
        <v>123</v>
      </c>
      <c r="S246" s="27" t="s">
        <v>124</v>
      </c>
      <c r="T246" s="27">
        <v>2640</v>
      </c>
      <c r="U246" s="27" t="s">
        <v>182</v>
      </c>
      <c r="V246" s="27" t="s">
        <v>63</v>
      </c>
      <c r="W246" s="27" t="s">
        <v>70</v>
      </c>
      <c r="X246" s="27" t="s">
        <v>76</v>
      </c>
      <c r="Y246" s="28">
        <v>42249</v>
      </c>
      <c r="Z246" s="27" t="s">
        <v>83</v>
      </c>
      <c r="AA246" s="28">
        <v>42247</v>
      </c>
      <c r="AB246" s="27"/>
      <c r="AC246" s="27"/>
      <c r="AD246" s="27"/>
      <c r="AE246" s="27" t="s">
        <v>183</v>
      </c>
      <c r="AF246" s="27" t="s">
        <v>516</v>
      </c>
      <c r="AG246" s="27" t="s">
        <v>77</v>
      </c>
      <c r="AH246" s="27" t="s">
        <v>524</v>
      </c>
    </row>
    <row r="247" spans="1:34" x14ac:dyDescent="0.2">
      <c r="A247" s="27">
        <v>10019078</v>
      </c>
      <c r="B247" s="27"/>
      <c r="C247" s="27" t="s">
        <v>197</v>
      </c>
      <c r="D247" s="28">
        <v>42247</v>
      </c>
      <c r="E247" s="27">
        <v>93449232</v>
      </c>
      <c r="F247" s="28">
        <v>42206</v>
      </c>
      <c r="G247" s="27"/>
      <c r="H247" s="27">
        <v>1201259</v>
      </c>
      <c r="I247" s="27" t="s">
        <v>525</v>
      </c>
      <c r="J247" s="27">
        <v>1201259</v>
      </c>
      <c r="K247" s="27" t="s">
        <v>525</v>
      </c>
      <c r="L247" s="27">
        <v>1171974</v>
      </c>
      <c r="M247" s="27" t="s">
        <v>525</v>
      </c>
      <c r="N247" s="27">
        <v>14511</v>
      </c>
      <c r="O247" s="27"/>
      <c r="P247" s="27"/>
      <c r="Q247" s="27" t="s">
        <v>181</v>
      </c>
      <c r="R247" s="27" t="s">
        <v>102</v>
      </c>
      <c r="S247" s="27" t="s">
        <v>103</v>
      </c>
      <c r="T247" s="27">
        <v>71455.199999999997</v>
      </c>
      <c r="U247" s="27" t="s">
        <v>182</v>
      </c>
      <c r="V247" s="27" t="s">
        <v>120</v>
      </c>
      <c r="W247" s="27"/>
      <c r="X247" s="27"/>
      <c r="Y247" s="27"/>
      <c r="Z247" s="27"/>
      <c r="AA247" s="27"/>
      <c r="AB247" s="27"/>
      <c r="AC247" s="27"/>
      <c r="AD247" s="27"/>
      <c r="AE247" s="27" t="s">
        <v>183</v>
      </c>
      <c r="AF247" s="27" t="s">
        <v>526</v>
      </c>
      <c r="AG247" s="27"/>
      <c r="AH247" s="27"/>
    </row>
    <row r="248" spans="1:34" x14ac:dyDescent="0.2">
      <c r="A248" s="27">
        <v>10019079</v>
      </c>
      <c r="B248" s="27"/>
      <c r="C248" s="27" t="s">
        <v>197</v>
      </c>
      <c r="D248" s="28">
        <v>42247</v>
      </c>
      <c r="E248" s="27">
        <v>93449231</v>
      </c>
      <c r="F248" s="28">
        <v>42206</v>
      </c>
      <c r="G248" s="27"/>
      <c r="H248" s="27">
        <v>1201259</v>
      </c>
      <c r="I248" s="27" t="s">
        <v>525</v>
      </c>
      <c r="J248" s="27">
        <v>1201259</v>
      </c>
      <c r="K248" s="27" t="s">
        <v>525</v>
      </c>
      <c r="L248" s="27">
        <v>1171974</v>
      </c>
      <c r="M248" s="27" t="s">
        <v>525</v>
      </c>
      <c r="N248" s="27">
        <v>14567</v>
      </c>
      <c r="O248" s="27"/>
      <c r="P248" s="27"/>
      <c r="Q248" s="27" t="s">
        <v>181</v>
      </c>
      <c r="R248" s="27" t="s">
        <v>97</v>
      </c>
      <c r="S248" s="27" t="s">
        <v>98</v>
      </c>
      <c r="T248" s="27">
        <v>22564.799999999999</v>
      </c>
      <c r="U248" s="27" t="s">
        <v>182</v>
      </c>
      <c r="V248" s="27" t="s">
        <v>120</v>
      </c>
      <c r="W248" s="27"/>
      <c r="X248" s="27"/>
      <c r="Y248" s="27"/>
      <c r="Z248" s="27"/>
      <c r="AA248" s="27"/>
      <c r="AB248" s="27"/>
      <c r="AC248" s="27"/>
      <c r="AD248" s="27"/>
      <c r="AE248" s="27" t="s">
        <v>183</v>
      </c>
      <c r="AF248" s="27">
        <v>87944972294915</v>
      </c>
      <c r="AG248" s="27"/>
      <c r="AH248" s="27"/>
    </row>
    <row r="249" spans="1:34" x14ac:dyDescent="0.2">
      <c r="A249" s="27">
        <v>10019081</v>
      </c>
      <c r="B249" s="27" t="s">
        <v>26</v>
      </c>
      <c r="C249" s="27" t="s">
        <v>78</v>
      </c>
      <c r="D249" s="28">
        <v>42247</v>
      </c>
      <c r="E249" s="27">
        <v>93499525</v>
      </c>
      <c r="F249" s="28">
        <v>42243</v>
      </c>
      <c r="G249" s="27"/>
      <c r="H249" s="27">
        <v>1201399</v>
      </c>
      <c r="I249" s="27" t="s">
        <v>144</v>
      </c>
      <c r="J249" s="27">
        <v>1002081</v>
      </c>
      <c r="K249" s="27" t="s">
        <v>145</v>
      </c>
      <c r="L249" s="27">
        <v>1171970</v>
      </c>
      <c r="M249" s="27" t="s">
        <v>144</v>
      </c>
      <c r="N249" s="27">
        <v>8772987703</v>
      </c>
      <c r="O249" s="27"/>
      <c r="P249" s="27"/>
      <c r="Q249" s="27" t="s">
        <v>181</v>
      </c>
      <c r="R249" s="27" t="s">
        <v>97</v>
      </c>
      <c r="S249" s="27" t="s">
        <v>98</v>
      </c>
      <c r="T249" s="27">
        <v>189.99</v>
      </c>
      <c r="U249" s="27" t="s">
        <v>182</v>
      </c>
      <c r="V249" s="27" t="s">
        <v>63</v>
      </c>
      <c r="W249" s="27" t="s">
        <v>105</v>
      </c>
      <c r="X249" s="27" t="s">
        <v>82</v>
      </c>
      <c r="Y249" s="28">
        <v>42262</v>
      </c>
      <c r="Z249" s="27" t="s">
        <v>83</v>
      </c>
      <c r="AA249" s="28">
        <v>42256</v>
      </c>
      <c r="AB249" s="27"/>
      <c r="AC249" s="27"/>
      <c r="AD249" s="27"/>
      <c r="AE249" s="27" t="s">
        <v>183</v>
      </c>
      <c r="AF249" s="27" t="s">
        <v>527</v>
      </c>
      <c r="AG249" s="27" t="s">
        <v>89</v>
      </c>
      <c r="AH249" s="27" t="s">
        <v>528</v>
      </c>
    </row>
    <row r="250" spans="1:34" x14ac:dyDescent="0.2">
      <c r="A250" s="27">
        <v>10019082</v>
      </c>
      <c r="B250" s="27" t="s">
        <v>22</v>
      </c>
      <c r="C250" s="27" t="s">
        <v>78</v>
      </c>
      <c r="D250" s="28">
        <v>42247</v>
      </c>
      <c r="E250" s="27">
        <v>93493284</v>
      </c>
      <c r="F250" s="28">
        <v>42240</v>
      </c>
      <c r="G250" s="27"/>
      <c r="H250" s="27">
        <v>1201120</v>
      </c>
      <c r="I250" s="27" t="s">
        <v>117</v>
      </c>
      <c r="J250" s="27">
        <v>1307782</v>
      </c>
      <c r="K250" s="27" t="s">
        <v>119</v>
      </c>
      <c r="L250" s="27">
        <v>1171090</v>
      </c>
      <c r="M250" s="27" t="s">
        <v>118</v>
      </c>
      <c r="N250" s="27" t="s">
        <v>459</v>
      </c>
      <c r="O250" s="27"/>
      <c r="P250" s="27"/>
      <c r="Q250" s="27" t="s">
        <v>181</v>
      </c>
      <c r="R250" s="27" t="s">
        <v>121</v>
      </c>
      <c r="S250" s="27" t="s">
        <v>122</v>
      </c>
      <c r="T250" s="27">
        <v>144</v>
      </c>
      <c r="U250" s="27" t="s">
        <v>182</v>
      </c>
      <c r="V250" s="27" t="s">
        <v>63</v>
      </c>
      <c r="W250" s="27" t="s">
        <v>94</v>
      </c>
      <c r="X250" s="27" t="s">
        <v>141</v>
      </c>
      <c r="Y250" s="28">
        <v>42258</v>
      </c>
      <c r="Z250" s="27" t="s">
        <v>64</v>
      </c>
      <c r="AA250" s="28">
        <v>42247</v>
      </c>
      <c r="AB250" s="27"/>
      <c r="AC250" s="27"/>
      <c r="AD250" s="27"/>
      <c r="AE250" s="27" t="s">
        <v>183</v>
      </c>
      <c r="AF250" s="27" t="s">
        <v>509</v>
      </c>
      <c r="AG250" s="27" t="s">
        <v>142</v>
      </c>
      <c r="AH250" s="27" t="s">
        <v>529</v>
      </c>
    </row>
    <row r="251" spans="1:34" x14ac:dyDescent="0.2">
      <c r="A251" s="27">
        <v>10019083</v>
      </c>
      <c r="B251" s="27" t="s">
        <v>22</v>
      </c>
      <c r="C251" s="27" t="s">
        <v>78</v>
      </c>
      <c r="D251" s="28">
        <v>42248</v>
      </c>
      <c r="E251" s="27">
        <v>93427699</v>
      </c>
      <c r="F251" s="28">
        <v>42188</v>
      </c>
      <c r="G251" s="27"/>
      <c r="H251" s="27">
        <v>1201120</v>
      </c>
      <c r="I251" s="27" t="s">
        <v>117</v>
      </c>
      <c r="J251" s="27">
        <v>1307782</v>
      </c>
      <c r="K251" s="27" t="s">
        <v>119</v>
      </c>
      <c r="L251" s="27">
        <v>1171090</v>
      </c>
      <c r="M251" s="27" t="s">
        <v>118</v>
      </c>
      <c r="N251" s="27" t="s">
        <v>530</v>
      </c>
      <c r="O251" s="27"/>
      <c r="P251" s="27"/>
      <c r="Q251" s="27" t="s">
        <v>181</v>
      </c>
      <c r="R251" s="27" t="s">
        <v>91</v>
      </c>
      <c r="S251" s="27" t="s">
        <v>92</v>
      </c>
      <c r="T251" s="27">
        <v>5936.76</v>
      </c>
      <c r="U251" s="27" t="s">
        <v>182</v>
      </c>
      <c r="V251" s="27" t="s">
        <v>63</v>
      </c>
      <c r="W251" s="27" t="s">
        <v>94</v>
      </c>
      <c r="X251" s="27" t="s">
        <v>95</v>
      </c>
      <c r="Y251" s="28">
        <v>42249</v>
      </c>
      <c r="Z251" s="27" t="s">
        <v>64</v>
      </c>
      <c r="AA251" s="28">
        <v>42248</v>
      </c>
      <c r="AB251" s="27"/>
      <c r="AC251" s="27"/>
      <c r="AD251" s="27"/>
      <c r="AE251" s="27" t="s">
        <v>183</v>
      </c>
      <c r="AF251" s="27" t="s">
        <v>531</v>
      </c>
      <c r="AG251" s="27" t="s">
        <v>142</v>
      </c>
      <c r="AH251" s="27" t="s">
        <v>532</v>
      </c>
    </row>
    <row r="252" spans="1:34" x14ac:dyDescent="0.2">
      <c r="A252" s="27">
        <v>10019084</v>
      </c>
      <c r="B252" s="27" t="s">
        <v>18</v>
      </c>
      <c r="C252" s="27" t="s">
        <v>78</v>
      </c>
      <c r="D252" s="28">
        <v>42248</v>
      </c>
      <c r="E252" s="27">
        <v>93490429</v>
      </c>
      <c r="F252" s="28">
        <v>42237</v>
      </c>
      <c r="G252" s="28">
        <v>42241</v>
      </c>
      <c r="H252" s="27">
        <v>1201047</v>
      </c>
      <c r="I252" s="27" t="s">
        <v>79</v>
      </c>
      <c r="J252" s="27">
        <v>1307128</v>
      </c>
      <c r="K252" s="27" t="s">
        <v>85</v>
      </c>
      <c r="L252" s="27">
        <v>1171089</v>
      </c>
      <c r="M252" s="27" t="s">
        <v>75</v>
      </c>
      <c r="N252" s="27">
        <v>10482941</v>
      </c>
      <c r="O252" s="27"/>
      <c r="P252" s="27"/>
      <c r="Q252" s="27" t="s">
        <v>181</v>
      </c>
      <c r="R252" s="27" t="s">
        <v>67</v>
      </c>
      <c r="S252" s="27" t="s">
        <v>68</v>
      </c>
      <c r="T252" s="27">
        <v>21172.04</v>
      </c>
      <c r="U252" s="27" t="s">
        <v>182</v>
      </c>
      <c r="V252" s="27" t="s">
        <v>63</v>
      </c>
      <c r="W252" s="27" t="s">
        <v>70</v>
      </c>
      <c r="X252" s="27" t="s">
        <v>76</v>
      </c>
      <c r="Y252" s="28">
        <v>42249</v>
      </c>
      <c r="Z252" s="27" t="s">
        <v>83</v>
      </c>
      <c r="AA252" s="28">
        <v>42249</v>
      </c>
      <c r="AB252" s="27"/>
      <c r="AC252" s="27"/>
      <c r="AD252" s="27"/>
      <c r="AE252" s="27" t="s">
        <v>183</v>
      </c>
      <c r="AF252" s="27">
        <v>2795192676</v>
      </c>
      <c r="AG252" s="27" t="s">
        <v>77</v>
      </c>
      <c r="AH252" s="27" t="s">
        <v>533</v>
      </c>
    </row>
    <row r="253" spans="1:34" x14ac:dyDescent="0.2">
      <c r="A253" s="27">
        <v>10019085</v>
      </c>
      <c r="B253" s="27" t="s">
        <v>18</v>
      </c>
      <c r="C253" s="27" t="s">
        <v>78</v>
      </c>
      <c r="D253" s="28">
        <v>42248</v>
      </c>
      <c r="E253" s="27">
        <v>93493540</v>
      </c>
      <c r="F253" s="28">
        <v>42240</v>
      </c>
      <c r="G253" s="27"/>
      <c r="H253" s="27">
        <v>1201675</v>
      </c>
      <c r="I253" s="27" t="s">
        <v>165</v>
      </c>
      <c r="J253" s="27">
        <v>1201675</v>
      </c>
      <c r="K253" s="27" t="s">
        <v>165</v>
      </c>
      <c r="L253" s="27">
        <v>1172015</v>
      </c>
      <c r="M253" s="27" t="s">
        <v>165</v>
      </c>
      <c r="N253" s="27">
        <v>75494</v>
      </c>
      <c r="O253" s="27"/>
      <c r="P253" s="27"/>
      <c r="Q253" s="27" t="s">
        <v>181</v>
      </c>
      <c r="R253" s="27" t="s">
        <v>102</v>
      </c>
      <c r="S253" s="27" t="s">
        <v>103</v>
      </c>
      <c r="T253" s="27">
        <v>84</v>
      </c>
      <c r="U253" s="27" t="s">
        <v>182</v>
      </c>
      <c r="V253" s="27" t="s">
        <v>63</v>
      </c>
      <c r="W253" s="27" t="s">
        <v>70</v>
      </c>
      <c r="X253" s="27" t="s">
        <v>76</v>
      </c>
      <c r="Y253" s="28">
        <v>42249</v>
      </c>
      <c r="Z253" s="27" t="s">
        <v>64</v>
      </c>
      <c r="AA253" s="28">
        <v>42248</v>
      </c>
      <c r="AB253" s="27"/>
      <c r="AC253" s="27"/>
      <c r="AD253" s="27"/>
      <c r="AE253" s="27" t="s">
        <v>183</v>
      </c>
      <c r="AF253" s="27">
        <v>636808612824</v>
      </c>
      <c r="AG253" s="27" t="s">
        <v>77</v>
      </c>
      <c r="AH253" s="27" t="s">
        <v>386</v>
      </c>
    </row>
    <row r="254" spans="1:34" x14ac:dyDescent="0.2">
      <c r="A254" s="27">
        <v>10019086</v>
      </c>
      <c r="B254" s="27" t="s">
        <v>22</v>
      </c>
      <c r="C254" s="27" t="s">
        <v>78</v>
      </c>
      <c r="D254" s="28">
        <v>42248</v>
      </c>
      <c r="E254" s="27"/>
      <c r="F254" s="27"/>
      <c r="G254" s="27"/>
      <c r="H254" s="27">
        <v>1201675</v>
      </c>
      <c r="I254" s="27" t="s">
        <v>165</v>
      </c>
      <c r="J254" s="27">
        <v>1201675</v>
      </c>
      <c r="K254" s="27" t="s">
        <v>165</v>
      </c>
      <c r="L254" s="27">
        <v>1172015</v>
      </c>
      <c r="M254" s="27" t="s">
        <v>165</v>
      </c>
      <c r="N254" s="27">
        <v>75494</v>
      </c>
      <c r="O254" s="27"/>
      <c r="P254" s="27"/>
      <c r="Q254" s="27" t="s">
        <v>181</v>
      </c>
      <c r="R254" s="27"/>
      <c r="S254" s="27"/>
      <c r="T254" s="27">
        <v>0</v>
      </c>
      <c r="U254" s="27" t="s">
        <v>182</v>
      </c>
      <c r="V254" s="27" t="s">
        <v>63</v>
      </c>
      <c r="W254" s="27" t="s">
        <v>70</v>
      </c>
      <c r="X254" s="27" t="s">
        <v>76</v>
      </c>
      <c r="Y254" s="28">
        <v>42249</v>
      </c>
      <c r="Z254" s="27" t="s">
        <v>64</v>
      </c>
      <c r="AA254" s="28">
        <v>42248</v>
      </c>
      <c r="AB254" s="27"/>
      <c r="AC254" s="27"/>
      <c r="AD254" s="27"/>
      <c r="AE254" s="27" t="s">
        <v>183</v>
      </c>
      <c r="AF254" s="27"/>
      <c r="AG254" s="27" t="s">
        <v>77</v>
      </c>
      <c r="AH254" s="27" t="s">
        <v>534</v>
      </c>
    </row>
    <row r="255" spans="1:34" x14ac:dyDescent="0.2">
      <c r="A255" s="27">
        <v>10019087</v>
      </c>
      <c r="B255" s="27" t="s">
        <v>26</v>
      </c>
      <c r="C255" s="27" t="s">
        <v>78</v>
      </c>
      <c r="D255" s="28">
        <v>42248</v>
      </c>
      <c r="E255" s="27">
        <v>93495322</v>
      </c>
      <c r="F255" s="28">
        <v>42241</v>
      </c>
      <c r="G255" s="28">
        <v>42242</v>
      </c>
      <c r="H255" s="27">
        <v>1319184</v>
      </c>
      <c r="I255" s="27" t="s">
        <v>479</v>
      </c>
      <c r="J255" s="27">
        <v>1319184</v>
      </c>
      <c r="K255" s="27" t="s">
        <v>479</v>
      </c>
      <c r="L255" s="27">
        <v>1319184</v>
      </c>
      <c r="M255" s="27" t="s">
        <v>479</v>
      </c>
      <c r="N255" s="27">
        <v>562729</v>
      </c>
      <c r="O255" s="27"/>
      <c r="P255" s="27"/>
      <c r="Q255" s="27" t="s">
        <v>181</v>
      </c>
      <c r="R255" s="27" t="s">
        <v>67</v>
      </c>
      <c r="S255" s="27" t="s">
        <v>68</v>
      </c>
      <c r="T255" s="27">
        <v>1639.44</v>
      </c>
      <c r="U255" s="27" t="s">
        <v>182</v>
      </c>
      <c r="V255" s="27" t="s">
        <v>63</v>
      </c>
      <c r="W255" s="27" t="s">
        <v>94</v>
      </c>
      <c r="X255" s="27" t="s">
        <v>95</v>
      </c>
      <c r="Y255" s="28">
        <v>42250</v>
      </c>
      <c r="Z255" s="27" t="s">
        <v>83</v>
      </c>
      <c r="AA255" s="28">
        <v>42249</v>
      </c>
      <c r="AB255" s="27"/>
      <c r="AC255" s="27"/>
      <c r="AD255" s="27"/>
      <c r="AE255" s="27" t="s">
        <v>183</v>
      </c>
      <c r="AF255" s="27">
        <v>2795191346</v>
      </c>
      <c r="AG255" s="27" t="s">
        <v>96</v>
      </c>
      <c r="AH255" s="27" t="s">
        <v>535</v>
      </c>
    </row>
    <row r="256" spans="1:34" x14ac:dyDescent="0.2">
      <c r="A256" s="27">
        <v>10019088</v>
      </c>
      <c r="B256" s="27" t="s">
        <v>18</v>
      </c>
      <c r="C256" s="27" t="s">
        <v>78</v>
      </c>
      <c r="D256" s="28">
        <v>42248</v>
      </c>
      <c r="E256" s="27">
        <v>93501426</v>
      </c>
      <c r="F256" s="28">
        <v>42244</v>
      </c>
      <c r="G256" s="27"/>
      <c r="H256" s="27">
        <v>1201047</v>
      </c>
      <c r="I256" s="27" t="s">
        <v>79</v>
      </c>
      <c r="J256" s="27">
        <v>1300235</v>
      </c>
      <c r="K256" s="27" t="s">
        <v>109</v>
      </c>
      <c r="L256" s="27">
        <v>1171089</v>
      </c>
      <c r="M256" s="27" t="s">
        <v>75</v>
      </c>
      <c r="N256" s="27">
        <v>8366754</v>
      </c>
      <c r="O256" s="27"/>
      <c r="P256" s="27"/>
      <c r="Q256" s="27" t="s">
        <v>181</v>
      </c>
      <c r="R256" s="27" t="s">
        <v>91</v>
      </c>
      <c r="S256" s="27" t="s">
        <v>92</v>
      </c>
      <c r="T256" s="27">
        <v>1392.81</v>
      </c>
      <c r="U256" s="27" t="s">
        <v>182</v>
      </c>
      <c r="V256" s="27" t="s">
        <v>63</v>
      </c>
      <c r="W256" s="27" t="s">
        <v>70</v>
      </c>
      <c r="X256" s="27" t="s">
        <v>76</v>
      </c>
      <c r="Y256" s="28">
        <v>42249</v>
      </c>
      <c r="Z256" s="27" t="s">
        <v>83</v>
      </c>
      <c r="AA256" s="28">
        <v>42249</v>
      </c>
      <c r="AB256" s="27"/>
      <c r="AC256" s="27"/>
      <c r="AD256" s="27"/>
      <c r="AE256" s="27" t="s">
        <v>183</v>
      </c>
      <c r="AF256" s="27" t="s">
        <v>536</v>
      </c>
      <c r="AG256" s="27" t="s">
        <v>77</v>
      </c>
      <c r="AH256" s="27" t="s">
        <v>537</v>
      </c>
    </row>
    <row r="257" spans="1:34" x14ac:dyDescent="0.2">
      <c r="A257" s="27">
        <v>10019089</v>
      </c>
      <c r="B257" s="27" t="s">
        <v>18</v>
      </c>
      <c r="C257" s="27" t="s">
        <v>78</v>
      </c>
      <c r="D257" s="28">
        <v>42248</v>
      </c>
      <c r="E257" s="27">
        <v>93501695</v>
      </c>
      <c r="F257" s="28">
        <v>42244</v>
      </c>
      <c r="G257" s="28">
        <v>42247</v>
      </c>
      <c r="H257" s="27">
        <v>1201494</v>
      </c>
      <c r="I257" s="27" t="s">
        <v>161</v>
      </c>
      <c r="J257" s="27">
        <v>1064093</v>
      </c>
      <c r="K257" s="27" t="s">
        <v>390</v>
      </c>
      <c r="L257" s="27">
        <v>1172005</v>
      </c>
      <c r="M257" s="27" t="s">
        <v>161</v>
      </c>
      <c r="N257" s="27">
        <v>60402</v>
      </c>
      <c r="O257" s="27"/>
      <c r="P257" s="27"/>
      <c r="Q257" s="27" t="s">
        <v>181</v>
      </c>
      <c r="R257" s="27" t="s">
        <v>67</v>
      </c>
      <c r="S257" s="27" t="s">
        <v>68</v>
      </c>
      <c r="T257" s="27">
        <v>2672.28</v>
      </c>
      <c r="U257" s="27" t="s">
        <v>182</v>
      </c>
      <c r="V257" s="27" t="s">
        <v>63</v>
      </c>
      <c r="W257" s="27" t="s">
        <v>70</v>
      </c>
      <c r="X257" s="27" t="s">
        <v>76</v>
      </c>
      <c r="Y257" s="28">
        <v>42249</v>
      </c>
      <c r="Z257" s="27" t="s">
        <v>83</v>
      </c>
      <c r="AA257" s="28">
        <v>42249</v>
      </c>
      <c r="AB257" s="27"/>
      <c r="AC257" s="27"/>
      <c r="AD257" s="27"/>
      <c r="AE257" s="27" t="s">
        <v>183</v>
      </c>
      <c r="AF257" s="27">
        <v>2795191755</v>
      </c>
      <c r="AG257" s="27" t="s">
        <v>77</v>
      </c>
      <c r="AH257" s="27" t="s">
        <v>538</v>
      </c>
    </row>
    <row r="258" spans="1:34" x14ac:dyDescent="0.2">
      <c r="A258" s="27">
        <v>10019090</v>
      </c>
      <c r="B258" s="27" t="s">
        <v>18</v>
      </c>
      <c r="C258" s="27" t="s">
        <v>78</v>
      </c>
      <c r="D258" s="28">
        <v>42248</v>
      </c>
      <c r="E258" s="27">
        <v>93497059</v>
      </c>
      <c r="F258" s="28">
        <v>42242</v>
      </c>
      <c r="G258" s="28">
        <v>42244</v>
      </c>
      <c r="H258" s="27">
        <v>1022013</v>
      </c>
      <c r="I258" s="27" t="s">
        <v>114</v>
      </c>
      <c r="J258" s="27">
        <v>1022013</v>
      </c>
      <c r="K258" s="27" t="s">
        <v>114</v>
      </c>
      <c r="L258" s="27">
        <v>1022013</v>
      </c>
      <c r="M258" s="27" t="s">
        <v>114</v>
      </c>
      <c r="N258" s="27">
        <v>74742</v>
      </c>
      <c r="O258" s="27"/>
      <c r="P258" s="27"/>
      <c r="Q258" s="27" t="s">
        <v>181</v>
      </c>
      <c r="R258" s="27" t="s">
        <v>67</v>
      </c>
      <c r="S258" s="27" t="s">
        <v>68</v>
      </c>
      <c r="T258" s="27">
        <v>33.76</v>
      </c>
      <c r="U258" s="27" t="s">
        <v>182</v>
      </c>
      <c r="V258" s="27" t="s">
        <v>63</v>
      </c>
      <c r="W258" s="27" t="s">
        <v>70</v>
      </c>
      <c r="X258" s="27" t="s">
        <v>76</v>
      </c>
      <c r="Y258" s="28">
        <v>42249</v>
      </c>
      <c r="Z258" s="27" t="s">
        <v>64</v>
      </c>
      <c r="AA258" s="28">
        <v>42248</v>
      </c>
      <c r="AB258" s="27"/>
      <c r="AC258" s="27"/>
      <c r="AD258" s="27"/>
      <c r="AE258" s="27" t="s">
        <v>183</v>
      </c>
      <c r="AF258" s="27">
        <v>2795191442</v>
      </c>
      <c r="AG258" s="27" t="s">
        <v>77</v>
      </c>
      <c r="AH258" s="27" t="s">
        <v>539</v>
      </c>
    </row>
    <row r="259" spans="1:34" x14ac:dyDescent="0.2">
      <c r="A259" s="27">
        <v>10019091</v>
      </c>
      <c r="B259" s="27" t="s">
        <v>18</v>
      </c>
      <c r="C259" s="27" t="s">
        <v>78</v>
      </c>
      <c r="D259" s="28">
        <v>42248</v>
      </c>
      <c r="E259" s="27">
        <v>93499429</v>
      </c>
      <c r="F259" s="28">
        <v>42243</v>
      </c>
      <c r="G259" s="27"/>
      <c r="H259" s="27">
        <v>1201120</v>
      </c>
      <c r="I259" s="27" t="s">
        <v>117</v>
      </c>
      <c r="J259" s="27">
        <v>1307782</v>
      </c>
      <c r="K259" s="27" t="s">
        <v>119</v>
      </c>
      <c r="L259" s="27">
        <v>1171090</v>
      </c>
      <c r="M259" s="27" t="s">
        <v>118</v>
      </c>
      <c r="N259" s="27" t="s">
        <v>226</v>
      </c>
      <c r="O259" s="27"/>
      <c r="P259" s="27"/>
      <c r="Q259" s="27" t="s">
        <v>181</v>
      </c>
      <c r="R259" s="27" t="s">
        <v>97</v>
      </c>
      <c r="S259" s="27" t="s">
        <v>98</v>
      </c>
      <c r="T259" s="27">
        <v>528</v>
      </c>
      <c r="U259" s="27" t="s">
        <v>182</v>
      </c>
      <c r="V259" s="27" t="s">
        <v>63</v>
      </c>
      <c r="W259" s="27" t="s">
        <v>70</v>
      </c>
      <c r="X259" s="27" t="s">
        <v>76</v>
      </c>
      <c r="Y259" s="28">
        <v>42249</v>
      </c>
      <c r="Z259" s="27" t="s">
        <v>64</v>
      </c>
      <c r="AA259" s="28">
        <v>42248</v>
      </c>
      <c r="AB259" s="27"/>
      <c r="AC259" s="27"/>
      <c r="AD259" s="27"/>
      <c r="AE259" s="27" t="s">
        <v>183</v>
      </c>
      <c r="AF259" s="27" t="s">
        <v>540</v>
      </c>
      <c r="AG259" s="27" t="s">
        <v>77</v>
      </c>
      <c r="AH259" s="27" t="s">
        <v>170</v>
      </c>
    </row>
    <row r="260" spans="1:34" x14ac:dyDescent="0.2">
      <c r="A260" s="27">
        <v>10019092</v>
      </c>
      <c r="B260" s="27" t="s">
        <v>25</v>
      </c>
      <c r="C260" s="27" t="s">
        <v>78</v>
      </c>
      <c r="D260" s="28">
        <v>42248</v>
      </c>
      <c r="E260" s="27"/>
      <c r="F260" s="27"/>
      <c r="G260" s="27"/>
      <c r="H260" s="27">
        <v>1201687</v>
      </c>
      <c r="I260" s="27" t="s">
        <v>167</v>
      </c>
      <c r="J260" s="27">
        <v>1016686</v>
      </c>
      <c r="K260" s="27" t="s">
        <v>541</v>
      </c>
      <c r="L260" s="27">
        <v>1172012</v>
      </c>
      <c r="M260" s="27" t="s">
        <v>167</v>
      </c>
      <c r="N260" s="27">
        <v>3205172754</v>
      </c>
      <c r="O260" s="27"/>
      <c r="P260" s="27"/>
      <c r="Q260" s="27" t="s">
        <v>181</v>
      </c>
      <c r="R260" s="27"/>
      <c r="S260" s="27"/>
      <c r="T260" s="27">
        <v>0</v>
      </c>
      <c r="U260" s="27" t="s">
        <v>182</v>
      </c>
      <c r="V260" s="27" t="s">
        <v>63</v>
      </c>
      <c r="W260" s="27" t="s">
        <v>94</v>
      </c>
      <c r="X260" s="27" t="s">
        <v>82</v>
      </c>
      <c r="Y260" s="28">
        <v>42262</v>
      </c>
      <c r="Z260" s="27" t="s">
        <v>64</v>
      </c>
      <c r="AA260" s="28">
        <v>42248</v>
      </c>
      <c r="AB260" s="27"/>
      <c r="AC260" s="27"/>
      <c r="AD260" s="27"/>
      <c r="AE260" s="27" t="s">
        <v>183</v>
      </c>
      <c r="AF260" s="27"/>
      <c r="AG260" s="27" t="s">
        <v>142</v>
      </c>
      <c r="AH260" s="27" t="s">
        <v>542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29"/>
  <sheetViews>
    <sheetView workbookViewId="0">
      <selection sqref="A1:AP229"/>
    </sheetView>
  </sheetViews>
  <sheetFormatPr defaultRowHeight="12.75" x14ac:dyDescent="0.2"/>
  <sheetData>
    <row r="1" spans="1:42" x14ac:dyDescent="0.2">
      <c r="A1" s="29" t="s">
        <v>31</v>
      </c>
      <c r="B1" s="29" t="s">
        <v>4</v>
      </c>
      <c r="C1" s="29" t="s">
        <v>32</v>
      </c>
      <c r="D1" s="29" t="s">
        <v>33</v>
      </c>
      <c r="E1" s="29" t="s">
        <v>175</v>
      </c>
      <c r="F1" s="29" t="s">
        <v>34</v>
      </c>
      <c r="G1" s="29" t="s">
        <v>176</v>
      </c>
      <c r="H1" s="29" t="s">
        <v>35</v>
      </c>
      <c r="I1" s="29" t="s">
        <v>36</v>
      </c>
      <c r="J1" s="29" t="s">
        <v>37</v>
      </c>
      <c r="K1" s="29" t="s">
        <v>38</v>
      </c>
      <c r="L1" s="29" t="s">
        <v>39</v>
      </c>
      <c r="M1" s="29" t="s">
        <v>40</v>
      </c>
      <c r="N1" s="29" t="s">
        <v>41</v>
      </c>
      <c r="O1" s="29" t="s">
        <v>177</v>
      </c>
      <c r="P1" s="29" t="s">
        <v>42</v>
      </c>
      <c r="Q1" s="29" t="s">
        <v>178</v>
      </c>
      <c r="R1" s="29" t="s">
        <v>43</v>
      </c>
      <c r="S1" s="29" t="s">
        <v>44</v>
      </c>
      <c r="T1" s="29" t="s">
        <v>45</v>
      </c>
      <c r="U1" s="29" t="s">
        <v>179</v>
      </c>
      <c r="V1" s="29" t="s">
        <v>543</v>
      </c>
      <c r="W1" s="29" t="s">
        <v>46</v>
      </c>
      <c r="X1" s="29" t="s">
        <v>47</v>
      </c>
      <c r="Y1" s="29" t="s">
        <v>48</v>
      </c>
      <c r="Z1" s="29" t="s">
        <v>49</v>
      </c>
      <c r="AA1" s="29" t="s">
        <v>50</v>
      </c>
      <c r="AB1" s="29" t="s">
        <v>51</v>
      </c>
      <c r="AC1" s="29" t="s">
        <v>52</v>
      </c>
      <c r="AD1" s="29" t="s">
        <v>53</v>
      </c>
      <c r="AE1" s="29" t="s">
        <v>54</v>
      </c>
      <c r="AF1" s="29" t="s">
        <v>180</v>
      </c>
      <c r="AG1" s="29" t="s">
        <v>544</v>
      </c>
      <c r="AH1" s="29" t="s">
        <v>545</v>
      </c>
      <c r="AI1" s="29" t="s">
        <v>546</v>
      </c>
      <c r="AJ1" s="29" t="s">
        <v>547</v>
      </c>
      <c r="AK1" s="29" t="s">
        <v>548</v>
      </c>
      <c r="AL1" s="29" t="s">
        <v>549</v>
      </c>
      <c r="AM1" s="29" t="s">
        <v>550</v>
      </c>
      <c r="AN1" s="29" t="s">
        <v>55</v>
      </c>
      <c r="AO1" s="29" t="s">
        <v>56</v>
      </c>
      <c r="AP1" s="29" t="s">
        <v>57</v>
      </c>
    </row>
    <row r="2" spans="1:42" x14ac:dyDescent="0.2">
      <c r="A2" s="30">
        <v>10019083</v>
      </c>
      <c r="B2" s="30" t="s">
        <v>22</v>
      </c>
      <c r="C2" s="30" t="s">
        <v>78</v>
      </c>
      <c r="D2" s="32">
        <v>42248</v>
      </c>
      <c r="E2" s="30">
        <v>93427699</v>
      </c>
      <c r="F2" s="32">
        <v>42188</v>
      </c>
      <c r="G2" s="30"/>
      <c r="H2" s="30">
        <v>1201120</v>
      </c>
      <c r="I2" s="30" t="s">
        <v>117</v>
      </c>
      <c r="J2" s="30">
        <v>1307782</v>
      </c>
      <c r="K2" s="30" t="s">
        <v>119</v>
      </c>
      <c r="L2" s="30">
        <v>1171090</v>
      </c>
      <c r="M2" s="30" t="s">
        <v>118</v>
      </c>
      <c r="N2" s="30" t="s">
        <v>530</v>
      </c>
      <c r="O2" s="30"/>
      <c r="P2" s="30"/>
      <c r="Q2" s="30" t="s">
        <v>181</v>
      </c>
      <c r="R2" s="30" t="s">
        <v>91</v>
      </c>
      <c r="S2" s="30" t="s">
        <v>92</v>
      </c>
      <c r="T2" s="30">
        <v>5936.76</v>
      </c>
      <c r="U2" s="30" t="s">
        <v>182</v>
      </c>
      <c r="V2" s="30"/>
      <c r="W2" s="30" t="s">
        <v>63</v>
      </c>
      <c r="X2" s="30" t="s">
        <v>94</v>
      </c>
      <c r="Y2" s="30" t="s">
        <v>95</v>
      </c>
      <c r="Z2" s="32">
        <v>42249</v>
      </c>
      <c r="AA2" s="30" t="s">
        <v>64</v>
      </c>
      <c r="AB2" s="32">
        <v>42248</v>
      </c>
      <c r="AC2" s="30"/>
      <c r="AD2" s="30"/>
      <c r="AE2" s="30"/>
      <c r="AF2" s="30" t="s">
        <v>183</v>
      </c>
      <c r="AG2" s="30"/>
      <c r="AH2" s="30">
        <v>0</v>
      </c>
      <c r="AI2" s="30"/>
      <c r="AJ2" s="30"/>
      <c r="AK2" s="30">
        <v>0</v>
      </c>
      <c r="AL2" s="30">
        <v>0</v>
      </c>
      <c r="AM2" s="30">
        <v>0</v>
      </c>
      <c r="AN2" s="30" t="s">
        <v>531</v>
      </c>
      <c r="AO2" s="30" t="s">
        <v>142</v>
      </c>
      <c r="AP2" s="30" t="s">
        <v>532</v>
      </c>
    </row>
    <row r="3" spans="1:42" x14ac:dyDescent="0.2">
      <c r="A3" s="31">
        <v>10019084</v>
      </c>
      <c r="B3" s="31" t="s">
        <v>18</v>
      </c>
      <c r="C3" s="31" t="s">
        <v>78</v>
      </c>
      <c r="D3" s="33">
        <v>42248</v>
      </c>
      <c r="E3" s="31">
        <v>93490429</v>
      </c>
      <c r="F3" s="33">
        <v>42237</v>
      </c>
      <c r="G3" s="33">
        <v>42241</v>
      </c>
      <c r="H3" s="31">
        <v>1201047</v>
      </c>
      <c r="I3" s="31" t="s">
        <v>79</v>
      </c>
      <c r="J3" s="31">
        <v>1307128</v>
      </c>
      <c r="K3" s="31" t="s">
        <v>85</v>
      </c>
      <c r="L3" s="31">
        <v>1171089</v>
      </c>
      <c r="M3" s="31" t="s">
        <v>75</v>
      </c>
      <c r="N3" s="31">
        <v>10482941</v>
      </c>
      <c r="O3" s="31"/>
      <c r="P3" s="31"/>
      <c r="Q3" s="31" t="s">
        <v>181</v>
      </c>
      <c r="R3" s="31" t="s">
        <v>67</v>
      </c>
      <c r="S3" s="31" t="s">
        <v>68</v>
      </c>
      <c r="T3" s="31">
        <v>21172.04</v>
      </c>
      <c r="U3" s="31" t="s">
        <v>182</v>
      </c>
      <c r="V3" s="31"/>
      <c r="W3" s="31" t="s">
        <v>63</v>
      </c>
      <c r="X3" s="31" t="s">
        <v>70</v>
      </c>
      <c r="Y3" s="31" t="s">
        <v>76</v>
      </c>
      <c r="Z3" s="33">
        <v>42249</v>
      </c>
      <c r="AA3" s="31" t="s">
        <v>83</v>
      </c>
      <c r="AB3" s="33">
        <v>42249</v>
      </c>
      <c r="AC3" s="31"/>
      <c r="AD3" s="31"/>
      <c r="AE3" s="31"/>
      <c r="AF3" s="31" t="s">
        <v>183</v>
      </c>
      <c r="AG3" s="31"/>
      <c r="AH3" s="31">
        <v>0</v>
      </c>
      <c r="AI3" s="31"/>
      <c r="AJ3" s="31"/>
      <c r="AK3" s="31">
        <v>0</v>
      </c>
      <c r="AL3" s="31">
        <v>0</v>
      </c>
      <c r="AM3" s="31">
        <v>0</v>
      </c>
      <c r="AN3" s="31">
        <v>2795192676</v>
      </c>
      <c r="AO3" s="31" t="s">
        <v>77</v>
      </c>
      <c r="AP3" s="31" t="s">
        <v>533</v>
      </c>
    </row>
    <row r="4" spans="1:42" x14ac:dyDescent="0.2">
      <c r="A4" s="31">
        <v>10019085</v>
      </c>
      <c r="B4" s="31" t="s">
        <v>18</v>
      </c>
      <c r="C4" s="31" t="s">
        <v>78</v>
      </c>
      <c r="D4" s="33">
        <v>42248</v>
      </c>
      <c r="E4" s="31">
        <v>93493540</v>
      </c>
      <c r="F4" s="33">
        <v>42240</v>
      </c>
      <c r="G4" s="31"/>
      <c r="H4" s="31">
        <v>1201675</v>
      </c>
      <c r="I4" s="31" t="s">
        <v>165</v>
      </c>
      <c r="J4" s="31">
        <v>1201675</v>
      </c>
      <c r="K4" s="31" t="s">
        <v>165</v>
      </c>
      <c r="L4" s="31">
        <v>1172015</v>
      </c>
      <c r="M4" s="31" t="s">
        <v>165</v>
      </c>
      <c r="N4" s="31">
        <v>75494</v>
      </c>
      <c r="O4" s="31"/>
      <c r="P4" s="31"/>
      <c r="Q4" s="31" t="s">
        <v>181</v>
      </c>
      <c r="R4" s="31" t="s">
        <v>102</v>
      </c>
      <c r="S4" s="31" t="s">
        <v>103</v>
      </c>
      <c r="T4" s="31">
        <v>84</v>
      </c>
      <c r="U4" s="31" t="s">
        <v>182</v>
      </c>
      <c r="V4" s="31"/>
      <c r="W4" s="31" t="s">
        <v>63</v>
      </c>
      <c r="X4" s="31" t="s">
        <v>70</v>
      </c>
      <c r="Y4" s="31" t="s">
        <v>76</v>
      </c>
      <c r="Z4" s="33">
        <v>42249</v>
      </c>
      <c r="AA4" s="31" t="s">
        <v>64</v>
      </c>
      <c r="AB4" s="33">
        <v>42248</v>
      </c>
      <c r="AC4" s="31"/>
      <c r="AD4" s="31"/>
      <c r="AE4" s="31"/>
      <c r="AF4" s="31" t="s">
        <v>183</v>
      </c>
      <c r="AG4" s="31"/>
      <c r="AH4" s="31">
        <v>0</v>
      </c>
      <c r="AI4" s="31"/>
      <c r="AJ4" s="31"/>
      <c r="AK4" s="31">
        <v>0</v>
      </c>
      <c r="AL4" s="31">
        <v>0</v>
      </c>
      <c r="AM4" s="31">
        <v>0</v>
      </c>
      <c r="AN4" s="31">
        <v>636808612824</v>
      </c>
      <c r="AO4" s="31" t="s">
        <v>77</v>
      </c>
      <c r="AP4" s="31" t="s">
        <v>386</v>
      </c>
    </row>
    <row r="5" spans="1:42" x14ac:dyDescent="0.2">
      <c r="A5" s="31">
        <v>10019086</v>
      </c>
      <c r="B5" s="31" t="s">
        <v>22</v>
      </c>
      <c r="C5" s="31" t="s">
        <v>78</v>
      </c>
      <c r="D5" s="33">
        <v>42248</v>
      </c>
      <c r="E5" s="31"/>
      <c r="F5" s="31"/>
      <c r="G5" s="31"/>
      <c r="H5" s="31">
        <v>1201675</v>
      </c>
      <c r="I5" s="31" t="s">
        <v>165</v>
      </c>
      <c r="J5" s="31">
        <v>1201675</v>
      </c>
      <c r="K5" s="31" t="s">
        <v>165</v>
      </c>
      <c r="L5" s="31">
        <v>1172015</v>
      </c>
      <c r="M5" s="31" t="s">
        <v>165</v>
      </c>
      <c r="N5" s="31">
        <v>75494</v>
      </c>
      <c r="O5" s="31"/>
      <c r="P5" s="31"/>
      <c r="Q5" s="31" t="s">
        <v>181</v>
      </c>
      <c r="R5" s="31"/>
      <c r="S5" s="31"/>
      <c r="T5" s="31">
        <v>0</v>
      </c>
      <c r="U5" s="31" t="s">
        <v>182</v>
      </c>
      <c r="V5" s="31"/>
      <c r="W5" s="31" t="s">
        <v>63</v>
      </c>
      <c r="X5" s="31" t="s">
        <v>70</v>
      </c>
      <c r="Y5" s="31" t="s">
        <v>76</v>
      </c>
      <c r="Z5" s="33">
        <v>42249</v>
      </c>
      <c r="AA5" s="31" t="s">
        <v>64</v>
      </c>
      <c r="AB5" s="33">
        <v>42248</v>
      </c>
      <c r="AC5" s="31"/>
      <c r="AD5" s="31"/>
      <c r="AE5" s="31"/>
      <c r="AF5" s="31" t="s">
        <v>183</v>
      </c>
      <c r="AG5" s="31"/>
      <c r="AH5" s="31">
        <v>0</v>
      </c>
      <c r="AI5" s="31"/>
      <c r="AJ5" s="31"/>
      <c r="AK5" s="31">
        <v>0</v>
      </c>
      <c r="AL5" s="31">
        <v>0</v>
      </c>
      <c r="AM5" s="31">
        <v>0</v>
      </c>
      <c r="AN5" s="31"/>
      <c r="AO5" s="31" t="s">
        <v>77</v>
      </c>
      <c r="AP5" s="31" t="s">
        <v>534</v>
      </c>
    </row>
    <row r="6" spans="1:42" x14ac:dyDescent="0.2">
      <c r="A6" s="31">
        <v>10019087</v>
      </c>
      <c r="B6" s="31" t="s">
        <v>26</v>
      </c>
      <c r="C6" s="31" t="s">
        <v>78</v>
      </c>
      <c r="D6" s="33">
        <v>42248</v>
      </c>
      <c r="E6" s="31">
        <v>93495322</v>
      </c>
      <c r="F6" s="33">
        <v>42241</v>
      </c>
      <c r="G6" s="33">
        <v>42242</v>
      </c>
      <c r="H6" s="31">
        <v>1319184</v>
      </c>
      <c r="I6" s="31" t="s">
        <v>479</v>
      </c>
      <c r="J6" s="31">
        <v>1319184</v>
      </c>
      <c r="K6" s="31" t="s">
        <v>479</v>
      </c>
      <c r="L6" s="31">
        <v>1319184</v>
      </c>
      <c r="M6" s="31" t="s">
        <v>479</v>
      </c>
      <c r="N6" s="31">
        <v>562729</v>
      </c>
      <c r="O6" s="31"/>
      <c r="P6" s="31"/>
      <c r="Q6" s="31" t="s">
        <v>181</v>
      </c>
      <c r="R6" s="31" t="s">
        <v>67</v>
      </c>
      <c r="S6" s="31" t="s">
        <v>68</v>
      </c>
      <c r="T6" s="31">
        <v>1639.44</v>
      </c>
      <c r="U6" s="31" t="s">
        <v>182</v>
      </c>
      <c r="V6" s="31"/>
      <c r="W6" s="31" t="s">
        <v>63</v>
      </c>
      <c r="X6" s="31" t="s">
        <v>94</v>
      </c>
      <c r="Y6" s="31" t="s">
        <v>95</v>
      </c>
      <c r="Z6" s="33">
        <v>42250</v>
      </c>
      <c r="AA6" s="31" t="s">
        <v>83</v>
      </c>
      <c r="AB6" s="33">
        <v>42249</v>
      </c>
      <c r="AC6" s="31"/>
      <c r="AD6" s="31"/>
      <c r="AE6" s="31"/>
      <c r="AF6" s="31" t="s">
        <v>183</v>
      </c>
      <c r="AG6" s="31"/>
      <c r="AH6" s="31">
        <v>0</v>
      </c>
      <c r="AI6" s="31"/>
      <c r="AJ6" s="31"/>
      <c r="AK6" s="31">
        <v>0</v>
      </c>
      <c r="AL6" s="31">
        <v>0</v>
      </c>
      <c r="AM6" s="31">
        <v>0</v>
      </c>
      <c r="AN6" s="31">
        <v>2795191346</v>
      </c>
      <c r="AO6" s="31" t="s">
        <v>96</v>
      </c>
      <c r="AP6" s="31" t="s">
        <v>535</v>
      </c>
    </row>
    <row r="7" spans="1:42" x14ac:dyDescent="0.2">
      <c r="A7" s="31">
        <v>10019088</v>
      </c>
      <c r="B7" s="31" t="s">
        <v>18</v>
      </c>
      <c r="C7" s="31" t="s">
        <v>78</v>
      </c>
      <c r="D7" s="33">
        <v>42248</v>
      </c>
      <c r="E7" s="31">
        <v>93501426</v>
      </c>
      <c r="F7" s="33">
        <v>42244</v>
      </c>
      <c r="G7" s="31"/>
      <c r="H7" s="31">
        <v>1201047</v>
      </c>
      <c r="I7" s="31" t="s">
        <v>79</v>
      </c>
      <c r="J7" s="31">
        <v>1300235</v>
      </c>
      <c r="K7" s="31" t="s">
        <v>109</v>
      </c>
      <c r="L7" s="31">
        <v>1171089</v>
      </c>
      <c r="M7" s="31" t="s">
        <v>75</v>
      </c>
      <c r="N7" s="31">
        <v>8366754</v>
      </c>
      <c r="O7" s="31"/>
      <c r="P7" s="31"/>
      <c r="Q7" s="31" t="s">
        <v>181</v>
      </c>
      <c r="R7" s="31" t="s">
        <v>91</v>
      </c>
      <c r="S7" s="31" t="s">
        <v>92</v>
      </c>
      <c r="T7" s="31">
        <v>1392.81</v>
      </c>
      <c r="U7" s="31" t="s">
        <v>182</v>
      </c>
      <c r="V7" s="31"/>
      <c r="W7" s="31" t="s">
        <v>63</v>
      </c>
      <c r="X7" s="31" t="s">
        <v>70</v>
      </c>
      <c r="Y7" s="31" t="s">
        <v>76</v>
      </c>
      <c r="Z7" s="33">
        <v>42249</v>
      </c>
      <c r="AA7" s="31" t="s">
        <v>83</v>
      </c>
      <c r="AB7" s="33">
        <v>42249</v>
      </c>
      <c r="AC7" s="31"/>
      <c r="AD7" s="31"/>
      <c r="AE7" s="31"/>
      <c r="AF7" s="31" t="s">
        <v>183</v>
      </c>
      <c r="AG7" s="31"/>
      <c r="AH7" s="31">
        <v>0</v>
      </c>
      <c r="AI7" s="31"/>
      <c r="AJ7" s="31"/>
      <c r="AK7" s="31">
        <v>0</v>
      </c>
      <c r="AL7" s="31">
        <v>0</v>
      </c>
      <c r="AM7" s="31">
        <v>0</v>
      </c>
      <c r="AN7" s="31" t="s">
        <v>536</v>
      </c>
      <c r="AO7" s="31" t="s">
        <v>77</v>
      </c>
      <c r="AP7" s="31" t="s">
        <v>537</v>
      </c>
    </row>
    <row r="8" spans="1:42" x14ac:dyDescent="0.2">
      <c r="A8" s="31">
        <v>10019089</v>
      </c>
      <c r="B8" s="31" t="s">
        <v>18</v>
      </c>
      <c r="C8" s="31" t="s">
        <v>78</v>
      </c>
      <c r="D8" s="33">
        <v>42248</v>
      </c>
      <c r="E8" s="31">
        <v>93501695</v>
      </c>
      <c r="F8" s="33">
        <v>42244</v>
      </c>
      <c r="G8" s="33">
        <v>42247</v>
      </c>
      <c r="H8" s="31">
        <v>1201494</v>
      </c>
      <c r="I8" s="31" t="s">
        <v>161</v>
      </c>
      <c r="J8" s="31">
        <v>1064093</v>
      </c>
      <c r="K8" s="31" t="s">
        <v>390</v>
      </c>
      <c r="L8" s="31">
        <v>1172005</v>
      </c>
      <c r="M8" s="31" t="s">
        <v>161</v>
      </c>
      <c r="N8" s="31">
        <v>60402</v>
      </c>
      <c r="O8" s="31"/>
      <c r="P8" s="31"/>
      <c r="Q8" s="31" t="s">
        <v>181</v>
      </c>
      <c r="R8" s="31" t="s">
        <v>67</v>
      </c>
      <c r="S8" s="31" t="s">
        <v>68</v>
      </c>
      <c r="T8" s="31">
        <v>2672.28</v>
      </c>
      <c r="U8" s="31" t="s">
        <v>182</v>
      </c>
      <c r="V8" s="31"/>
      <c r="W8" s="31" t="s">
        <v>69</v>
      </c>
      <c r="X8" s="31" t="s">
        <v>70</v>
      </c>
      <c r="Y8" s="31" t="s">
        <v>76</v>
      </c>
      <c r="Z8" s="33">
        <v>42249</v>
      </c>
      <c r="AA8" s="31" t="s">
        <v>83</v>
      </c>
      <c r="AB8" s="33">
        <v>42249</v>
      </c>
      <c r="AC8" s="31" t="s">
        <v>100</v>
      </c>
      <c r="AD8" s="31">
        <v>61989289</v>
      </c>
      <c r="AE8" s="33">
        <v>42272</v>
      </c>
      <c r="AF8" s="31" t="s">
        <v>183</v>
      </c>
      <c r="AG8" s="31"/>
      <c r="AH8" s="31">
        <v>0</v>
      </c>
      <c r="AI8" s="31"/>
      <c r="AJ8" s="31"/>
      <c r="AK8" s="31">
        <v>0</v>
      </c>
      <c r="AL8" s="31">
        <v>0</v>
      </c>
      <c r="AM8" s="31">
        <v>0</v>
      </c>
      <c r="AN8" s="31">
        <v>2795191755</v>
      </c>
      <c r="AO8" s="31" t="s">
        <v>77</v>
      </c>
      <c r="AP8" s="31" t="s">
        <v>538</v>
      </c>
    </row>
    <row r="9" spans="1:42" x14ac:dyDescent="0.2">
      <c r="A9" s="31">
        <v>10019090</v>
      </c>
      <c r="B9" s="31" t="s">
        <v>18</v>
      </c>
      <c r="C9" s="31" t="s">
        <v>78</v>
      </c>
      <c r="D9" s="33">
        <v>42248</v>
      </c>
      <c r="E9" s="31">
        <v>93497059</v>
      </c>
      <c r="F9" s="33">
        <v>42242</v>
      </c>
      <c r="G9" s="33">
        <v>42244</v>
      </c>
      <c r="H9" s="31">
        <v>1022013</v>
      </c>
      <c r="I9" s="31" t="s">
        <v>114</v>
      </c>
      <c r="J9" s="31">
        <v>1022013</v>
      </c>
      <c r="K9" s="31" t="s">
        <v>114</v>
      </c>
      <c r="L9" s="31">
        <v>1022013</v>
      </c>
      <c r="M9" s="31" t="s">
        <v>114</v>
      </c>
      <c r="N9" s="31">
        <v>74742</v>
      </c>
      <c r="O9" s="31"/>
      <c r="P9" s="31"/>
      <c r="Q9" s="31" t="s">
        <v>181</v>
      </c>
      <c r="R9" s="31" t="s">
        <v>67</v>
      </c>
      <c r="S9" s="31" t="s">
        <v>68</v>
      </c>
      <c r="T9" s="31">
        <v>33.76</v>
      </c>
      <c r="U9" s="31" t="s">
        <v>182</v>
      </c>
      <c r="V9" s="31"/>
      <c r="W9" s="31" t="s">
        <v>69</v>
      </c>
      <c r="X9" s="31" t="s">
        <v>70</v>
      </c>
      <c r="Y9" s="31" t="s">
        <v>76</v>
      </c>
      <c r="Z9" s="33">
        <v>42249</v>
      </c>
      <c r="AA9" s="31" t="s">
        <v>64</v>
      </c>
      <c r="AB9" s="33">
        <v>42248</v>
      </c>
      <c r="AC9" s="31" t="s">
        <v>100</v>
      </c>
      <c r="AD9" s="31">
        <v>61989287</v>
      </c>
      <c r="AE9" s="33">
        <v>42272</v>
      </c>
      <c r="AF9" s="31" t="s">
        <v>183</v>
      </c>
      <c r="AG9" s="31"/>
      <c r="AH9" s="31">
        <v>0</v>
      </c>
      <c r="AI9" s="31"/>
      <c r="AJ9" s="31"/>
      <c r="AK9" s="31">
        <v>0</v>
      </c>
      <c r="AL9" s="31">
        <v>0</v>
      </c>
      <c r="AM9" s="31">
        <v>0</v>
      </c>
      <c r="AN9" s="31">
        <v>2795191442</v>
      </c>
      <c r="AO9" s="31" t="s">
        <v>77</v>
      </c>
      <c r="AP9" s="31" t="s">
        <v>539</v>
      </c>
    </row>
    <row r="10" spans="1:42" x14ac:dyDescent="0.2">
      <c r="A10" s="31">
        <v>10019091</v>
      </c>
      <c r="B10" s="31" t="s">
        <v>18</v>
      </c>
      <c r="C10" s="31" t="s">
        <v>78</v>
      </c>
      <c r="D10" s="33">
        <v>42248</v>
      </c>
      <c r="E10" s="31">
        <v>93499429</v>
      </c>
      <c r="F10" s="33">
        <v>42243</v>
      </c>
      <c r="G10" s="31"/>
      <c r="H10" s="31">
        <v>1201120</v>
      </c>
      <c r="I10" s="31" t="s">
        <v>117</v>
      </c>
      <c r="J10" s="31">
        <v>1307782</v>
      </c>
      <c r="K10" s="31" t="s">
        <v>119</v>
      </c>
      <c r="L10" s="31">
        <v>1171090</v>
      </c>
      <c r="M10" s="31" t="s">
        <v>118</v>
      </c>
      <c r="N10" s="31" t="s">
        <v>226</v>
      </c>
      <c r="O10" s="31"/>
      <c r="P10" s="31"/>
      <c r="Q10" s="31" t="s">
        <v>181</v>
      </c>
      <c r="R10" s="31" t="s">
        <v>97</v>
      </c>
      <c r="S10" s="31" t="s">
        <v>98</v>
      </c>
      <c r="T10" s="31">
        <v>528</v>
      </c>
      <c r="U10" s="31" t="s">
        <v>182</v>
      </c>
      <c r="V10" s="31"/>
      <c r="W10" s="31" t="s">
        <v>63</v>
      </c>
      <c r="X10" s="31" t="s">
        <v>70</v>
      </c>
      <c r="Y10" s="31" t="s">
        <v>76</v>
      </c>
      <c r="Z10" s="33">
        <v>42249</v>
      </c>
      <c r="AA10" s="31" t="s">
        <v>64</v>
      </c>
      <c r="AB10" s="33">
        <v>42248</v>
      </c>
      <c r="AC10" s="31"/>
      <c r="AD10" s="31"/>
      <c r="AE10" s="31"/>
      <c r="AF10" s="31" t="s">
        <v>183</v>
      </c>
      <c r="AG10" s="31"/>
      <c r="AH10" s="31">
        <v>0</v>
      </c>
      <c r="AI10" s="31"/>
      <c r="AJ10" s="31"/>
      <c r="AK10" s="31">
        <v>0</v>
      </c>
      <c r="AL10" s="31">
        <v>0</v>
      </c>
      <c r="AM10" s="31">
        <v>0</v>
      </c>
      <c r="AN10" s="31" t="s">
        <v>540</v>
      </c>
      <c r="AO10" s="31" t="s">
        <v>77</v>
      </c>
      <c r="AP10" s="31" t="s">
        <v>170</v>
      </c>
    </row>
    <row r="11" spans="1:42" x14ac:dyDescent="0.2">
      <c r="A11" s="31">
        <v>10019092</v>
      </c>
      <c r="B11" s="31" t="s">
        <v>25</v>
      </c>
      <c r="C11" s="31" t="s">
        <v>78</v>
      </c>
      <c r="D11" s="33">
        <v>42248</v>
      </c>
      <c r="E11" s="31"/>
      <c r="F11" s="31"/>
      <c r="G11" s="31"/>
      <c r="H11" s="31">
        <v>1201687</v>
      </c>
      <c r="I11" s="31" t="s">
        <v>167</v>
      </c>
      <c r="J11" s="31">
        <v>1016686</v>
      </c>
      <c r="K11" s="31" t="s">
        <v>541</v>
      </c>
      <c r="L11" s="31">
        <v>1172012</v>
      </c>
      <c r="M11" s="31" t="s">
        <v>167</v>
      </c>
      <c r="N11" s="31">
        <v>3205172754</v>
      </c>
      <c r="O11" s="31"/>
      <c r="P11" s="31"/>
      <c r="Q11" s="31" t="s">
        <v>181</v>
      </c>
      <c r="R11" s="31"/>
      <c r="S11" s="31"/>
      <c r="T11" s="31">
        <v>0</v>
      </c>
      <c r="U11" s="31" t="s">
        <v>182</v>
      </c>
      <c r="V11" s="31"/>
      <c r="W11" s="31" t="s">
        <v>63</v>
      </c>
      <c r="X11" s="31" t="s">
        <v>94</v>
      </c>
      <c r="Y11" s="31" t="s">
        <v>82</v>
      </c>
      <c r="Z11" s="33">
        <v>42262</v>
      </c>
      <c r="AA11" s="31" t="s">
        <v>64</v>
      </c>
      <c r="AB11" s="33">
        <v>42248</v>
      </c>
      <c r="AC11" s="31"/>
      <c r="AD11" s="31"/>
      <c r="AE11" s="31"/>
      <c r="AF11" s="31" t="s">
        <v>183</v>
      </c>
      <c r="AG11" s="31"/>
      <c r="AH11" s="31">
        <v>0</v>
      </c>
      <c r="AI11" s="31"/>
      <c r="AJ11" s="31"/>
      <c r="AK11" s="31">
        <v>0</v>
      </c>
      <c r="AL11" s="31">
        <v>0</v>
      </c>
      <c r="AM11" s="31">
        <v>0</v>
      </c>
      <c r="AN11" s="31"/>
      <c r="AO11" s="31" t="s">
        <v>142</v>
      </c>
      <c r="AP11" s="31" t="s">
        <v>542</v>
      </c>
    </row>
    <row r="12" spans="1:42" x14ac:dyDescent="0.2">
      <c r="A12" s="31">
        <v>10019093</v>
      </c>
      <c r="B12" s="31" t="s">
        <v>26</v>
      </c>
      <c r="C12" s="31" t="s">
        <v>78</v>
      </c>
      <c r="D12" s="33">
        <v>42249</v>
      </c>
      <c r="E12" s="31">
        <v>93484958</v>
      </c>
      <c r="F12" s="33">
        <v>42234</v>
      </c>
      <c r="G12" s="31"/>
      <c r="H12" s="31">
        <v>1201047</v>
      </c>
      <c r="I12" s="31" t="s">
        <v>79</v>
      </c>
      <c r="J12" s="31">
        <v>1003713</v>
      </c>
      <c r="K12" s="31" t="s">
        <v>80</v>
      </c>
      <c r="L12" s="31">
        <v>1171089</v>
      </c>
      <c r="M12" s="31" t="s">
        <v>75</v>
      </c>
      <c r="N12" s="31">
        <v>32755048</v>
      </c>
      <c r="O12" s="31"/>
      <c r="P12" s="31"/>
      <c r="Q12" s="31" t="s">
        <v>181</v>
      </c>
      <c r="R12" s="31" t="s">
        <v>91</v>
      </c>
      <c r="S12" s="31" t="s">
        <v>92</v>
      </c>
      <c r="T12" s="31">
        <v>6600</v>
      </c>
      <c r="U12" s="31" t="s">
        <v>182</v>
      </c>
      <c r="V12" s="31"/>
      <c r="W12" s="31" t="s">
        <v>63</v>
      </c>
      <c r="X12" s="31" t="s">
        <v>94</v>
      </c>
      <c r="Y12" s="31" t="s">
        <v>95</v>
      </c>
      <c r="Z12" s="33">
        <v>42249</v>
      </c>
      <c r="AA12" s="31" t="s">
        <v>83</v>
      </c>
      <c r="AB12" s="33">
        <v>42249</v>
      </c>
      <c r="AC12" s="31"/>
      <c r="AD12" s="31"/>
      <c r="AE12" s="31"/>
      <c r="AF12" s="31" t="s">
        <v>183</v>
      </c>
      <c r="AG12" s="31"/>
      <c r="AH12" s="31">
        <v>0</v>
      </c>
      <c r="AI12" s="31"/>
      <c r="AJ12" s="31"/>
      <c r="AK12" s="31">
        <v>0</v>
      </c>
      <c r="AL12" s="31">
        <v>0</v>
      </c>
      <c r="AM12" s="31">
        <v>0</v>
      </c>
      <c r="AN12" s="31" t="s">
        <v>551</v>
      </c>
      <c r="AO12" s="31" t="s">
        <v>96</v>
      </c>
      <c r="AP12" s="31" t="s">
        <v>552</v>
      </c>
    </row>
    <row r="13" spans="1:42" x14ac:dyDescent="0.2">
      <c r="A13" s="31">
        <v>10019094</v>
      </c>
      <c r="B13" s="31" t="s">
        <v>26</v>
      </c>
      <c r="C13" s="31" t="s">
        <v>78</v>
      </c>
      <c r="D13" s="33">
        <v>42249</v>
      </c>
      <c r="E13" s="31">
        <v>93490518</v>
      </c>
      <c r="F13" s="33">
        <v>42237</v>
      </c>
      <c r="G13" s="31"/>
      <c r="H13" s="31">
        <v>1201120</v>
      </c>
      <c r="I13" s="31" t="s">
        <v>117</v>
      </c>
      <c r="J13" s="31">
        <v>1307782</v>
      </c>
      <c r="K13" s="31" t="s">
        <v>119</v>
      </c>
      <c r="L13" s="31">
        <v>1171090</v>
      </c>
      <c r="M13" s="31" t="s">
        <v>118</v>
      </c>
      <c r="N13" s="31" t="s">
        <v>457</v>
      </c>
      <c r="O13" s="31"/>
      <c r="P13" s="31"/>
      <c r="Q13" s="31" t="s">
        <v>181</v>
      </c>
      <c r="R13" s="31" t="s">
        <v>91</v>
      </c>
      <c r="S13" s="31" t="s">
        <v>92</v>
      </c>
      <c r="T13" s="31">
        <v>36400</v>
      </c>
      <c r="U13" s="31" t="s">
        <v>182</v>
      </c>
      <c r="V13" s="31"/>
      <c r="W13" s="31" t="s">
        <v>63</v>
      </c>
      <c r="X13" s="31" t="s">
        <v>81</v>
      </c>
      <c r="Y13" s="31" t="s">
        <v>88</v>
      </c>
      <c r="Z13" s="33">
        <v>42275</v>
      </c>
      <c r="AA13" s="31"/>
      <c r="AB13" s="31"/>
      <c r="AC13" s="31"/>
      <c r="AD13" s="31"/>
      <c r="AE13" s="31"/>
      <c r="AF13" s="31" t="s">
        <v>183</v>
      </c>
      <c r="AG13" s="31"/>
      <c r="AH13" s="31">
        <v>0</v>
      </c>
      <c r="AI13" s="31"/>
      <c r="AJ13" s="31"/>
      <c r="AK13" s="31">
        <v>0</v>
      </c>
      <c r="AL13" s="31">
        <v>0</v>
      </c>
      <c r="AM13" s="31">
        <v>0</v>
      </c>
      <c r="AN13" s="31" t="s">
        <v>458</v>
      </c>
      <c r="AO13" s="31" t="s">
        <v>89</v>
      </c>
      <c r="AP13" s="31" t="s">
        <v>274</v>
      </c>
    </row>
    <row r="14" spans="1:42" x14ac:dyDescent="0.2">
      <c r="A14" s="31">
        <v>10019095</v>
      </c>
      <c r="B14" s="31" t="s">
        <v>26</v>
      </c>
      <c r="C14" s="31" t="s">
        <v>78</v>
      </c>
      <c r="D14" s="33">
        <v>42249</v>
      </c>
      <c r="E14" s="31">
        <v>93493170</v>
      </c>
      <c r="F14" s="33">
        <v>42240</v>
      </c>
      <c r="G14" s="31"/>
      <c r="H14" s="31">
        <v>1201047</v>
      </c>
      <c r="I14" s="31" t="s">
        <v>79</v>
      </c>
      <c r="J14" s="31">
        <v>1038994</v>
      </c>
      <c r="K14" s="31" t="s">
        <v>80</v>
      </c>
      <c r="L14" s="31">
        <v>1171089</v>
      </c>
      <c r="M14" s="31" t="s">
        <v>75</v>
      </c>
      <c r="N14" s="31">
        <v>40436202</v>
      </c>
      <c r="O14" s="31"/>
      <c r="P14" s="31"/>
      <c r="Q14" s="31" t="s">
        <v>181</v>
      </c>
      <c r="R14" s="31" t="s">
        <v>86</v>
      </c>
      <c r="S14" s="31" t="s">
        <v>87</v>
      </c>
      <c r="T14" s="31">
        <v>2695.8</v>
      </c>
      <c r="U14" s="31" t="s">
        <v>182</v>
      </c>
      <c r="V14" s="31"/>
      <c r="W14" s="31" t="s">
        <v>63</v>
      </c>
      <c r="X14" s="31" t="s">
        <v>81</v>
      </c>
      <c r="Y14" s="31" t="s">
        <v>88</v>
      </c>
      <c r="Z14" s="33">
        <v>42269</v>
      </c>
      <c r="AA14" s="31"/>
      <c r="AB14" s="31"/>
      <c r="AC14" s="31"/>
      <c r="AD14" s="31"/>
      <c r="AE14" s="31"/>
      <c r="AF14" s="31" t="s">
        <v>183</v>
      </c>
      <c r="AG14" s="31"/>
      <c r="AH14" s="31">
        <v>0</v>
      </c>
      <c r="AI14" s="31"/>
      <c r="AJ14" s="31"/>
      <c r="AK14" s="31">
        <v>0</v>
      </c>
      <c r="AL14" s="31">
        <v>0</v>
      </c>
      <c r="AM14" s="31">
        <v>0</v>
      </c>
      <c r="AN14" s="31" t="s">
        <v>553</v>
      </c>
      <c r="AO14" s="31" t="s">
        <v>89</v>
      </c>
      <c r="AP14" s="31" t="s">
        <v>274</v>
      </c>
    </row>
    <row r="15" spans="1:42" x14ac:dyDescent="0.2">
      <c r="A15" s="31">
        <v>10019096</v>
      </c>
      <c r="B15" s="31" t="s">
        <v>24</v>
      </c>
      <c r="C15" s="31" t="s">
        <v>78</v>
      </c>
      <c r="D15" s="33">
        <v>42249</v>
      </c>
      <c r="E15" s="31">
        <v>93501639</v>
      </c>
      <c r="F15" s="33">
        <v>42244</v>
      </c>
      <c r="G15" s="33">
        <v>42249</v>
      </c>
      <c r="H15" s="31">
        <v>1201316</v>
      </c>
      <c r="I15" s="31" t="s">
        <v>519</v>
      </c>
      <c r="J15" s="31">
        <v>1027443</v>
      </c>
      <c r="K15" s="31" t="s">
        <v>520</v>
      </c>
      <c r="L15" s="31">
        <v>1171973</v>
      </c>
      <c r="M15" s="31" t="s">
        <v>521</v>
      </c>
      <c r="N15" s="31" t="s">
        <v>554</v>
      </c>
      <c r="O15" s="31"/>
      <c r="P15" s="31"/>
      <c r="Q15" s="31" t="s">
        <v>181</v>
      </c>
      <c r="R15" s="31" t="s">
        <v>67</v>
      </c>
      <c r="S15" s="31" t="s">
        <v>68</v>
      </c>
      <c r="T15" s="31">
        <v>3556.8</v>
      </c>
      <c r="U15" s="31" t="s">
        <v>182</v>
      </c>
      <c r="V15" s="31"/>
      <c r="W15" s="31" t="s">
        <v>69</v>
      </c>
      <c r="X15" s="31" t="s">
        <v>70</v>
      </c>
      <c r="Y15" s="31" t="s">
        <v>71</v>
      </c>
      <c r="Z15" s="33">
        <v>42256</v>
      </c>
      <c r="AA15" s="31" t="s">
        <v>64</v>
      </c>
      <c r="AB15" s="33">
        <v>42249</v>
      </c>
      <c r="AC15" s="31" t="s">
        <v>72</v>
      </c>
      <c r="AD15" s="31">
        <v>61979253</v>
      </c>
      <c r="AE15" s="33">
        <v>42258</v>
      </c>
      <c r="AF15" s="31" t="s">
        <v>183</v>
      </c>
      <c r="AG15" s="31"/>
      <c r="AH15" s="31">
        <v>0</v>
      </c>
      <c r="AI15" s="31"/>
      <c r="AJ15" s="31"/>
      <c r="AK15" s="31">
        <v>0</v>
      </c>
      <c r="AL15" s="31">
        <v>0</v>
      </c>
      <c r="AM15" s="31">
        <v>0</v>
      </c>
      <c r="AN15" s="31">
        <v>2795191766</v>
      </c>
      <c r="AO15" s="31" t="s">
        <v>73</v>
      </c>
      <c r="AP15" s="31" t="s">
        <v>555</v>
      </c>
    </row>
    <row r="16" spans="1:42" x14ac:dyDescent="0.2">
      <c r="A16" s="31">
        <v>10019097</v>
      </c>
      <c r="B16" s="31" t="s">
        <v>18</v>
      </c>
      <c r="C16" s="31" t="s">
        <v>78</v>
      </c>
      <c r="D16" s="33">
        <v>42249</v>
      </c>
      <c r="E16" s="31">
        <v>93488799</v>
      </c>
      <c r="F16" s="33">
        <v>42236</v>
      </c>
      <c r="G16" s="31"/>
      <c r="H16" s="31">
        <v>1201047</v>
      </c>
      <c r="I16" s="31" t="s">
        <v>79</v>
      </c>
      <c r="J16" s="31">
        <v>1003713</v>
      </c>
      <c r="K16" s="31" t="s">
        <v>80</v>
      </c>
      <c r="L16" s="31">
        <v>1171089</v>
      </c>
      <c r="M16" s="31" t="s">
        <v>75</v>
      </c>
      <c r="N16" s="31">
        <v>32755728</v>
      </c>
      <c r="O16" s="31"/>
      <c r="P16" s="31"/>
      <c r="Q16" s="31" t="s">
        <v>181</v>
      </c>
      <c r="R16" s="31" t="s">
        <v>102</v>
      </c>
      <c r="S16" s="31" t="s">
        <v>103</v>
      </c>
      <c r="T16" s="31">
        <v>3855.36</v>
      </c>
      <c r="U16" s="31" t="s">
        <v>182</v>
      </c>
      <c r="V16" s="31"/>
      <c r="W16" s="31" t="s">
        <v>63</v>
      </c>
      <c r="X16" s="31" t="s">
        <v>70</v>
      </c>
      <c r="Y16" s="31" t="s">
        <v>76</v>
      </c>
      <c r="Z16" s="33">
        <v>42257</v>
      </c>
      <c r="AA16" s="31" t="s">
        <v>83</v>
      </c>
      <c r="AB16" s="33">
        <v>42255</v>
      </c>
      <c r="AC16" s="31"/>
      <c r="AD16" s="31"/>
      <c r="AE16" s="31"/>
      <c r="AF16" s="31" t="s">
        <v>183</v>
      </c>
      <c r="AG16" s="31"/>
      <c r="AH16" s="31">
        <v>0</v>
      </c>
      <c r="AI16" s="31"/>
      <c r="AJ16" s="31"/>
      <c r="AK16" s="31">
        <v>0</v>
      </c>
      <c r="AL16" s="31">
        <v>0</v>
      </c>
      <c r="AM16" s="31">
        <v>0</v>
      </c>
      <c r="AN16" s="31" t="s">
        <v>556</v>
      </c>
      <c r="AO16" s="31" t="s">
        <v>77</v>
      </c>
      <c r="AP16" s="31" t="s">
        <v>557</v>
      </c>
    </row>
    <row r="17" spans="1:42" x14ac:dyDescent="0.2">
      <c r="A17" s="31">
        <v>10019098</v>
      </c>
      <c r="B17" s="31" t="s">
        <v>22</v>
      </c>
      <c r="C17" s="31" t="s">
        <v>78</v>
      </c>
      <c r="D17" s="33">
        <v>42249</v>
      </c>
      <c r="E17" s="31">
        <v>93501618</v>
      </c>
      <c r="F17" s="33">
        <v>42244</v>
      </c>
      <c r="G17" s="31"/>
      <c r="H17" s="31">
        <v>1201315</v>
      </c>
      <c r="I17" s="31" t="s">
        <v>256</v>
      </c>
      <c r="J17" s="31">
        <v>1319929</v>
      </c>
      <c r="K17" s="31" t="s">
        <v>558</v>
      </c>
      <c r="L17" s="31">
        <v>1201315</v>
      </c>
      <c r="M17" s="31" t="s">
        <v>256</v>
      </c>
      <c r="N17" s="31">
        <v>5609253</v>
      </c>
      <c r="O17" s="31"/>
      <c r="P17" s="31"/>
      <c r="Q17" s="31" t="s">
        <v>181</v>
      </c>
      <c r="R17" s="31" t="s">
        <v>86</v>
      </c>
      <c r="S17" s="31" t="s">
        <v>87</v>
      </c>
      <c r="T17" s="31">
        <v>230.4</v>
      </c>
      <c r="U17" s="31" t="s">
        <v>182</v>
      </c>
      <c r="V17" s="31"/>
      <c r="W17" s="31" t="s">
        <v>63</v>
      </c>
      <c r="X17" s="31" t="s">
        <v>94</v>
      </c>
      <c r="Y17" s="31" t="s">
        <v>141</v>
      </c>
      <c r="Z17" s="33">
        <v>42257</v>
      </c>
      <c r="AA17" s="31" t="s">
        <v>64</v>
      </c>
      <c r="AB17" s="33">
        <v>42249</v>
      </c>
      <c r="AC17" s="31"/>
      <c r="AD17" s="31"/>
      <c r="AE17" s="31"/>
      <c r="AF17" s="31" t="s">
        <v>183</v>
      </c>
      <c r="AG17" s="31"/>
      <c r="AH17" s="31">
        <v>0</v>
      </c>
      <c r="AI17" s="31"/>
      <c r="AJ17" s="31"/>
      <c r="AK17" s="31">
        <v>0</v>
      </c>
      <c r="AL17" s="31">
        <v>0</v>
      </c>
      <c r="AM17" s="31">
        <v>0</v>
      </c>
      <c r="AN17" s="31" t="s">
        <v>559</v>
      </c>
      <c r="AO17" s="31" t="s">
        <v>142</v>
      </c>
      <c r="AP17" s="31" t="s">
        <v>560</v>
      </c>
    </row>
    <row r="18" spans="1:42" x14ac:dyDescent="0.2">
      <c r="A18" s="31">
        <v>10019099</v>
      </c>
      <c r="B18" s="31" t="s">
        <v>18</v>
      </c>
      <c r="C18" s="31" t="s">
        <v>78</v>
      </c>
      <c r="D18" s="33">
        <v>42249</v>
      </c>
      <c r="E18" s="31">
        <v>93503940</v>
      </c>
      <c r="F18" s="33">
        <v>42247</v>
      </c>
      <c r="G18" s="33">
        <v>42248</v>
      </c>
      <c r="H18" s="31">
        <v>1319184</v>
      </c>
      <c r="I18" s="31" t="s">
        <v>479</v>
      </c>
      <c r="J18" s="31">
        <v>1319184</v>
      </c>
      <c r="K18" s="31" t="s">
        <v>479</v>
      </c>
      <c r="L18" s="31">
        <v>1319184</v>
      </c>
      <c r="M18" s="31" t="s">
        <v>479</v>
      </c>
      <c r="N18" s="31">
        <v>562845</v>
      </c>
      <c r="O18" s="31"/>
      <c r="P18" s="31"/>
      <c r="Q18" s="31" t="s">
        <v>181</v>
      </c>
      <c r="R18" s="31" t="s">
        <v>67</v>
      </c>
      <c r="S18" s="31" t="s">
        <v>68</v>
      </c>
      <c r="T18" s="31">
        <v>668.25</v>
      </c>
      <c r="U18" s="31" t="s">
        <v>182</v>
      </c>
      <c r="V18" s="31"/>
      <c r="W18" s="31" t="s">
        <v>69</v>
      </c>
      <c r="X18" s="31" t="s">
        <v>70</v>
      </c>
      <c r="Y18" s="31" t="s">
        <v>76</v>
      </c>
      <c r="Z18" s="33">
        <v>42257</v>
      </c>
      <c r="AA18" s="31" t="s">
        <v>64</v>
      </c>
      <c r="AB18" s="33">
        <v>42249</v>
      </c>
      <c r="AC18" s="31" t="s">
        <v>100</v>
      </c>
      <c r="AD18" s="31">
        <v>61994014</v>
      </c>
      <c r="AE18" s="33">
        <v>42279</v>
      </c>
      <c r="AF18" s="31" t="s">
        <v>183</v>
      </c>
      <c r="AG18" s="31"/>
      <c r="AH18" s="31">
        <v>0</v>
      </c>
      <c r="AI18" s="31"/>
      <c r="AJ18" s="31"/>
      <c r="AK18" s="31">
        <v>0</v>
      </c>
      <c r="AL18" s="31">
        <v>0</v>
      </c>
      <c r="AM18" s="31">
        <v>0</v>
      </c>
      <c r="AN18" s="31">
        <v>2795192105</v>
      </c>
      <c r="AO18" s="31" t="s">
        <v>77</v>
      </c>
      <c r="AP18" s="31" t="s">
        <v>187</v>
      </c>
    </row>
    <row r="19" spans="1:42" x14ac:dyDescent="0.2">
      <c r="A19" s="31">
        <v>10019100</v>
      </c>
      <c r="B19" s="31" t="s">
        <v>22</v>
      </c>
      <c r="C19" s="31" t="s">
        <v>78</v>
      </c>
      <c r="D19" s="33">
        <v>42249</v>
      </c>
      <c r="E19" s="31">
        <v>93493617</v>
      </c>
      <c r="F19" s="33">
        <v>42240</v>
      </c>
      <c r="G19" s="33">
        <v>42241</v>
      </c>
      <c r="H19" s="31">
        <v>1322515</v>
      </c>
      <c r="I19" s="31" t="s">
        <v>139</v>
      </c>
      <c r="J19" s="31">
        <v>1323861</v>
      </c>
      <c r="K19" s="31" t="s">
        <v>140</v>
      </c>
      <c r="L19" s="31">
        <v>1322515</v>
      </c>
      <c r="M19" s="31" t="s">
        <v>139</v>
      </c>
      <c r="N19" s="31">
        <v>236929</v>
      </c>
      <c r="O19" s="31"/>
      <c r="P19" s="31"/>
      <c r="Q19" s="31" t="s">
        <v>181</v>
      </c>
      <c r="R19" s="31" t="s">
        <v>67</v>
      </c>
      <c r="S19" s="31" t="s">
        <v>68</v>
      </c>
      <c r="T19" s="31">
        <v>325.08</v>
      </c>
      <c r="U19" s="31" t="s">
        <v>182</v>
      </c>
      <c r="V19" s="31"/>
      <c r="W19" s="31" t="s">
        <v>63</v>
      </c>
      <c r="X19" s="31" t="s">
        <v>94</v>
      </c>
      <c r="Y19" s="31" t="s">
        <v>95</v>
      </c>
      <c r="Z19" s="33">
        <v>42258</v>
      </c>
      <c r="AA19" s="31" t="s">
        <v>64</v>
      </c>
      <c r="AB19" s="33">
        <v>42249</v>
      </c>
      <c r="AC19" s="31"/>
      <c r="AD19" s="31"/>
      <c r="AE19" s="31"/>
      <c r="AF19" s="31" t="s">
        <v>183</v>
      </c>
      <c r="AG19" s="31"/>
      <c r="AH19" s="31">
        <v>0</v>
      </c>
      <c r="AI19" s="31"/>
      <c r="AJ19" s="31"/>
      <c r="AK19" s="31">
        <v>0</v>
      </c>
      <c r="AL19" s="31">
        <v>0</v>
      </c>
      <c r="AM19" s="31">
        <v>0</v>
      </c>
      <c r="AN19" s="31">
        <v>2795193030</v>
      </c>
      <c r="AO19" s="31" t="s">
        <v>142</v>
      </c>
      <c r="AP19" s="31" t="s">
        <v>561</v>
      </c>
    </row>
    <row r="20" spans="1:42" x14ac:dyDescent="0.2">
      <c r="A20" s="31">
        <v>10019101</v>
      </c>
      <c r="B20" s="31" t="s">
        <v>18</v>
      </c>
      <c r="C20" s="31" t="s">
        <v>78</v>
      </c>
      <c r="D20" s="33">
        <v>42249</v>
      </c>
      <c r="E20" s="31">
        <v>93471346</v>
      </c>
      <c r="F20" s="33">
        <v>42222</v>
      </c>
      <c r="G20" s="31"/>
      <c r="H20" s="31">
        <v>1201120</v>
      </c>
      <c r="I20" s="31" t="s">
        <v>117</v>
      </c>
      <c r="J20" s="31">
        <v>1307782</v>
      </c>
      <c r="K20" s="31" t="s">
        <v>119</v>
      </c>
      <c r="L20" s="31">
        <v>1171090</v>
      </c>
      <c r="M20" s="31" t="s">
        <v>118</v>
      </c>
      <c r="N20" s="31" t="s">
        <v>321</v>
      </c>
      <c r="O20" s="31"/>
      <c r="P20" s="31"/>
      <c r="Q20" s="31" t="s">
        <v>181</v>
      </c>
      <c r="R20" s="31" t="s">
        <v>102</v>
      </c>
      <c r="S20" s="31" t="s">
        <v>103</v>
      </c>
      <c r="T20" s="31">
        <v>2825.25</v>
      </c>
      <c r="U20" s="31" t="s">
        <v>182</v>
      </c>
      <c r="V20" s="31"/>
      <c r="W20" s="31" t="s">
        <v>63</v>
      </c>
      <c r="X20" s="31" t="s">
        <v>70</v>
      </c>
      <c r="Y20" s="31" t="s">
        <v>76</v>
      </c>
      <c r="Z20" s="33">
        <v>42257</v>
      </c>
      <c r="AA20" s="31" t="s">
        <v>83</v>
      </c>
      <c r="AB20" s="33">
        <v>42255</v>
      </c>
      <c r="AC20" s="31"/>
      <c r="AD20" s="31"/>
      <c r="AE20" s="31"/>
      <c r="AF20" s="31" t="s">
        <v>183</v>
      </c>
      <c r="AG20" s="31"/>
      <c r="AH20" s="31">
        <v>0</v>
      </c>
      <c r="AI20" s="31"/>
      <c r="AJ20" s="31"/>
      <c r="AK20" s="31">
        <v>0</v>
      </c>
      <c r="AL20" s="31">
        <v>0</v>
      </c>
      <c r="AM20" s="31">
        <v>0</v>
      </c>
      <c r="AN20" s="31">
        <v>636808568180</v>
      </c>
      <c r="AO20" s="31" t="s">
        <v>77</v>
      </c>
      <c r="AP20" s="31" t="s">
        <v>187</v>
      </c>
    </row>
    <row r="21" spans="1:42" x14ac:dyDescent="0.2">
      <c r="A21" s="31">
        <v>10019102</v>
      </c>
      <c r="B21" s="31" t="s">
        <v>18</v>
      </c>
      <c r="C21" s="31" t="s">
        <v>78</v>
      </c>
      <c r="D21" s="33">
        <v>42249</v>
      </c>
      <c r="E21" s="31">
        <v>93503646</v>
      </c>
      <c r="F21" s="33">
        <v>42247</v>
      </c>
      <c r="G21" s="31"/>
      <c r="H21" s="31">
        <v>1201120</v>
      </c>
      <c r="I21" s="31" t="s">
        <v>117</v>
      </c>
      <c r="J21" s="31">
        <v>1307782</v>
      </c>
      <c r="K21" s="31" t="s">
        <v>119</v>
      </c>
      <c r="L21" s="31">
        <v>1171090</v>
      </c>
      <c r="M21" s="31" t="s">
        <v>118</v>
      </c>
      <c r="N21" s="31" t="s">
        <v>562</v>
      </c>
      <c r="O21" s="31"/>
      <c r="P21" s="31"/>
      <c r="Q21" s="31" t="s">
        <v>181</v>
      </c>
      <c r="R21" s="31" t="s">
        <v>102</v>
      </c>
      <c r="S21" s="31" t="s">
        <v>103</v>
      </c>
      <c r="T21" s="31">
        <v>6667.59</v>
      </c>
      <c r="U21" s="31" t="s">
        <v>182</v>
      </c>
      <c r="V21" s="31"/>
      <c r="W21" s="31" t="s">
        <v>63</v>
      </c>
      <c r="X21" s="31" t="s">
        <v>70</v>
      </c>
      <c r="Y21" s="31" t="s">
        <v>76</v>
      </c>
      <c r="Z21" s="33">
        <v>42257</v>
      </c>
      <c r="AA21" s="31" t="s">
        <v>83</v>
      </c>
      <c r="AB21" s="33">
        <v>42255</v>
      </c>
      <c r="AC21" s="31"/>
      <c r="AD21" s="31"/>
      <c r="AE21" s="31"/>
      <c r="AF21" s="31" t="s">
        <v>183</v>
      </c>
      <c r="AG21" s="31"/>
      <c r="AH21" s="31">
        <v>0</v>
      </c>
      <c r="AI21" s="31"/>
      <c r="AJ21" s="31"/>
      <c r="AK21" s="31">
        <v>0</v>
      </c>
      <c r="AL21" s="31">
        <v>0</v>
      </c>
      <c r="AM21" s="31">
        <v>0</v>
      </c>
      <c r="AN21" s="31" t="s">
        <v>563</v>
      </c>
      <c r="AO21" s="31" t="s">
        <v>77</v>
      </c>
      <c r="AP21" s="31" t="s">
        <v>564</v>
      </c>
    </row>
    <row r="22" spans="1:42" x14ac:dyDescent="0.2">
      <c r="A22" s="31">
        <v>10019103</v>
      </c>
      <c r="B22" s="31" t="s">
        <v>18</v>
      </c>
      <c r="C22" s="31" t="s">
        <v>78</v>
      </c>
      <c r="D22" s="33">
        <v>42250</v>
      </c>
      <c r="E22" s="31">
        <v>93499518</v>
      </c>
      <c r="F22" s="33">
        <v>42243</v>
      </c>
      <c r="G22" s="33">
        <v>42244</v>
      </c>
      <c r="H22" s="31">
        <v>1201399</v>
      </c>
      <c r="I22" s="31" t="s">
        <v>144</v>
      </c>
      <c r="J22" s="31">
        <v>1334926</v>
      </c>
      <c r="K22" s="31" t="s">
        <v>145</v>
      </c>
      <c r="L22" s="31">
        <v>1171970</v>
      </c>
      <c r="M22" s="31" t="s">
        <v>144</v>
      </c>
      <c r="N22" s="31">
        <v>8106671524</v>
      </c>
      <c r="O22" s="31"/>
      <c r="P22" s="31"/>
      <c r="Q22" s="31" t="s">
        <v>181</v>
      </c>
      <c r="R22" s="31" t="s">
        <v>91</v>
      </c>
      <c r="S22" s="31" t="s">
        <v>92</v>
      </c>
      <c r="T22" s="31">
        <v>33318.959999999999</v>
      </c>
      <c r="U22" s="31" t="s">
        <v>182</v>
      </c>
      <c r="V22" s="31"/>
      <c r="W22" s="31" t="s">
        <v>63</v>
      </c>
      <c r="X22" s="31" t="s">
        <v>70</v>
      </c>
      <c r="Y22" s="31" t="s">
        <v>76</v>
      </c>
      <c r="Z22" s="33">
        <v>42257</v>
      </c>
      <c r="AA22" s="31" t="s">
        <v>83</v>
      </c>
      <c r="AB22" s="33">
        <v>42255</v>
      </c>
      <c r="AC22" s="31"/>
      <c r="AD22" s="31"/>
      <c r="AE22" s="31"/>
      <c r="AF22" s="31" t="s">
        <v>183</v>
      </c>
      <c r="AG22" s="31"/>
      <c r="AH22" s="31">
        <v>0</v>
      </c>
      <c r="AI22" s="31"/>
      <c r="AJ22" s="31"/>
      <c r="AK22" s="31">
        <v>0</v>
      </c>
      <c r="AL22" s="31">
        <v>0</v>
      </c>
      <c r="AM22" s="31">
        <v>0</v>
      </c>
      <c r="AN22" s="31" t="s">
        <v>565</v>
      </c>
      <c r="AO22" s="31" t="s">
        <v>77</v>
      </c>
      <c r="AP22" s="31" t="s">
        <v>370</v>
      </c>
    </row>
    <row r="23" spans="1:42" x14ac:dyDescent="0.2">
      <c r="A23" s="31">
        <v>10019105</v>
      </c>
      <c r="B23" s="31" t="s">
        <v>18</v>
      </c>
      <c r="C23" s="31" t="s">
        <v>78</v>
      </c>
      <c r="D23" s="33">
        <v>42250</v>
      </c>
      <c r="E23" s="31">
        <v>93501411</v>
      </c>
      <c r="F23" s="33">
        <v>42244</v>
      </c>
      <c r="G23" s="33">
        <v>42249</v>
      </c>
      <c r="H23" s="31">
        <v>1022013</v>
      </c>
      <c r="I23" s="31" t="s">
        <v>114</v>
      </c>
      <c r="J23" s="31">
        <v>1335507</v>
      </c>
      <c r="K23" s="31" t="s">
        <v>114</v>
      </c>
      <c r="L23" s="31">
        <v>1022013</v>
      </c>
      <c r="M23" s="31" t="s">
        <v>114</v>
      </c>
      <c r="N23" s="31">
        <v>74743</v>
      </c>
      <c r="O23" s="31"/>
      <c r="P23" s="31"/>
      <c r="Q23" s="31" t="s">
        <v>181</v>
      </c>
      <c r="R23" s="31" t="s">
        <v>67</v>
      </c>
      <c r="S23" s="31" t="s">
        <v>68</v>
      </c>
      <c r="T23" s="31">
        <v>50.64</v>
      </c>
      <c r="U23" s="31" t="s">
        <v>182</v>
      </c>
      <c r="V23" s="31"/>
      <c r="W23" s="31" t="s">
        <v>69</v>
      </c>
      <c r="X23" s="31" t="s">
        <v>70</v>
      </c>
      <c r="Y23" s="31" t="s">
        <v>76</v>
      </c>
      <c r="Z23" s="33">
        <v>42257</v>
      </c>
      <c r="AA23" s="31" t="s">
        <v>64</v>
      </c>
      <c r="AB23" s="33">
        <v>42250</v>
      </c>
      <c r="AC23" s="31" t="s">
        <v>100</v>
      </c>
      <c r="AD23" s="31">
        <v>61989292</v>
      </c>
      <c r="AE23" s="33">
        <v>42272</v>
      </c>
      <c r="AF23" s="31" t="s">
        <v>183</v>
      </c>
      <c r="AG23" s="31"/>
      <c r="AH23" s="31">
        <v>0</v>
      </c>
      <c r="AI23" s="31"/>
      <c r="AJ23" s="31"/>
      <c r="AK23" s="31">
        <v>0</v>
      </c>
      <c r="AL23" s="31">
        <v>0</v>
      </c>
      <c r="AM23" s="31">
        <v>0</v>
      </c>
      <c r="AN23" s="31">
        <v>2795191770</v>
      </c>
      <c r="AO23" s="31" t="s">
        <v>77</v>
      </c>
      <c r="AP23" s="31" t="s">
        <v>370</v>
      </c>
    </row>
    <row r="24" spans="1:42" x14ac:dyDescent="0.2">
      <c r="A24" s="31">
        <v>10019107</v>
      </c>
      <c r="B24" s="31" t="s">
        <v>18</v>
      </c>
      <c r="C24" s="31" t="s">
        <v>78</v>
      </c>
      <c r="D24" s="33">
        <v>42250</v>
      </c>
      <c r="E24" s="31">
        <v>93499343</v>
      </c>
      <c r="F24" s="33">
        <v>42243</v>
      </c>
      <c r="G24" s="33">
        <v>42248</v>
      </c>
      <c r="H24" s="31">
        <v>1201047</v>
      </c>
      <c r="I24" s="31" t="s">
        <v>79</v>
      </c>
      <c r="J24" s="31">
        <v>1022214</v>
      </c>
      <c r="K24" s="31" t="s">
        <v>80</v>
      </c>
      <c r="L24" s="31">
        <v>1171089</v>
      </c>
      <c r="M24" s="31" t="s">
        <v>75</v>
      </c>
      <c r="N24" s="31">
        <v>4738269</v>
      </c>
      <c r="O24" s="31"/>
      <c r="P24" s="31"/>
      <c r="Q24" s="31" t="s">
        <v>181</v>
      </c>
      <c r="R24" s="31" t="s">
        <v>67</v>
      </c>
      <c r="S24" s="31" t="s">
        <v>68</v>
      </c>
      <c r="T24" s="31">
        <v>504.57</v>
      </c>
      <c r="U24" s="31" t="s">
        <v>182</v>
      </c>
      <c r="V24" s="31"/>
      <c r="W24" s="31" t="s">
        <v>63</v>
      </c>
      <c r="X24" s="31" t="s">
        <v>70</v>
      </c>
      <c r="Y24" s="31" t="s">
        <v>76</v>
      </c>
      <c r="Z24" s="33">
        <v>42257</v>
      </c>
      <c r="AA24" s="31" t="s">
        <v>64</v>
      </c>
      <c r="AB24" s="33">
        <v>42250</v>
      </c>
      <c r="AC24" s="31"/>
      <c r="AD24" s="31"/>
      <c r="AE24" s="31"/>
      <c r="AF24" s="31" t="s">
        <v>183</v>
      </c>
      <c r="AG24" s="31"/>
      <c r="AH24" s="31">
        <v>0</v>
      </c>
      <c r="AI24" s="31"/>
      <c r="AJ24" s="31"/>
      <c r="AK24" s="31">
        <v>0</v>
      </c>
      <c r="AL24" s="31">
        <v>0</v>
      </c>
      <c r="AM24" s="31">
        <v>0</v>
      </c>
      <c r="AN24" s="31">
        <v>2795191641</v>
      </c>
      <c r="AO24" s="31" t="s">
        <v>77</v>
      </c>
      <c r="AP24" s="31" t="s">
        <v>228</v>
      </c>
    </row>
    <row r="25" spans="1:42" x14ac:dyDescent="0.2">
      <c r="A25" s="31">
        <v>10019110</v>
      </c>
      <c r="B25" s="31" t="s">
        <v>26</v>
      </c>
      <c r="C25" s="31" t="s">
        <v>78</v>
      </c>
      <c r="D25" s="33">
        <v>42250</v>
      </c>
      <c r="E25" s="31">
        <v>93503946</v>
      </c>
      <c r="F25" s="33">
        <v>42247</v>
      </c>
      <c r="G25" s="31"/>
      <c r="H25" s="31">
        <v>1323144</v>
      </c>
      <c r="I25" s="31" t="s">
        <v>566</v>
      </c>
      <c r="J25" s="31">
        <v>1340808</v>
      </c>
      <c r="K25" s="31" t="s">
        <v>566</v>
      </c>
      <c r="L25" s="31">
        <v>1323144</v>
      </c>
      <c r="M25" s="31" t="s">
        <v>566</v>
      </c>
      <c r="N25" s="31">
        <v>4500012253</v>
      </c>
      <c r="O25" s="31"/>
      <c r="P25" s="31"/>
      <c r="Q25" s="31" t="s">
        <v>181</v>
      </c>
      <c r="R25" s="31" t="s">
        <v>97</v>
      </c>
      <c r="S25" s="31" t="s">
        <v>98</v>
      </c>
      <c r="T25" s="31">
        <v>0</v>
      </c>
      <c r="U25" s="31" t="s">
        <v>182</v>
      </c>
      <c r="V25" s="31"/>
      <c r="W25" s="31" t="s">
        <v>63</v>
      </c>
      <c r="X25" s="31" t="s">
        <v>81</v>
      </c>
      <c r="Y25" s="31" t="s">
        <v>82</v>
      </c>
      <c r="Z25" s="33">
        <v>42275</v>
      </c>
      <c r="AA25" s="31" t="s">
        <v>83</v>
      </c>
      <c r="AB25" s="33">
        <v>42255</v>
      </c>
      <c r="AC25" s="31"/>
      <c r="AD25" s="31"/>
      <c r="AE25" s="31"/>
      <c r="AF25" s="31" t="s">
        <v>183</v>
      </c>
      <c r="AG25" s="31"/>
      <c r="AH25" s="31">
        <v>0</v>
      </c>
      <c r="AI25" s="31"/>
      <c r="AJ25" s="31"/>
      <c r="AK25" s="31">
        <v>0</v>
      </c>
      <c r="AL25" s="31">
        <v>0</v>
      </c>
      <c r="AM25" s="31">
        <v>0</v>
      </c>
      <c r="AN25" s="31">
        <v>87944972450311</v>
      </c>
      <c r="AO25" s="31" t="s">
        <v>84</v>
      </c>
      <c r="AP25" s="31" t="s">
        <v>567</v>
      </c>
    </row>
    <row r="26" spans="1:42" x14ac:dyDescent="0.2">
      <c r="A26" s="31">
        <v>10019111</v>
      </c>
      <c r="B26" s="31" t="s">
        <v>25</v>
      </c>
      <c r="C26" s="31" t="s">
        <v>78</v>
      </c>
      <c r="D26" s="33">
        <v>42250</v>
      </c>
      <c r="E26" s="31"/>
      <c r="F26" s="31"/>
      <c r="G26" s="31"/>
      <c r="H26" s="31">
        <v>1201156</v>
      </c>
      <c r="I26" s="31" t="s">
        <v>131</v>
      </c>
      <c r="J26" s="31">
        <v>1040821</v>
      </c>
      <c r="K26" s="31" t="s">
        <v>132</v>
      </c>
      <c r="L26" s="31">
        <v>1201156</v>
      </c>
      <c r="M26" s="31" t="s">
        <v>131</v>
      </c>
      <c r="N26" s="31">
        <v>1063999</v>
      </c>
      <c r="O26" s="31"/>
      <c r="P26" s="31"/>
      <c r="Q26" s="31" t="s">
        <v>181</v>
      </c>
      <c r="R26" s="31"/>
      <c r="S26" s="31"/>
      <c r="T26" s="31">
        <v>0</v>
      </c>
      <c r="U26" s="31" t="s">
        <v>182</v>
      </c>
      <c r="V26" s="31"/>
      <c r="W26" s="31" t="s">
        <v>63</v>
      </c>
      <c r="X26" s="31" t="s">
        <v>94</v>
      </c>
      <c r="Y26" s="31" t="s">
        <v>95</v>
      </c>
      <c r="Z26" s="33">
        <v>42257</v>
      </c>
      <c r="AA26" s="31" t="s">
        <v>64</v>
      </c>
      <c r="AB26" s="33">
        <v>42250</v>
      </c>
      <c r="AC26" s="31"/>
      <c r="AD26" s="31"/>
      <c r="AE26" s="31"/>
      <c r="AF26" s="31" t="s">
        <v>183</v>
      </c>
      <c r="AG26" s="31"/>
      <c r="AH26" s="31">
        <v>0</v>
      </c>
      <c r="AI26" s="31"/>
      <c r="AJ26" s="31"/>
      <c r="AK26" s="31">
        <v>0</v>
      </c>
      <c r="AL26" s="31">
        <v>0</v>
      </c>
      <c r="AM26" s="31">
        <v>0</v>
      </c>
      <c r="AN26" s="31"/>
      <c r="AO26" s="31" t="s">
        <v>142</v>
      </c>
      <c r="AP26" s="31" t="s">
        <v>568</v>
      </c>
    </row>
    <row r="27" spans="1:42" x14ac:dyDescent="0.2">
      <c r="A27" s="31">
        <v>10019112</v>
      </c>
      <c r="B27" s="31" t="s">
        <v>18</v>
      </c>
      <c r="C27" s="31" t="s">
        <v>78</v>
      </c>
      <c r="D27" s="33">
        <v>42250</v>
      </c>
      <c r="E27" s="31">
        <v>93505190</v>
      </c>
      <c r="F27" s="33">
        <v>42248</v>
      </c>
      <c r="G27" s="31"/>
      <c r="H27" s="31">
        <v>1201047</v>
      </c>
      <c r="I27" s="31" t="s">
        <v>79</v>
      </c>
      <c r="J27" s="31">
        <v>1064887</v>
      </c>
      <c r="K27" s="31" t="s">
        <v>80</v>
      </c>
      <c r="L27" s="31">
        <v>1171089</v>
      </c>
      <c r="M27" s="31" t="s">
        <v>75</v>
      </c>
      <c r="N27" s="31">
        <v>26982310</v>
      </c>
      <c r="O27" s="31"/>
      <c r="P27" s="31"/>
      <c r="Q27" s="31" t="s">
        <v>181</v>
      </c>
      <c r="R27" s="31" t="s">
        <v>102</v>
      </c>
      <c r="S27" s="31" t="s">
        <v>103</v>
      </c>
      <c r="T27" s="31">
        <v>2695.8</v>
      </c>
      <c r="U27" s="31" t="s">
        <v>182</v>
      </c>
      <c r="V27" s="31"/>
      <c r="W27" s="31" t="s">
        <v>63</v>
      </c>
      <c r="X27" s="31" t="s">
        <v>70</v>
      </c>
      <c r="Y27" s="31" t="s">
        <v>76</v>
      </c>
      <c r="Z27" s="33">
        <v>42257</v>
      </c>
      <c r="AA27" s="31" t="s">
        <v>83</v>
      </c>
      <c r="AB27" s="33">
        <v>42255</v>
      </c>
      <c r="AC27" s="31"/>
      <c r="AD27" s="31"/>
      <c r="AE27" s="31"/>
      <c r="AF27" s="31" t="s">
        <v>183</v>
      </c>
      <c r="AG27" s="31"/>
      <c r="AH27" s="31">
        <v>0</v>
      </c>
      <c r="AI27" s="31"/>
      <c r="AJ27" s="31"/>
      <c r="AK27" s="31">
        <v>0</v>
      </c>
      <c r="AL27" s="31">
        <v>0</v>
      </c>
      <c r="AM27" s="31">
        <v>0</v>
      </c>
      <c r="AN27" s="31" t="s">
        <v>569</v>
      </c>
      <c r="AO27" s="31" t="s">
        <v>77</v>
      </c>
      <c r="AP27" s="31" t="s">
        <v>570</v>
      </c>
    </row>
    <row r="28" spans="1:42" x14ac:dyDescent="0.2">
      <c r="A28" s="31">
        <v>10019113</v>
      </c>
      <c r="B28" s="31" t="s">
        <v>18</v>
      </c>
      <c r="C28" s="31" t="s">
        <v>78</v>
      </c>
      <c r="D28" s="33">
        <v>42250</v>
      </c>
      <c r="E28" s="31">
        <v>93499603</v>
      </c>
      <c r="F28" s="33">
        <v>42243</v>
      </c>
      <c r="G28" s="31"/>
      <c r="H28" s="31">
        <v>1201605</v>
      </c>
      <c r="I28" s="31" t="s">
        <v>155</v>
      </c>
      <c r="J28" s="31">
        <v>1323069</v>
      </c>
      <c r="K28" s="31" t="s">
        <v>155</v>
      </c>
      <c r="L28" s="31">
        <v>1172017</v>
      </c>
      <c r="M28" s="31" t="s">
        <v>155</v>
      </c>
      <c r="N28" s="31">
        <v>530812</v>
      </c>
      <c r="O28" s="31"/>
      <c r="P28" s="31"/>
      <c r="Q28" s="31" t="s">
        <v>181</v>
      </c>
      <c r="R28" s="31" t="s">
        <v>97</v>
      </c>
      <c r="S28" s="31" t="s">
        <v>98</v>
      </c>
      <c r="T28" s="31">
        <v>60</v>
      </c>
      <c r="U28" s="31" t="s">
        <v>182</v>
      </c>
      <c r="V28" s="31"/>
      <c r="W28" s="31" t="s">
        <v>63</v>
      </c>
      <c r="X28" s="31" t="s">
        <v>70</v>
      </c>
      <c r="Y28" s="31" t="s">
        <v>76</v>
      </c>
      <c r="Z28" s="33">
        <v>42257</v>
      </c>
      <c r="AA28" s="31" t="s">
        <v>64</v>
      </c>
      <c r="AB28" s="33">
        <v>42250</v>
      </c>
      <c r="AC28" s="31"/>
      <c r="AD28" s="31"/>
      <c r="AE28" s="31"/>
      <c r="AF28" s="31" t="s">
        <v>183</v>
      </c>
      <c r="AG28" s="31"/>
      <c r="AH28" s="31">
        <v>0</v>
      </c>
      <c r="AI28" s="31"/>
      <c r="AJ28" s="31"/>
      <c r="AK28" s="31">
        <v>0</v>
      </c>
      <c r="AL28" s="31">
        <v>0</v>
      </c>
      <c r="AM28" s="31">
        <v>0</v>
      </c>
      <c r="AN28" s="31" t="s">
        <v>571</v>
      </c>
      <c r="AO28" s="31" t="s">
        <v>77</v>
      </c>
      <c r="AP28" s="31" t="s">
        <v>187</v>
      </c>
    </row>
    <row r="29" spans="1:42" x14ac:dyDescent="0.2">
      <c r="A29" s="31">
        <v>10019114</v>
      </c>
      <c r="B29" s="31"/>
      <c r="C29" s="31" t="s">
        <v>197</v>
      </c>
      <c r="D29" s="33">
        <v>42250</v>
      </c>
      <c r="E29" s="31">
        <v>93495310</v>
      </c>
      <c r="F29" s="33">
        <v>42241</v>
      </c>
      <c r="G29" s="31"/>
      <c r="H29" s="31">
        <v>1318826</v>
      </c>
      <c r="I29" s="31" t="s">
        <v>110</v>
      </c>
      <c r="J29" s="31">
        <v>1334311</v>
      </c>
      <c r="K29" s="31" t="s">
        <v>113</v>
      </c>
      <c r="L29" s="31">
        <v>1318826</v>
      </c>
      <c r="M29" s="31" t="s">
        <v>110</v>
      </c>
      <c r="N29" s="31">
        <v>2048921</v>
      </c>
      <c r="O29" s="31"/>
      <c r="P29" s="31"/>
      <c r="Q29" s="31" t="s">
        <v>235</v>
      </c>
      <c r="R29" s="31" t="s">
        <v>97</v>
      </c>
      <c r="S29" s="31" t="s">
        <v>98</v>
      </c>
      <c r="T29" s="31">
        <v>3745.44</v>
      </c>
      <c r="U29" s="31" t="s">
        <v>182</v>
      </c>
      <c r="V29" s="31"/>
      <c r="W29" s="31" t="s">
        <v>120</v>
      </c>
      <c r="X29" s="31"/>
      <c r="Y29" s="31"/>
      <c r="Z29" s="31"/>
      <c r="AA29" s="31"/>
      <c r="AB29" s="31"/>
      <c r="AC29" s="31"/>
      <c r="AD29" s="31"/>
      <c r="AE29" s="31"/>
      <c r="AF29" s="31" t="s">
        <v>183</v>
      </c>
      <c r="AG29" s="31"/>
      <c r="AH29" s="31">
        <v>0</v>
      </c>
      <c r="AI29" s="31"/>
      <c r="AJ29" s="31"/>
      <c r="AK29" s="31">
        <v>0</v>
      </c>
      <c r="AL29" s="31">
        <v>0</v>
      </c>
      <c r="AM29" s="31">
        <v>0</v>
      </c>
      <c r="AN29" s="31">
        <v>87944972428037</v>
      </c>
      <c r="AO29" s="31"/>
      <c r="AP29" s="31"/>
    </row>
    <row r="30" spans="1:42" x14ac:dyDescent="0.2">
      <c r="A30" s="31">
        <v>10019116</v>
      </c>
      <c r="B30" s="31" t="s">
        <v>18</v>
      </c>
      <c r="C30" s="31" t="s">
        <v>78</v>
      </c>
      <c r="D30" s="33">
        <v>42250</v>
      </c>
      <c r="E30" s="31">
        <v>93503647</v>
      </c>
      <c r="F30" s="33">
        <v>42247</v>
      </c>
      <c r="G30" s="31"/>
      <c r="H30" s="31">
        <v>1201120</v>
      </c>
      <c r="I30" s="31" t="s">
        <v>117</v>
      </c>
      <c r="J30" s="31">
        <v>1307782</v>
      </c>
      <c r="K30" s="31" t="s">
        <v>119</v>
      </c>
      <c r="L30" s="31">
        <v>1171090</v>
      </c>
      <c r="M30" s="31" t="s">
        <v>118</v>
      </c>
      <c r="N30" s="31" t="s">
        <v>272</v>
      </c>
      <c r="O30" s="31"/>
      <c r="P30" s="31"/>
      <c r="Q30" s="31" t="s">
        <v>181</v>
      </c>
      <c r="R30" s="31" t="s">
        <v>97</v>
      </c>
      <c r="S30" s="31" t="s">
        <v>98</v>
      </c>
      <c r="T30" s="31">
        <v>565.04999999999995</v>
      </c>
      <c r="U30" s="31" t="s">
        <v>182</v>
      </c>
      <c r="V30" s="31"/>
      <c r="W30" s="31" t="s">
        <v>69</v>
      </c>
      <c r="X30" s="31" t="s">
        <v>70</v>
      </c>
      <c r="Y30" s="31" t="s">
        <v>76</v>
      </c>
      <c r="Z30" s="33">
        <v>42257</v>
      </c>
      <c r="AA30" s="31" t="s">
        <v>64</v>
      </c>
      <c r="AB30" s="33">
        <v>42250</v>
      </c>
      <c r="AC30" s="31" t="s">
        <v>100</v>
      </c>
      <c r="AD30" s="31">
        <v>61993049</v>
      </c>
      <c r="AE30" s="33">
        <v>42278</v>
      </c>
      <c r="AF30" s="31" t="s">
        <v>183</v>
      </c>
      <c r="AG30" s="31"/>
      <c r="AH30" s="31">
        <v>0</v>
      </c>
      <c r="AI30" s="31"/>
      <c r="AJ30" s="31"/>
      <c r="AK30" s="31">
        <v>0</v>
      </c>
      <c r="AL30" s="31">
        <v>0</v>
      </c>
      <c r="AM30" s="31">
        <v>0</v>
      </c>
      <c r="AN30" s="31" t="s">
        <v>572</v>
      </c>
      <c r="AO30" s="31" t="s">
        <v>77</v>
      </c>
      <c r="AP30" s="31" t="s">
        <v>187</v>
      </c>
    </row>
    <row r="31" spans="1:42" x14ac:dyDescent="0.2">
      <c r="A31" s="31">
        <v>10019117</v>
      </c>
      <c r="B31" s="31" t="s">
        <v>18</v>
      </c>
      <c r="C31" s="31" t="s">
        <v>573</v>
      </c>
      <c r="D31" s="33">
        <v>42251</v>
      </c>
      <c r="E31" s="31">
        <v>93503649</v>
      </c>
      <c r="F31" s="33">
        <v>42247</v>
      </c>
      <c r="G31" s="31"/>
      <c r="H31" s="31">
        <v>1201120</v>
      </c>
      <c r="I31" s="31" t="s">
        <v>117</v>
      </c>
      <c r="J31" s="31">
        <v>1307782</v>
      </c>
      <c r="K31" s="31" t="s">
        <v>119</v>
      </c>
      <c r="L31" s="31">
        <v>1171090</v>
      </c>
      <c r="M31" s="31" t="s">
        <v>118</v>
      </c>
      <c r="N31" s="31" t="s">
        <v>490</v>
      </c>
      <c r="O31" s="31"/>
      <c r="P31" s="31"/>
      <c r="Q31" s="31" t="s">
        <v>181</v>
      </c>
      <c r="R31" s="31" t="s">
        <v>97</v>
      </c>
      <c r="S31" s="31" t="s">
        <v>98</v>
      </c>
      <c r="T31" s="31">
        <v>226.02</v>
      </c>
      <c r="U31" s="31" t="s">
        <v>182</v>
      </c>
      <c r="V31" s="31"/>
      <c r="W31" s="31" t="s">
        <v>63</v>
      </c>
      <c r="X31" s="31" t="s">
        <v>70</v>
      </c>
      <c r="Y31" s="31" t="s">
        <v>76</v>
      </c>
      <c r="Z31" s="33">
        <v>42257</v>
      </c>
      <c r="AA31" s="31" t="s">
        <v>64</v>
      </c>
      <c r="AB31" s="33">
        <v>42251</v>
      </c>
      <c r="AC31" s="31"/>
      <c r="AD31" s="31"/>
      <c r="AE31" s="31"/>
      <c r="AF31" s="31" t="s">
        <v>183</v>
      </c>
      <c r="AG31" s="31"/>
      <c r="AH31" s="31">
        <v>0</v>
      </c>
      <c r="AI31" s="31"/>
      <c r="AJ31" s="31"/>
      <c r="AK31" s="31">
        <v>0</v>
      </c>
      <c r="AL31" s="31">
        <v>0</v>
      </c>
      <c r="AM31" s="31">
        <v>0</v>
      </c>
      <c r="AN31" s="31" t="s">
        <v>574</v>
      </c>
      <c r="AO31" s="31" t="s">
        <v>77</v>
      </c>
      <c r="AP31" s="31" t="s">
        <v>211</v>
      </c>
    </row>
    <row r="32" spans="1:42" x14ac:dyDescent="0.2">
      <c r="A32" s="31">
        <v>10019119</v>
      </c>
      <c r="B32" s="31"/>
      <c r="C32" s="31" t="s">
        <v>573</v>
      </c>
      <c r="D32" s="33">
        <v>42251</v>
      </c>
      <c r="E32" s="31">
        <v>93503649</v>
      </c>
      <c r="F32" s="33">
        <v>42247</v>
      </c>
      <c r="G32" s="31"/>
      <c r="H32" s="31">
        <v>1201120</v>
      </c>
      <c r="I32" s="31" t="s">
        <v>117</v>
      </c>
      <c r="J32" s="31">
        <v>1307782</v>
      </c>
      <c r="K32" s="31" t="s">
        <v>119</v>
      </c>
      <c r="L32" s="31">
        <v>1171090</v>
      </c>
      <c r="M32" s="31" t="s">
        <v>118</v>
      </c>
      <c r="N32" s="31" t="s">
        <v>490</v>
      </c>
      <c r="O32" s="31"/>
      <c r="P32" s="31"/>
      <c r="Q32" s="31" t="s">
        <v>181</v>
      </c>
      <c r="R32" s="31" t="s">
        <v>97</v>
      </c>
      <c r="S32" s="31" t="s">
        <v>98</v>
      </c>
      <c r="T32" s="31">
        <v>226.02</v>
      </c>
      <c r="U32" s="31" t="s">
        <v>182</v>
      </c>
      <c r="V32" s="31"/>
      <c r="W32" s="31" t="s">
        <v>120</v>
      </c>
      <c r="X32" s="31"/>
      <c r="Y32" s="31"/>
      <c r="Z32" s="31"/>
      <c r="AA32" s="31"/>
      <c r="AB32" s="31"/>
      <c r="AC32" s="31"/>
      <c r="AD32" s="31"/>
      <c r="AE32" s="31"/>
      <c r="AF32" s="31" t="s">
        <v>183</v>
      </c>
      <c r="AG32" s="31"/>
      <c r="AH32" s="31">
        <v>0</v>
      </c>
      <c r="AI32" s="31"/>
      <c r="AJ32" s="31"/>
      <c r="AK32" s="31">
        <v>0</v>
      </c>
      <c r="AL32" s="31">
        <v>0</v>
      </c>
      <c r="AM32" s="31">
        <v>0</v>
      </c>
      <c r="AN32" s="31" t="s">
        <v>574</v>
      </c>
      <c r="AO32" s="31"/>
      <c r="AP32" s="31"/>
    </row>
    <row r="33" spans="1:42" x14ac:dyDescent="0.2">
      <c r="A33" s="31">
        <v>10019120</v>
      </c>
      <c r="B33" s="31" t="s">
        <v>22</v>
      </c>
      <c r="C33" s="31" t="s">
        <v>575</v>
      </c>
      <c r="D33" s="33">
        <v>42251</v>
      </c>
      <c r="E33" s="31">
        <v>93495303</v>
      </c>
      <c r="F33" s="33">
        <v>42241</v>
      </c>
      <c r="G33" s="31"/>
      <c r="H33" s="31">
        <v>1308501</v>
      </c>
      <c r="I33" s="31" t="s">
        <v>576</v>
      </c>
      <c r="J33" s="31">
        <v>1334529</v>
      </c>
      <c r="K33" s="31" t="s">
        <v>577</v>
      </c>
      <c r="L33" s="31">
        <v>1308501</v>
      </c>
      <c r="M33" s="31" t="s">
        <v>576</v>
      </c>
      <c r="N33" s="31" t="s">
        <v>578</v>
      </c>
      <c r="O33" s="31"/>
      <c r="P33" s="31"/>
      <c r="Q33" s="31" t="s">
        <v>181</v>
      </c>
      <c r="R33" s="31" t="s">
        <v>102</v>
      </c>
      <c r="S33" s="31" t="s">
        <v>103</v>
      </c>
      <c r="T33" s="31">
        <v>227.01</v>
      </c>
      <c r="U33" s="31" t="s">
        <v>182</v>
      </c>
      <c r="V33" s="31"/>
      <c r="W33" s="31" t="s">
        <v>69</v>
      </c>
      <c r="X33" s="31" t="s">
        <v>104</v>
      </c>
      <c r="Y33" s="31" t="s">
        <v>71</v>
      </c>
      <c r="Z33" s="33">
        <v>42255</v>
      </c>
      <c r="AA33" s="31" t="s">
        <v>64</v>
      </c>
      <c r="AB33" s="33">
        <v>42251</v>
      </c>
      <c r="AC33" s="31" t="s">
        <v>72</v>
      </c>
      <c r="AD33" s="31">
        <v>61976981</v>
      </c>
      <c r="AE33" s="33">
        <v>42255</v>
      </c>
      <c r="AF33" s="31" t="s">
        <v>183</v>
      </c>
      <c r="AG33" s="31"/>
      <c r="AH33" s="31">
        <v>0</v>
      </c>
      <c r="AI33" s="31"/>
      <c r="AJ33" s="31"/>
      <c r="AK33" s="31">
        <v>0</v>
      </c>
      <c r="AL33" s="31">
        <v>0</v>
      </c>
      <c r="AM33" s="31">
        <v>0</v>
      </c>
      <c r="AN33" s="31">
        <v>636808613647</v>
      </c>
      <c r="AO33" s="31" t="s">
        <v>352</v>
      </c>
      <c r="AP33" s="31" t="s">
        <v>579</v>
      </c>
    </row>
    <row r="34" spans="1:42" x14ac:dyDescent="0.2">
      <c r="A34" s="31">
        <v>10019121</v>
      </c>
      <c r="B34" s="31" t="s">
        <v>22</v>
      </c>
      <c r="C34" s="31" t="s">
        <v>575</v>
      </c>
      <c r="D34" s="33">
        <v>42251</v>
      </c>
      <c r="E34" s="31">
        <v>93501602</v>
      </c>
      <c r="F34" s="33">
        <v>42244</v>
      </c>
      <c r="G34" s="31"/>
      <c r="H34" s="31">
        <v>1201259</v>
      </c>
      <c r="I34" s="31" t="s">
        <v>525</v>
      </c>
      <c r="J34" s="31">
        <v>1201259</v>
      </c>
      <c r="K34" s="31" t="s">
        <v>525</v>
      </c>
      <c r="L34" s="31">
        <v>1171974</v>
      </c>
      <c r="M34" s="31" t="s">
        <v>525</v>
      </c>
      <c r="N34" s="31">
        <v>14748</v>
      </c>
      <c r="O34" s="31"/>
      <c r="P34" s="31"/>
      <c r="Q34" s="31" t="s">
        <v>181</v>
      </c>
      <c r="R34" s="31" t="s">
        <v>91</v>
      </c>
      <c r="S34" s="31" t="s">
        <v>92</v>
      </c>
      <c r="T34" s="31">
        <v>137.69999999999999</v>
      </c>
      <c r="U34" s="31" t="s">
        <v>182</v>
      </c>
      <c r="V34" s="31"/>
      <c r="W34" s="31" t="s">
        <v>63</v>
      </c>
      <c r="X34" s="31" t="s">
        <v>94</v>
      </c>
      <c r="Y34" s="31" t="s">
        <v>141</v>
      </c>
      <c r="Z34" s="33">
        <v>42257</v>
      </c>
      <c r="AA34" s="31" t="s">
        <v>64</v>
      </c>
      <c r="AB34" s="33">
        <v>42256</v>
      </c>
      <c r="AC34" s="31"/>
      <c r="AD34" s="31"/>
      <c r="AE34" s="31"/>
      <c r="AF34" s="31" t="s">
        <v>183</v>
      </c>
      <c r="AG34" s="31"/>
      <c r="AH34" s="31">
        <v>0</v>
      </c>
      <c r="AI34" s="31"/>
      <c r="AJ34" s="31"/>
      <c r="AK34" s="31">
        <v>0</v>
      </c>
      <c r="AL34" s="31">
        <v>0</v>
      </c>
      <c r="AM34" s="31">
        <v>0</v>
      </c>
      <c r="AN34" s="31" t="s">
        <v>580</v>
      </c>
      <c r="AO34" s="31" t="s">
        <v>142</v>
      </c>
      <c r="AP34" s="31" t="s">
        <v>581</v>
      </c>
    </row>
    <row r="35" spans="1:42" x14ac:dyDescent="0.2">
      <c r="A35" s="31">
        <v>10019123</v>
      </c>
      <c r="B35" s="31" t="s">
        <v>18</v>
      </c>
      <c r="C35" s="31" t="s">
        <v>573</v>
      </c>
      <c r="D35" s="33">
        <v>42255</v>
      </c>
      <c r="E35" s="31">
        <v>93505145</v>
      </c>
      <c r="F35" s="33">
        <v>42248</v>
      </c>
      <c r="G35" s="31"/>
      <c r="H35" s="31">
        <v>1057544</v>
      </c>
      <c r="I35" s="31" t="s">
        <v>363</v>
      </c>
      <c r="J35" s="31">
        <v>1327308</v>
      </c>
      <c r="K35" s="31" t="s">
        <v>363</v>
      </c>
      <c r="L35" s="31">
        <v>1057544</v>
      </c>
      <c r="M35" s="31" t="s">
        <v>363</v>
      </c>
      <c r="N35" s="31">
        <v>8118086</v>
      </c>
      <c r="O35" s="31"/>
      <c r="P35" s="31"/>
      <c r="Q35" s="31" t="s">
        <v>181</v>
      </c>
      <c r="R35" s="31" t="s">
        <v>102</v>
      </c>
      <c r="S35" s="31" t="s">
        <v>103</v>
      </c>
      <c r="T35" s="31">
        <v>183</v>
      </c>
      <c r="U35" s="31" t="s">
        <v>182</v>
      </c>
      <c r="V35" s="31"/>
      <c r="W35" s="31" t="s">
        <v>63</v>
      </c>
      <c r="X35" s="31" t="s">
        <v>70</v>
      </c>
      <c r="Y35" s="31" t="s">
        <v>76</v>
      </c>
      <c r="Z35" s="33">
        <v>42257</v>
      </c>
      <c r="AA35" s="31" t="s">
        <v>64</v>
      </c>
      <c r="AB35" s="33">
        <v>42255</v>
      </c>
      <c r="AC35" s="31"/>
      <c r="AD35" s="31"/>
      <c r="AE35" s="31"/>
      <c r="AF35" s="31" t="s">
        <v>183</v>
      </c>
      <c r="AG35" s="31"/>
      <c r="AH35" s="31">
        <v>0</v>
      </c>
      <c r="AI35" s="31"/>
      <c r="AJ35" s="31"/>
      <c r="AK35" s="31">
        <v>0</v>
      </c>
      <c r="AL35" s="31">
        <v>0</v>
      </c>
      <c r="AM35" s="31">
        <v>0</v>
      </c>
      <c r="AN35" s="31" t="s">
        <v>582</v>
      </c>
      <c r="AO35" s="31" t="s">
        <v>77</v>
      </c>
      <c r="AP35" s="31" t="s">
        <v>583</v>
      </c>
    </row>
    <row r="36" spans="1:42" x14ac:dyDescent="0.2">
      <c r="A36" s="31">
        <v>10019126</v>
      </c>
      <c r="B36" s="31" t="s">
        <v>22</v>
      </c>
      <c r="C36" s="31" t="s">
        <v>573</v>
      </c>
      <c r="D36" s="33">
        <v>42255</v>
      </c>
      <c r="E36" s="31">
        <v>93510143</v>
      </c>
      <c r="F36" s="33">
        <v>42250</v>
      </c>
      <c r="G36" s="31"/>
      <c r="H36" s="31">
        <v>1057544</v>
      </c>
      <c r="I36" s="31" t="s">
        <v>363</v>
      </c>
      <c r="J36" s="31">
        <v>1327308</v>
      </c>
      <c r="K36" s="31" t="s">
        <v>363</v>
      </c>
      <c r="L36" s="31">
        <v>1057544</v>
      </c>
      <c r="M36" s="31" t="s">
        <v>363</v>
      </c>
      <c r="N36" s="31">
        <v>8118086</v>
      </c>
      <c r="O36" s="31"/>
      <c r="P36" s="31"/>
      <c r="Q36" s="31" t="s">
        <v>181</v>
      </c>
      <c r="R36" s="31" t="s">
        <v>102</v>
      </c>
      <c r="S36" s="31" t="s">
        <v>103</v>
      </c>
      <c r="T36" s="31">
        <v>150</v>
      </c>
      <c r="U36" s="31" t="s">
        <v>182</v>
      </c>
      <c r="V36" s="31"/>
      <c r="W36" s="31" t="s">
        <v>63</v>
      </c>
      <c r="X36" s="31" t="s">
        <v>94</v>
      </c>
      <c r="Y36" s="31" t="s">
        <v>141</v>
      </c>
      <c r="Z36" s="33">
        <v>42258</v>
      </c>
      <c r="AA36" s="31" t="s">
        <v>64</v>
      </c>
      <c r="AB36" s="33">
        <v>42255</v>
      </c>
      <c r="AC36" s="31"/>
      <c r="AD36" s="31"/>
      <c r="AE36" s="31"/>
      <c r="AF36" s="31" t="s">
        <v>183</v>
      </c>
      <c r="AG36" s="31"/>
      <c r="AH36" s="31">
        <v>0</v>
      </c>
      <c r="AI36" s="31"/>
      <c r="AJ36" s="31"/>
      <c r="AK36" s="31">
        <v>0</v>
      </c>
      <c r="AL36" s="31">
        <v>0</v>
      </c>
      <c r="AM36" s="31">
        <v>0</v>
      </c>
      <c r="AN36" s="31">
        <v>636808627389</v>
      </c>
      <c r="AO36" s="31" t="s">
        <v>142</v>
      </c>
      <c r="AP36" s="31" t="s">
        <v>584</v>
      </c>
    </row>
    <row r="37" spans="1:42" x14ac:dyDescent="0.2">
      <c r="A37" s="31">
        <v>10019127</v>
      </c>
      <c r="B37" s="31" t="s">
        <v>26</v>
      </c>
      <c r="C37" s="31" t="s">
        <v>252</v>
      </c>
      <c r="D37" s="33">
        <v>42255</v>
      </c>
      <c r="E37" s="31">
        <v>93433084</v>
      </c>
      <c r="F37" s="33">
        <v>42194</v>
      </c>
      <c r="G37" s="33">
        <v>42201</v>
      </c>
      <c r="H37" s="31">
        <v>1201156</v>
      </c>
      <c r="I37" s="31" t="s">
        <v>131</v>
      </c>
      <c r="J37" s="31">
        <v>1319569</v>
      </c>
      <c r="K37" s="31" t="s">
        <v>132</v>
      </c>
      <c r="L37" s="31">
        <v>1201156</v>
      </c>
      <c r="M37" s="31" t="s">
        <v>131</v>
      </c>
      <c r="N37" s="31">
        <v>8299408</v>
      </c>
      <c r="O37" s="31"/>
      <c r="P37" s="31"/>
      <c r="Q37" s="31" t="s">
        <v>181</v>
      </c>
      <c r="R37" s="31" t="s">
        <v>61</v>
      </c>
      <c r="S37" s="31" t="s">
        <v>62</v>
      </c>
      <c r="T37" s="31">
        <v>6219.84</v>
      </c>
      <c r="U37" s="31" t="s">
        <v>182</v>
      </c>
      <c r="V37" s="31"/>
      <c r="W37" s="31" t="s">
        <v>63</v>
      </c>
      <c r="X37" s="31" t="s">
        <v>81</v>
      </c>
      <c r="Y37" s="31" t="s">
        <v>88</v>
      </c>
      <c r="Z37" s="33">
        <v>42268</v>
      </c>
      <c r="AA37" s="31" t="s">
        <v>64</v>
      </c>
      <c r="AB37" s="33">
        <v>42255</v>
      </c>
      <c r="AC37" s="31"/>
      <c r="AD37" s="31"/>
      <c r="AE37" s="31"/>
      <c r="AF37" s="31" t="s">
        <v>183</v>
      </c>
      <c r="AG37" s="31"/>
      <c r="AH37" s="31">
        <v>0</v>
      </c>
      <c r="AI37" s="31"/>
      <c r="AJ37" s="31"/>
      <c r="AK37" s="31">
        <v>0</v>
      </c>
      <c r="AL37" s="31">
        <v>0</v>
      </c>
      <c r="AM37" s="31">
        <v>0</v>
      </c>
      <c r="AN37" s="31">
        <v>327755167</v>
      </c>
      <c r="AO37" s="31" t="s">
        <v>89</v>
      </c>
      <c r="AP37" s="31" t="s">
        <v>274</v>
      </c>
    </row>
    <row r="38" spans="1:42" x14ac:dyDescent="0.2">
      <c r="A38" s="31">
        <v>10019128</v>
      </c>
      <c r="B38" s="31" t="s">
        <v>22</v>
      </c>
      <c r="C38" s="31" t="s">
        <v>197</v>
      </c>
      <c r="D38" s="33">
        <v>42255</v>
      </c>
      <c r="E38" s="31">
        <v>93508097</v>
      </c>
      <c r="F38" s="33">
        <v>42249</v>
      </c>
      <c r="G38" s="33">
        <v>42250</v>
      </c>
      <c r="H38" s="31">
        <v>1337184</v>
      </c>
      <c r="I38" s="31" t="s">
        <v>330</v>
      </c>
      <c r="J38" s="31">
        <v>1339212</v>
      </c>
      <c r="K38" s="31" t="s">
        <v>585</v>
      </c>
      <c r="L38" s="31">
        <v>1201767</v>
      </c>
      <c r="M38" s="31" t="s">
        <v>330</v>
      </c>
      <c r="N38" s="31" t="s">
        <v>586</v>
      </c>
      <c r="O38" s="31"/>
      <c r="P38" s="31"/>
      <c r="Q38" s="31" t="s">
        <v>181</v>
      </c>
      <c r="R38" s="31" t="s">
        <v>67</v>
      </c>
      <c r="S38" s="31" t="s">
        <v>68</v>
      </c>
      <c r="T38" s="31">
        <v>92886.48</v>
      </c>
      <c r="U38" s="31" t="s">
        <v>182</v>
      </c>
      <c r="V38" s="31"/>
      <c r="W38" s="31" t="s">
        <v>69</v>
      </c>
      <c r="X38" s="31" t="s">
        <v>104</v>
      </c>
      <c r="Y38" s="31" t="s">
        <v>71</v>
      </c>
      <c r="Z38" s="33">
        <v>42259</v>
      </c>
      <c r="AA38" s="31" t="s">
        <v>64</v>
      </c>
      <c r="AB38" s="33">
        <v>42258</v>
      </c>
      <c r="AC38" s="31" t="s">
        <v>72</v>
      </c>
      <c r="AD38" s="31">
        <v>61989293</v>
      </c>
      <c r="AE38" s="33">
        <v>42272</v>
      </c>
      <c r="AF38" s="31" t="s">
        <v>183</v>
      </c>
      <c r="AG38" s="31"/>
      <c r="AH38" s="31">
        <v>0</v>
      </c>
      <c r="AI38" s="31"/>
      <c r="AJ38" s="31"/>
      <c r="AK38" s="31">
        <v>0</v>
      </c>
      <c r="AL38" s="31">
        <v>0</v>
      </c>
      <c r="AM38" s="31">
        <v>0</v>
      </c>
      <c r="AN38" s="31">
        <v>2795190086</v>
      </c>
      <c r="AO38" s="31" t="s">
        <v>465</v>
      </c>
      <c r="AP38" s="31" t="s">
        <v>587</v>
      </c>
    </row>
    <row r="39" spans="1:42" x14ac:dyDescent="0.2">
      <c r="A39" s="31">
        <v>10019132</v>
      </c>
      <c r="B39" s="31" t="s">
        <v>22</v>
      </c>
      <c r="C39" s="31" t="s">
        <v>78</v>
      </c>
      <c r="D39" s="33">
        <v>42256</v>
      </c>
      <c r="E39" s="31">
        <v>93511857</v>
      </c>
      <c r="F39" s="33">
        <v>42251</v>
      </c>
      <c r="G39" s="33">
        <v>42255</v>
      </c>
      <c r="H39" s="31">
        <v>1201215</v>
      </c>
      <c r="I39" s="31" t="s">
        <v>138</v>
      </c>
      <c r="J39" s="31">
        <v>1324492</v>
      </c>
      <c r="K39" s="31" t="s">
        <v>138</v>
      </c>
      <c r="L39" s="31">
        <v>1201215</v>
      </c>
      <c r="M39" s="31" t="s">
        <v>138</v>
      </c>
      <c r="N39" s="31" t="s">
        <v>588</v>
      </c>
      <c r="O39" s="31"/>
      <c r="P39" s="31"/>
      <c r="Q39" s="31" t="s">
        <v>181</v>
      </c>
      <c r="R39" s="31" t="s">
        <v>67</v>
      </c>
      <c r="S39" s="31" t="s">
        <v>68</v>
      </c>
      <c r="T39" s="31">
        <v>890.4</v>
      </c>
      <c r="U39" s="31" t="s">
        <v>182</v>
      </c>
      <c r="V39" s="31"/>
      <c r="W39" s="31" t="s">
        <v>63</v>
      </c>
      <c r="X39" s="31" t="s">
        <v>94</v>
      </c>
      <c r="Y39" s="31" t="s">
        <v>95</v>
      </c>
      <c r="Z39" s="33">
        <v>42257</v>
      </c>
      <c r="AA39" s="31" t="s">
        <v>64</v>
      </c>
      <c r="AB39" s="33">
        <v>42256</v>
      </c>
      <c r="AC39" s="31"/>
      <c r="AD39" s="31"/>
      <c r="AE39" s="31"/>
      <c r="AF39" s="31" t="s">
        <v>183</v>
      </c>
      <c r="AG39" s="31"/>
      <c r="AH39" s="31">
        <v>0</v>
      </c>
      <c r="AI39" s="31"/>
      <c r="AJ39" s="31"/>
      <c r="AK39" s="31">
        <v>0</v>
      </c>
      <c r="AL39" s="31">
        <v>0</v>
      </c>
      <c r="AM39" s="31">
        <v>0</v>
      </c>
      <c r="AN39" s="31">
        <v>2795190834</v>
      </c>
      <c r="AO39" s="31" t="s">
        <v>142</v>
      </c>
      <c r="AP39" s="31" t="s">
        <v>589</v>
      </c>
    </row>
    <row r="40" spans="1:42" x14ac:dyDescent="0.2">
      <c r="A40" s="31">
        <v>10019134</v>
      </c>
      <c r="B40" s="31" t="s">
        <v>18</v>
      </c>
      <c r="C40" s="31" t="s">
        <v>78</v>
      </c>
      <c r="D40" s="33">
        <v>42256</v>
      </c>
      <c r="E40" s="31">
        <v>93510349</v>
      </c>
      <c r="F40" s="33">
        <v>42250</v>
      </c>
      <c r="G40" s="33">
        <v>42255</v>
      </c>
      <c r="H40" s="31">
        <v>1201133</v>
      </c>
      <c r="I40" s="31" t="s">
        <v>128</v>
      </c>
      <c r="J40" s="31">
        <v>1325387</v>
      </c>
      <c r="K40" s="31" t="s">
        <v>129</v>
      </c>
      <c r="L40" s="31">
        <v>1171102</v>
      </c>
      <c r="M40" s="31" t="s">
        <v>130</v>
      </c>
      <c r="N40" s="31" t="s">
        <v>590</v>
      </c>
      <c r="O40" s="31"/>
      <c r="P40" s="31"/>
      <c r="Q40" s="31" t="s">
        <v>181</v>
      </c>
      <c r="R40" s="31" t="s">
        <v>67</v>
      </c>
      <c r="S40" s="31" t="s">
        <v>68</v>
      </c>
      <c r="T40" s="31">
        <v>6715.2</v>
      </c>
      <c r="U40" s="31" t="s">
        <v>182</v>
      </c>
      <c r="V40" s="31"/>
      <c r="W40" s="31" t="s">
        <v>63</v>
      </c>
      <c r="X40" s="31" t="s">
        <v>70</v>
      </c>
      <c r="Y40" s="31" t="s">
        <v>76</v>
      </c>
      <c r="Z40" s="33">
        <v>42256</v>
      </c>
      <c r="AA40" s="31" t="s">
        <v>83</v>
      </c>
      <c r="AB40" s="33">
        <v>42256</v>
      </c>
      <c r="AC40" s="31"/>
      <c r="AD40" s="31"/>
      <c r="AE40" s="31"/>
      <c r="AF40" s="31" t="s">
        <v>183</v>
      </c>
      <c r="AG40" s="31"/>
      <c r="AH40" s="31">
        <v>0</v>
      </c>
      <c r="AI40" s="31"/>
      <c r="AJ40" s="31"/>
      <c r="AK40" s="31">
        <v>0</v>
      </c>
      <c r="AL40" s="31">
        <v>0</v>
      </c>
      <c r="AM40" s="31">
        <v>0</v>
      </c>
      <c r="AN40" s="31">
        <v>2795190576</v>
      </c>
      <c r="AO40" s="31" t="s">
        <v>77</v>
      </c>
      <c r="AP40" s="31" t="s">
        <v>591</v>
      </c>
    </row>
    <row r="41" spans="1:42" x14ac:dyDescent="0.2">
      <c r="A41" s="31">
        <v>10019137</v>
      </c>
      <c r="B41" s="31" t="s">
        <v>22</v>
      </c>
      <c r="C41" s="31" t="s">
        <v>592</v>
      </c>
      <c r="D41" s="33">
        <v>42256</v>
      </c>
      <c r="E41" s="31">
        <v>93512105</v>
      </c>
      <c r="F41" s="33">
        <v>42251</v>
      </c>
      <c r="G41" s="33">
        <v>42255</v>
      </c>
      <c r="H41" s="31">
        <v>1319184</v>
      </c>
      <c r="I41" s="31" t="s">
        <v>479</v>
      </c>
      <c r="J41" s="31">
        <v>1319184</v>
      </c>
      <c r="K41" s="31" t="s">
        <v>479</v>
      </c>
      <c r="L41" s="31">
        <v>1319184</v>
      </c>
      <c r="M41" s="31" t="s">
        <v>479</v>
      </c>
      <c r="N41" s="31">
        <v>562944</v>
      </c>
      <c r="O41" s="31"/>
      <c r="P41" s="31"/>
      <c r="Q41" s="31" t="s">
        <v>181</v>
      </c>
      <c r="R41" s="31" t="s">
        <v>67</v>
      </c>
      <c r="S41" s="31" t="s">
        <v>68</v>
      </c>
      <c r="T41" s="31">
        <v>37.56</v>
      </c>
      <c r="U41" s="31" t="s">
        <v>182</v>
      </c>
      <c r="V41" s="31"/>
      <c r="W41" s="31" t="s">
        <v>63</v>
      </c>
      <c r="X41" s="31" t="s">
        <v>94</v>
      </c>
      <c r="Y41" s="31" t="s">
        <v>82</v>
      </c>
      <c r="Z41" s="33">
        <v>42262</v>
      </c>
      <c r="AA41" s="31" t="s">
        <v>64</v>
      </c>
      <c r="AB41" s="33">
        <v>42256</v>
      </c>
      <c r="AC41" s="31"/>
      <c r="AD41" s="31"/>
      <c r="AE41" s="31"/>
      <c r="AF41" s="31" t="s">
        <v>183</v>
      </c>
      <c r="AG41" s="31"/>
      <c r="AH41" s="31">
        <v>0</v>
      </c>
      <c r="AI41" s="31"/>
      <c r="AJ41" s="31"/>
      <c r="AK41" s="31">
        <v>0</v>
      </c>
      <c r="AL41" s="31">
        <v>0</v>
      </c>
      <c r="AM41" s="31">
        <v>0</v>
      </c>
      <c r="AN41" s="31">
        <v>2795190635</v>
      </c>
      <c r="AO41" s="31" t="s">
        <v>142</v>
      </c>
      <c r="AP41" s="31" t="s">
        <v>593</v>
      </c>
    </row>
    <row r="42" spans="1:42" x14ac:dyDescent="0.2">
      <c r="A42" s="31">
        <v>10019143</v>
      </c>
      <c r="B42" s="31" t="s">
        <v>26</v>
      </c>
      <c r="C42" s="31" t="s">
        <v>78</v>
      </c>
      <c r="D42" s="33">
        <v>42256</v>
      </c>
      <c r="E42" s="31">
        <v>93487638</v>
      </c>
      <c r="F42" s="33">
        <v>42235</v>
      </c>
      <c r="G42" s="31"/>
      <c r="H42" s="31">
        <v>1201458</v>
      </c>
      <c r="I42" s="31" t="s">
        <v>594</v>
      </c>
      <c r="J42" s="31">
        <v>1201458</v>
      </c>
      <c r="K42" s="31" t="s">
        <v>594</v>
      </c>
      <c r="L42" s="31">
        <v>1201458</v>
      </c>
      <c r="M42" s="31" t="s">
        <v>594</v>
      </c>
      <c r="N42" s="31">
        <v>271627</v>
      </c>
      <c r="O42" s="31"/>
      <c r="P42" s="31"/>
      <c r="Q42" s="31" t="s">
        <v>181</v>
      </c>
      <c r="R42" s="31" t="s">
        <v>91</v>
      </c>
      <c r="S42" s="31" t="s">
        <v>92</v>
      </c>
      <c r="T42" s="31">
        <v>14286.75</v>
      </c>
      <c r="U42" s="31" t="s">
        <v>182</v>
      </c>
      <c r="V42" s="31"/>
      <c r="W42" s="31" t="s">
        <v>69</v>
      </c>
      <c r="X42" s="31" t="s">
        <v>94</v>
      </c>
      <c r="Y42" s="31" t="s">
        <v>71</v>
      </c>
      <c r="Z42" s="33">
        <v>42256</v>
      </c>
      <c r="AA42" s="31" t="s">
        <v>83</v>
      </c>
      <c r="AB42" s="33">
        <v>42256</v>
      </c>
      <c r="AC42" s="31" t="s">
        <v>72</v>
      </c>
      <c r="AD42" s="31">
        <v>61979255</v>
      </c>
      <c r="AE42" s="33">
        <v>42258</v>
      </c>
      <c r="AF42" s="31" t="s">
        <v>183</v>
      </c>
      <c r="AG42" s="31"/>
      <c r="AH42" s="31">
        <v>0</v>
      </c>
      <c r="AI42" s="31"/>
      <c r="AJ42" s="31"/>
      <c r="AK42" s="31">
        <v>0</v>
      </c>
      <c r="AL42" s="31">
        <v>0</v>
      </c>
      <c r="AM42" s="31">
        <v>0</v>
      </c>
      <c r="AN42" s="31" t="s">
        <v>595</v>
      </c>
      <c r="AO42" s="31" t="s">
        <v>96</v>
      </c>
      <c r="AP42" s="31" t="s">
        <v>596</v>
      </c>
    </row>
    <row r="43" spans="1:42" x14ac:dyDescent="0.2">
      <c r="A43" s="31">
        <v>10019144</v>
      </c>
      <c r="B43" s="31" t="s">
        <v>22</v>
      </c>
      <c r="C43" s="31" t="s">
        <v>573</v>
      </c>
      <c r="D43" s="33">
        <v>42256</v>
      </c>
      <c r="E43" s="31">
        <v>93475123</v>
      </c>
      <c r="F43" s="33">
        <v>42226</v>
      </c>
      <c r="G43" s="31"/>
      <c r="H43" s="31">
        <v>1201566</v>
      </c>
      <c r="I43" s="31" t="s">
        <v>154</v>
      </c>
      <c r="J43" s="31">
        <v>1201566</v>
      </c>
      <c r="K43" s="31" t="s">
        <v>154</v>
      </c>
      <c r="L43" s="31">
        <v>1201566</v>
      </c>
      <c r="M43" s="31" t="s">
        <v>154</v>
      </c>
      <c r="N43" s="31">
        <v>2733764</v>
      </c>
      <c r="O43" s="31"/>
      <c r="P43" s="31"/>
      <c r="Q43" s="31" t="s">
        <v>181</v>
      </c>
      <c r="R43" s="31" t="s">
        <v>102</v>
      </c>
      <c r="S43" s="31" t="s">
        <v>103</v>
      </c>
      <c r="T43" s="31">
        <v>304.76</v>
      </c>
      <c r="U43" s="31" t="s">
        <v>182</v>
      </c>
      <c r="V43" s="31"/>
      <c r="W43" s="31" t="s">
        <v>63</v>
      </c>
      <c r="X43" s="31" t="s">
        <v>94</v>
      </c>
      <c r="Y43" s="31" t="s">
        <v>95</v>
      </c>
      <c r="Z43" s="33">
        <v>42258</v>
      </c>
      <c r="AA43" s="31" t="s">
        <v>64</v>
      </c>
      <c r="AB43" s="33">
        <v>42256</v>
      </c>
      <c r="AC43" s="31"/>
      <c r="AD43" s="31"/>
      <c r="AE43" s="31"/>
      <c r="AF43" s="31" t="s">
        <v>183</v>
      </c>
      <c r="AG43" s="31"/>
      <c r="AH43" s="31">
        <v>0</v>
      </c>
      <c r="AI43" s="31"/>
      <c r="AJ43" s="31"/>
      <c r="AK43" s="31">
        <v>0</v>
      </c>
      <c r="AL43" s="31">
        <v>0</v>
      </c>
      <c r="AM43" s="31">
        <v>0</v>
      </c>
      <c r="AN43" s="31">
        <v>636808579946</v>
      </c>
      <c r="AO43" s="31" t="s">
        <v>142</v>
      </c>
      <c r="AP43" s="31" t="s">
        <v>597</v>
      </c>
    </row>
    <row r="44" spans="1:42" x14ac:dyDescent="0.2">
      <c r="A44" s="31">
        <v>10019145</v>
      </c>
      <c r="B44" s="31" t="s">
        <v>26</v>
      </c>
      <c r="C44" s="31" t="s">
        <v>149</v>
      </c>
      <c r="D44" s="33">
        <v>42256</v>
      </c>
      <c r="E44" s="31">
        <v>93503789</v>
      </c>
      <c r="F44" s="33">
        <v>42247</v>
      </c>
      <c r="G44" s="33">
        <v>42248</v>
      </c>
      <c r="H44" s="31">
        <v>1201483</v>
      </c>
      <c r="I44" s="31" t="s">
        <v>147</v>
      </c>
      <c r="J44" s="31">
        <v>1001169</v>
      </c>
      <c r="K44" s="31" t="s">
        <v>148</v>
      </c>
      <c r="L44" s="31">
        <v>1201483</v>
      </c>
      <c r="M44" s="31" t="s">
        <v>147</v>
      </c>
      <c r="N44" s="31">
        <v>93377</v>
      </c>
      <c r="O44" s="31"/>
      <c r="P44" s="31"/>
      <c r="Q44" s="31" t="s">
        <v>181</v>
      </c>
      <c r="R44" s="31" t="s">
        <v>67</v>
      </c>
      <c r="S44" s="31" t="s">
        <v>68</v>
      </c>
      <c r="T44" s="31">
        <v>1854.24</v>
      </c>
      <c r="U44" s="31" t="s">
        <v>182</v>
      </c>
      <c r="V44" s="31"/>
      <c r="W44" s="31" t="s">
        <v>63</v>
      </c>
      <c r="X44" s="31" t="s">
        <v>94</v>
      </c>
      <c r="Y44" s="31" t="s">
        <v>95</v>
      </c>
      <c r="Z44" s="33">
        <v>42256</v>
      </c>
      <c r="AA44" s="31"/>
      <c r="AB44" s="31"/>
      <c r="AC44" s="31"/>
      <c r="AD44" s="31"/>
      <c r="AE44" s="31"/>
      <c r="AF44" s="31" t="s">
        <v>183</v>
      </c>
      <c r="AG44" s="31"/>
      <c r="AH44" s="31">
        <v>0</v>
      </c>
      <c r="AI44" s="31"/>
      <c r="AJ44" s="31"/>
      <c r="AK44" s="31">
        <v>0</v>
      </c>
      <c r="AL44" s="31">
        <v>0</v>
      </c>
      <c r="AM44" s="31">
        <v>0</v>
      </c>
      <c r="AN44" s="31">
        <v>2795191921</v>
      </c>
      <c r="AO44" s="31" t="s">
        <v>96</v>
      </c>
      <c r="AP44" s="31" t="s">
        <v>598</v>
      </c>
    </row>
    <row r="45" spans="1:42" x14ac:dyDescent="0.2">
      <c r="A45" s="31">
        <v>10019146</v>
      </c>
      <c r="B45" s="31" t="s">
        <v>26</v>
      </c>
      <c r="C45" s="31" t="s">
        <v>197</v>
      </c>
      <c r="D45" s="33">
        <v>42256</v>
      </c>
      <c r="E45" s="31">
        <v>93508096</v>
      </c>
      <c r="F45" s="33">
        <v>42249</v>
      </c>
      <c r="G45" s="33">
        <v>42251</v>
      </c>
      <c r="H45" s="31">
        <v>1337184</v>
      </c>
      <c r="I45" s="31" t="s">
        <v>330</v>
      </c>
      <c r="J45" s="31">
        <v>1337200</v>
      </c>
      <c r="K45" s="31" t="s">
        <v>599</v>
      </c>
      <c r="L45" s="31">
        <v>1201767</v>
      </c>
      <c r="M45" s="31" t="s">
        <v>330</v>
      </c>
      <c r="N45" s="31">
        <v>82715005</v>
      </c>
      <c r="O45" s="31"/>
      <c r="P45" s="31"/>
      <c r="Q45" s="31" t="s">
        <v>181</v>
      </c>
      <c r="R45" s="31" t="s">
        <v>67</v>
      </c>
      <c r="S45" s="31" t="s">
        <v>68</v>
      </c>
      <c r="T45" s="31">
        <v>1584.18</v>
      </c>
      <c r="U45" s="31" t="s">
        <v>182</v>
      </c>
      <c r="V45" s="31"/>
      <c r="W45" s="31" t="s">
        <v>63</v>
      </c>
      <c r="X45" s="31" t="s">
        <v>81</v>
      </c>
      <c r="Y45" s="31" t="s">
        <v>88</v>
      </c>
      <c r="Z45" s="33">
        <v>42275</v>
      </c>
      <c r="AA45" s="31"/>
      <c r="AB45" s="31"/>
      <c r="AC45" s="31"/>
      <c r="AD45" s="31"/>
      <c r="AE45" s="31"/>
      <c r="AF45" s="31" t="s">
        <v>183</v>
      </c>
      <c r="AG45" s="31"/>
      <c r="AH45" s="31">
        <v>0</v>
      </c>
      <c r="AI45" s="31"/>
      <c r="AJ45" s="31"/>
      <c r="AK45" s="31">
        <v>0</v>
      </c>
      <c r="AL45" s="31">
        <v>0</v>
      </c>
      <c r="AM45" s="31">
        <v>0</v>
      </c>
      <c r="AN45" s="31">
        <v>2795190226</v>
      </c>
      <c r="AO45" s="31" t="s">
        <v>89</v>
      </c>
      <c r="AP45" s="31" t="s">
        <v>274</v>
      </c>
    </row>
    <row r="46" spans="1:42" x14ac:dyDescent="0.2">
      <c r="A46" s="31">
        <v>10019147</v>
      </c>
      <c r="B46" s="31" t="s">
        <v>26</v>
      </c>
      <c r="C46" s="31" t="s">
        <v>149</v>
      </c>
      <c r="D46" s="33">
        <v>42256</v>
      </c>
      <c r="E46" s="31">
        <v>93505236</v>
      </c>
      <c r="F46" s="31"/>
      <c r="G46" s="31"/>
      <c r="H46" s="31">
        <v>1201047</v>
      </c>
      <c r="I46" s="31" t="s">
        <v>79</v>
      </c>
      <c r="J46" s="31">
        <v>1034532</v>
      </c>
      <c r="K46" s="31" t="s">
        <v>301</v>
      </c>
      <c r="L46" s="31">
        <v>1171089</v>
      </c>
      <c r="M46" s="31" t="s">
        <v>75</v>
      </c>
      <c r="N46" s="31">
        <v>25429072</v>
      </c>
      <c r="O46" s="31"/>
      <c r="P46" s="31"/>
      <c r="Q46" s="31" t="s">
        <v>181</v>
      </c>
      <c r="R46" s="31" t="s">
        <v>91</v>
      </c>
      <c r="S46" s="31" t="s">
        <v>92</v>
      </c>
      <c r="T46" s="31">
        <v>3325.32</v>
      </c>
      <c r="U46" s="31" t="s">
        <v>182</v>
      </c>
      <c r="V46" s="31"/>
      <c r="W46" s="31" t="s">
        <v>63</v>
      </c>
      <c r="X46" s="31" t="s">
        <v>94</v>
      </c>
      <c r="Y46" s="31" t="s">
        <v>95</v>
      </c>
      <c r="Z46" s="33">
        <v>42269</v>
      </c>
      <c r="AA46" s="31"/>
      <c r="AB46" s="31"/>
      <c r="AC46" s="31"/>
      <c r="AD46" s="31"/>
      <c r="AE46" s="31"/>
      <c r="AF46" s="31" t="s">
        <v>183</v>
      </c>
      <c r="AG46" s="31"/>
      <c r="AH46" s="31">
        <v>0</v>
      </c>
      <c r="AI46" s="31"/>
      <c r="AJ46" s="31"/>
      <c r="AK46" s="31">
        <v>0</v>
      </c>
      <c r="AL46" s="31">
        <v>0</v>
      </c>
      <c r="AM46" s="31">
        <v>0</v>
      </c>
      <c r="AN46" s="31"/>
      <c r="AO46" s="31" t="s">
        <v>96</v>
      </c>
      <c r="AP46" s="31" t="s">
        <v>600</v>
      </c>
    </row>
    <row r="47" spans="1:42" x14ac:dyDescent="0.2">
      <c r="A47" s="31">
        <v>10019148</v>
      </c>
      <c r="B47" s="31" t="s">
        <v>18</v>
      </c>
      <c r="C47" s="31" t="s">
        <v>78</v>
      </c>
      <c r="D47" s="33">
        <v>42256</v>
      </c>
      <c r="E47" s="31">
        <v>93510578</v>
      </c>
      <c r="F47" s="33">
        <v>42250</v>
      </c>
      <c r="G47" s="33">
        <v>42255</v>
      </c>
      <c r="H47" s="31">
        <v>1201605</v>
      </c>
      <c r="I47" s="31" t="s">
        <v>155</v>
      </c>
      <c r="J47" s="31">
        <v>1310002</v>
      </c>
      <c r="K47" s="31" t="s">
        <v>155</v>
      </c>
      <c r="L47" s="31">
        <v>1172017</v>
      </c>
      <c r="M47" s="31" t="s">
        <v>155</v>
      </c>
      <c r="N47" s="31">
        <v>532105</v>
      </c>
      <c r="O47" s="31"/>
      <c r="P47" s="31"/>
      <c r="Q47" s="31" t="s">
        <v>181</v>
      </c>
      <c r="R47" s="31" t="s">
        <v>67</v>
      </c>
      <c r="S47" s="31" t="s">
        <v>68</v>
      </c>
      <c r="T47" s="31">
        <v>2498.3000000000002</v>
      </c>
      <c r="U47" s="31" t="s">
        <v>182</v>
      </c>
      <c r="V47" s="31"/>
      <c r="W47" s="31" t="s">
        <v>63</v>
      </c>
      <c r="X47" s="31" t="s">
        <v>70</v>
      </c>
      <c r="Y47" s="31" t="s">
        <v>76</v>
      </c>
      <c r="Z47" s="33">
        <v>42257</v>
      </c>
      <c r="AA47" s="31"/>
      <c r="AB47" s="31"/>
      <c r="AC47" s="31"/>
      <c r="AD47" s="31"/>
      <c r="AE47" s="31"/>
      <c r="AF47" s="31" t="s">
        <v>183</v>
      </c>
      <c r="AG47" s="31"/>
      <c r="AH47" s="31">
        <v>0</v>
      </c>
      <c r="AI47" s="31"/>
      <c r="AJ47" s="31"/>
      <c r="AK47" s="31">
        <v>0</v>
      </c>
      <c r="AL47" s="31">
        <v>0</v>
      </c>
      <c r="AM47" s="31">
        <v>0</v>
      </c>
      <c r="AN47" s="31">
        <v>2795190565</v>
      </c>
      <c r="AO47" s="31" t="s">
        <v>77</v>
      </c>
      <c r="AP47" s="31" t="s">
        <v>452</v>
      </c>
    </row>
    <row r="48" spans="1:42" x14ac:dyDescent="0.2">
      <c r="A48" s="31">
        <v>10019149</v>
      </c>
      <c r="B48" s="31" t="s">
        <v>26</v>
      </c>
      <c r="C48" s="31" t="s">
        <v>149</v>
      </c>
      <c r="D48" s="33">
        <v>42256</v>
      </c>
      <c r="E48" s="31">
        <v>93490818</v>
      </c>
      <c r="F48" s="33">
        <v>42237</v>
      </c>
      <c r="G48" s="31"/>
      <c r="H48" s="31">
        <v>1318826</v>
      </c>
      <c r="I48" s="31" t="s">
        <v>110</v>
      </c>
      <c r="J48" s="31">
        <v>1337267</v>
      </c>
      <c r="K48" s="31" t="s">
        <v>601</v>
      </c>
      <c r="L48" s="31">
        <v>1318826</v>
      </c>
      <c r="M48" s="31" t="s">
        <v>110</v>
      </c>
      <c r="N48" s="31">
        <v>3013868</v>
      </c>
      <c r="O48" s="31"/>
      <c r="P48" s="31"/>
      <c r="Q48" s="31" t="s">
        <v>181</v>
      </c>
      <c r="R48" s="31" t="s">
        <v>86</v>
      </c>
      <c r="S48" s="31" t="s">
        <v>87</v>
      </c>
      <c r="T48" s="31">
        <v>135.36000000000001</v>
      </c>
      <c r="U48" s="31" t="s">
        <v>182</v>
      </c>
      <c r="V48" s="31"/>
      <c r="W48" s="31" t="s">
        <v>63</v>
      </c>
      <c r="X48" s="31" t="s">
        <v>81</v>
      </c>
      <c r="Y48" s="31" t="s">
        <v>82</v>
      </c>
      <c r="Z48" s="33">
        <v>42275</v>
      </c>
      <c r="AA48" s="31" t="s">
        <v>64</v>
      </c>
      <c r="AB48" s="33">
        <v>42256</v>
      </c>
      <c r="AC48" s="31"/>
      <c r="AD48" s="31"/>
      <c r="AE48" s="31"/>
      <c r="AF48" s="31" t="s">
        <v>183</v>
      </c>
      <c r="AG48" s="31"/>
      <c r="AH48" s="31">
        <v>0</v>
      </c>
      <c r="AI48" s="31"/>
      <c r="AJ48" s="31"/>
      <c r="AK48" s="31">
        <v>0</v>
      </c>
      <c r="AL48" s="31">
        <v>0</v>
      </c>
      <c r="AM48" s="31">
        <v>0</v>
      </c>
      <c r="AN48" s="31" t="s">
        <v>602</v>
      </c>
      <c r="AO48" s="31" t="s">
        <v>89</v>
      </c>
      <c r="AP48" s="31" t="s">
        <v>603</v>
      </c>
    </row>
    <row r="49" spans="1:42" x14ac:dyDescent="0.2">
      <c r="A49" s="31">
        <v>10019152</v>
      </c>
      <c r="B49" s="31" t="s">
        <v>26</v>
      </c>
      <c r="C49" s="31" t="s">
        <v>149</v>
      </c>
      <c r="D49" s="33">
        <v>42256</v>
      </c>
      <c r="E49" s="31">
        <v>93497115</v>
      </c>
      <c r="F49" s="33">
        <v>42242</v>
      </c>
      <c r="G49" s="31"/>
      <c r="H49" s="31">
        <v>1201047</v>
      </c>
      <c r="I49" s="31" t="s">
        <v>79</v>
      </c>
      <c r="J49" s="31">
        <v>1022214</v>
      </c>
      <c r="K49" s="31" t="s">
        <v>80</v>
      </c>
      <c r="L49" s="31">
        <v>1171089</v>
      </c>
      <c r="M49" s="31" t="s">
        <v>75</v>
      </c>
      <c r="N49" s="31">
        <v>4738269</v>
      </c>
      <c r="O49" s="31"/>
      <c r="P49" s="31"/>
      <c r="Q49" s="31" t="s">
        <v>181</v>
      </c>
      <c r="R49" s="31" t="s">
        <v>91</v>
      </c>
      <c r="S49" s="31" t="s">
        <v>92</v>
      </c>
      <c r="T49" s="31">
        <v>61.2</v>
      </c>
      <c r="U49" s="31" t="s">
        <v>182</v>
      </c>
      <c r="V49" s="31"/>
      <c r="W49" s="31" t="s">
        <v>63</v>
      </c>
      <c r="X49" s="31" t="s">
        <v>81</v>
      </c>
      <c r="Y49" s="31" t="s">
        <v>88</v>
      </c>
      <c r="Z49" s="33">
        <v>42269</v>
      </c>
      <c r="AA49" s="31" t="s">
        <v>64</v>
      </c>
      <c r="AB49" s="33">
        <v>42256</v>
      </c>
      <c r="AC49" s="31"/>
      <c r="AD49" s="31"/>
      <c r="AE49" s="31"/>
      <c r="AF49" s="31" t="s">
        <v>183</v>
      </c>
      <c r="AG49" s="31"/>
      <c r="AH49" s="31">
        <v>0</v>
      </c>
      <c r="AI49" s="31"/>
      <c r="AJ49" s="31"/>
      <c r="AK49" s="31">
        <v>0</v>
      </c>
      <c r="AL49" s="31">
        <v>0</v>
      </c>
      <c r="AM49" s="31">
        <v>0</v>
      </c>
      <c r="AN49" s="31" t="s">
        <v>604</v>
      </c>
      <c r="AO49" s="31" t="s">
        <v>89</v>
      </c>
      <c r="AP49" s="31" t="s">
        <v>274</v>
      </c>
    </row>
    <row r="50" spans="1:42" x14ac:dyDescent="0.2">
      <c r="A50" s="31">
        <v>10019153</v>
      </c>
      <c r="B50" s="31" t="s">
        <v>26</v>
      </c>
      <c r="C50" s="31" t="s">
        <v>149</v>
      </c>
      <c r="D50" s="33">
        <v>42256</v>
      </c>
      <c r="E50" s="31">
        <v>93488797</v>
      </c>
      <c r="F50" s="33">
        <v>42236</v>
      </c>
      <c r="G50" s="33">
        <v>42241</v>
      </c>
      <c r="H50" s="31">
        <v>1201047</v>
      </c>
      <c r="I50" s="31" t="s">
        <v>79</v>
      </c>
      <c r="J50" s="31">
        <v>1022214</v>
      </c>
      <c r="K50" s="31" t="s">
        <v>80</v>
      </c>
      <c r="L50" s="31">
        <v>1171089</v>
      </c>
      <c r="M50" s="31" t="s">
        <v>75</v>
      </c>
      <c r="N50" s="31">
        <v>4737637</v>
      </c>
      <c r="O50" s="31"/>
      <c r="P50" s="31"/>
      <c r="Q50" s="31" t="s">
        <v>181</v>
      </c>
      <c r="R50" s="31" t="s">
        <v>67</v>
      </c>
      <c r="S50" s="31" t="s">
        <v>68</v>
      </c>
      <c r="T50" s="31">
        <v>2332.8000000000002</v>
      </c>
      <c r="U50" s="31" t="s">
        <v>182</v>
      </c>
      <c r="V50" s="31"/>
      <c r="W50" s="31" t="s">
        <v>63</v>
      </c>
      <c r="X50" s="31" t="s">
        <v>84</v>
      </c>
      <c r="Y50" s="31" t="s">
        <v>82</v>
      </c>
      <c r="Z50" s="33">
        <v>42268</v>
      </c>
      <c r="AA50" s="31"/>
      <c r="AB50" s="31"/>
      <c r="AC50" s="31"/>
      <c r="AD50" s="31"/>
      <c r="AE50" s="31"/>
      <c r="AF50" s="31" t="s">
        <v>183</v>
      </c>
      <c r="AG50" s="31"/>
      <c r="AH50" s="31">
        <v>0</v>
      </c>
      <c r="AI50" s="31"/>
      <c r="AJ50" s="31"/>
      <c r="AK50" s="31">
        <v>0</v>
      </c>
      <c r="AL50" s="31">
        <v>0</v>
      </c>
      <c r="AM50" s="31">
        <v>0</v>
      </c>
      <c r="AN50" s="31">
        <v>2795192536</v>
      </c>
      <c r="AO50" s="31" t="s">
        <v>84</v>
      </c>
      <c r="AP50" s="31" t="s">
        <v>605</v>
      </c>
    </row>
    <row r="51" spans="1:42" x14ac:dyDescent="0.2">
      <c r="A51" s="31">
        <v>10019154</v>
      </c>
      <c r="B51" s="31" t="s">
        <v>18</v>
      </c>
      <c r="C51" s="31" t="s">
        <v>573</v>
      </c>
      <c r="D51" s="33">
        <v>42256</v>
      </c>
      <c r="E51" s="31">
        <v>93510458</v>
      </c>
      <c r="F51" s="33">
        <v>42250</v>
      </c>
      <c r="G51" s="31"/>
      <c r="H51" s="31">
        <v>1201399</v>
      </c>
      <c r="I51" s="31" t="s">
        <v>144</v>
      </c>
      <c r="J51" s="31">
        <v>1334926</v>
      </c>
      <c r="K51" s="31" t="s">
        <v>145</v>
      </c>
      <c r="L51" s="31">
        <v>1171970</v>
      </c>
      <c r="M51" s="31" t="s">
        <v>144</v>
      </c>
      <c r="N51" s="31">
        <v>8106672121</v>
      </c>
      <c r="O51" s="31"/>
      <c r="P51" s="31"/>
      <c r="Q51" s="31" t="s">
        <v>181</v>
      </c>
      <c r="R51" s="31" t="s">
        <v>279</v>
      </c>
      <c r="S51" s="31" t="s">
        <v>280</v>
      </c>
      <c r="T51" s="31">
        <v>1212.72</v>
      </c>
      <c r="U51" s="31" t="s">
        <v>182</v>
      </c>
      <c r="V51" s="31"/>
      <c r="W51" s="31" t="s">
        <v>63</v>
      </c>
      <c r="X51" s="31" t="s">
        <v>70</v>
      </c>
      <c r="Y51" s="31" t="s">
        <v>76</v>
      </c>
      <c r="Z51" s="33">
        <v>42257</v>
      </c>
      <c r="AA51" s="31" t="s">
        <v>83</v>
      </c>
      <c r="AB51" s="33">
        <v>42261</v>
      </c>
      <c r="AC51" s="31"/>
      <c r="AD51" s="31"/>
      <c r="AE51" s="31"/>
      <c r="AF51" s="31" t="s">
        <v>183</v>
      </c>
      <c r="AG51" s="31"/>
      <c r="AH51" s="31">
        <v>0</v>
      </c>
      <c r="AI51" s="31"/>
      <c r="AJ51" s="31"/>
      <c r="AK51" s="31">
        <v>0</v>
      </c>
      <c r="AL51" s="31">
        <v>0</v>
      </c>
      <c r="AM51" s="31">
        <v>0</v>
      </c>
      <c r="AN51" s="31" t="s">
        <v>606</v>
      </c>
      <c r="AO51" s="31" t="s">
        <v>77</v>
      </c>
      <c r="AP51" s="31" t="s">
        <v>376</v>
      </c>
    </row>
    <row r="52" spans="1:42" x14ac:dyDescent="0.2">
      <c r="A52" s="31">
        <v>10019155</v>
      </c>
      <c r="B52" s="31" t="s">
        <v>18</v>
      </c>
      <c r="C52" s="31" t="s">
        <v>78</v>
      </c>
      <c r="D52" s="33">
        <v>42256</v>
      </c>
      <c r="E52" s="31">
        <v>93497586</v>
      </c>
      <c r="F52" s="33">
        <v>42242</v>
      </c>
      <c r="G52" s="33">
        <v>42247</v>
      </c>
      <c r="H52" s="31">
        <v>1201540</v>
      </c>
      <c r="I52" s="31" t="s">
        <v>150</v>
      </c>
      <c r="J52" s="31">
        <v>1312297</v>
      </c>
      <c r="K52" s="31" t="s">
        <v>151</v>
      </c>
      <c r="L52" s="31">
        <v>1201540</v>
      </c>
      <c r="M52" s="31" t="s">
        <v>150</v>
      </c>
      <c r="N52" s="31" t="s">
        <v>607</v>
      </c>
      <c r="O52" s="31"/>
      <c r="P52" s="31"/>
      <c r="Q52" s="31" t="s">
        <v>181</v>
      </c>
      <c r="R52" s="31" t="s">
        <v>67</v>
      </c>
      <c r="S52" s="31" t="s">
        <v>68</v>
      </c>
      <c r="T52" s="31">
        <v>289.3</v>
      </c>
      <c r="U52" s="31" t="s">
        <v>182</v>
      </c>
      <c r="V52" s="31"/>
      <c r="W52" s="31" t="s">
        <v>63</v>
      </c>
      <c r="X52" s="31" t="s">
        <v>70</v>
      </c>
      <c r="Y52" s="31" t="s">
        <v>76</v>
      </c>
      <c r="Z52" s="33">
        <v>42257</v>
      </c>
      <c r="AA52" s="31" t="s">
        <v>64</v>
      </c>
      <c r="AB52" s="33">
        <v>42256</v>
      </c>
      <c r="AC52" s="31"/>
      <c r="AD52" s="31"/>
      <c r="AE52" s="31"/>
      <c r="AF52" s="31" t="s">
        <v>183</v>
      </c>
      <c r="AG52" s="31"/>
      <c r="AH52" s="31">
        <v>0</v>
      </c>
      <c r="AI52" s="31"/>
      <c r="AJ52" s="31"/>
      <c r="AK52" s="31">
        <v>0</v>
      </c>
      <c r="AL52" s="31">
        <v>0</v>
      </c>
      <c r="AM52" s="31">
        <v>0</v>
      </c>
      <c r="AN52" s="31">
        <v>2795191416</v>
      </c>
      <c r="AO52" s="31" t="s">
        <v>77</v>
      </c>
      <c r="AP52" s="31" t="s">
        <v>329</v>
      </c>
    </row>
    <row r="53" spans="1:42" x14ac:dyDescent="0.2">
      <c r="A53" s="31">
        <v>10019156</v>
      </c>
      <c r="B53" s="31" t="s">
        <v>26</v>
      </c>
      <c r="C53" s="31" t="s">
        <v>78</v>
      </c>
      <c r="D53" s="33">
        <v>42256</v>
      </c>
      <c r="E53" s="31">
        <v>93494895</v>
      </c>
      <c r="F53" s="33">
        <v>42241</v>
      </c>
      <c r="G53" s="31"/>
      <c r="H53" s="31">
        <v>1201047</v>
      </c>
      <c r="I53" s="31" t="s">
        <v>79</v>
      </c>
      <c r="J53" s="31">
        <v>1317086</v>
      </c>
      <c r="K53" s="31" t="s">
        <v>85</v>
      </c>
      <c r="L53" s="31">
        <v>1171089</v>
      </c>
      <c r="M53" s="31" t="s">
        <v>75</v>
      </c>
      <c r="N53" s="31">
        <v>23605678</v>
      </c>
      <c r="O53" s="31"/>
      <c r="P53" s="31"/>
      <c r="Q53" s="31" t="s">
        <v>181</v>
      </c>
      <c r="R53" s="31" t="s">
        <v>86</v>
      </c>
      <c r="S53" s="31" t="s">
        <v>87</v>
      </c>
      <c r="T53" s="31">
        <v>180</v>
      </c>
      <c r="U53" s="31" t="s">
        <v>182</v>
      </c>
      <c r="V53" s="31"/>
      <c r="W53" s="31" t="s">
        <v>63</v>
      </c>
      <c r="X53" s="31" t="s">
        <v>94</v>
      </c>
      <c r="Y53" s="31" t="s">
        <v>95</v>
      </c>
      <c r="Z53" s="33">
        <v>42257</v>
      </c>
      <c r="AA53" s="31" t="s">
        <v>64</v>
      </c>
      <c r="AB53" s="33">
        <v>42256</v>
      </c>
      <c r="AC53" s="31"/>
      <c r="AD53" s="31"/>
      <c r="AE53" s="31"/>
      <c r="AF53" s="31" t="s">
        <v>183</v>
      </c>
      <c r="AG53" s="31"/>
      <c r="AH53" s="31">
        <v>0</v>
      </c>
      <c r="AI53" s="31"/>
      <c r="AJ53" s="31"/>
      <c r="AK53" s="31">
        <v>0</v>
      </c>
      <c r="AL53" s="31">
        <v>0</v>
      </c>
      <c r="AM53" s="31">
        <v>0</v>
      </c>
      <c r="AN53" s="31" t="s">
        <v>608</v>
      </c>
      <c r="AO53" s="31" t="s">
        <v>96</v>
      </c>
      <c r="AP53" s="31" t="s">
        <v>609</v>
      </c>
    </row>
    <row r="54" spans="1:42" x14ac:dyDescent="0.2">
      <c r="A54" s="31">
        <v>10019157</v>
      </c>
      <c r="B54" s="31" t="s">
        <v>18</v>
      </c>
      <c r="C54" s="31" t="s">
        <v>78</v>
      </c>
      <c r="D54" s="33">
        <v>42256</v>
      </c>
      <c r="E54" s="31">
        <v>93510162</v>
      </c>
      <c r="F54" s="33">
        <v>42250</v>
      </c>
      <c r="G54" s="31"/>
      <c r="H54" s="31">
        <v>1201047</v>
      </c>
      <c r="I54" s="31" t="s">
        <v>79</v>
      </c>
      <c r="J54" s="31">
        <v>1311011</v>
      </c>
      <c r="K54" s="31" t="s">
        <v>85</v>
      </c>
      <c r="L54" s="31">
        <v>1171089</v>
      </c>
      <c r="M54" s="31" t="s">
        <v>75</v>
      </c>
      <c r="N54" s="31">
        <v>19621222</v>
      </c>
      <c r="O54" s="31"/>
      <c r="P54" s="31"/>
      <c r="Q54" s="31" t="s">
        <v>181</v>
      </c>
      <c r="R54" s="31" t="s">
        <v>86</v>
      </c>
      <c r="S54" s="31" t="s">
        <v>87</v>
      </c>
      <c r="T54" s="31">
        <v>372</v>
      </c>
      <c r="U54" s="31" t="s">
        <v>182</v>
      </c>
      <c r="V54" s="31"/>
      <c r="W54" s="31" t="s">
        <v>63</v>
      </c>
      <c r="X54" s="31" t="s">
        <v>70</v>
      </c>
      <c r="Y54" s="31" t="s">
        <v>76</v>
      </c>
      <c r="Z54" s="33">
        <v>42257</v>
      </c>
      <c r="AA54" s="31" t="s">
        <v>64</v>
      </c>
      <c r="AB54" s="33">
        <v>42256</v>
      </c>
      <c r="AC54" s="31"/>
      <c r="AD54" s="31"/>
      <c r="AE54" s="31"/>
      <c r="AF54" s="31" t="s">
        <v>183</v>
      </c>
      <c r="AG54" s="31"/>
      <c r="AH54" s="31">
        <v>0</v>
      </c>
      <c r="AI54" s="31"/>
      <c r="AJ54" s="31"/>
      <c r="AK54" s="31">
        <v>0</v>
      </c>
      <c r="AL54" s="31">
        <v>0</v>
      </c>
      <c r="AM54" s="31">
        <v>0</v>
      </c>
      <c r="AN54" s="31" t="s">
        <v>610</v>
      </c>
      <c r="AO54" s="31" t="s">
        <v>77</v>
      </c>
      <c r="AP54" s="31" t="s">
        <v>228</v>
      </c>
    </row>
    <row r="55" spans="1:42" x14ac:dyDescent="0.2">
      <c r="A55" s="31">
        <v>10019158</v>
      </c>
      <c r="B55" s="31" t="s">
        <v>18</v>
      </c>
      <c r="C55" s="31" t="s">
        <v>78</v>
      </c>
      <c r="D55" s="33">
        <v>42256</v>
      </c>
      <c r="E55" s="31">
        <v>93510160</v>
      </c>
      <c r="F55" s="33">
        <v>42250</v>
      </c>
      <c r="G55" s="31"/>
      <c r="H55" s="31">
        <v>1201047</v>
      </c>
      <c r="I55" s="31" t="s">
        <v>79</v>
      </c>
      <c r="J55" s="31">
        <v>1311011</v>
      </c>
      <c r="K55" s="31" t="s">
        <v>85</v>
      </c>
      <c r="L55" s="31">
        <v>1171089</v>
      </c>
      <c r="M55" s="31" t="s">
        <v>75</v>
      </c>
      <c r="N55" s="31">
        <v>19621222</v>
      </c>
      <c r="O55" s="31"/>
      <c r="P55" s="31"/>
      <c r="Q55" s="31" t="s">
        <v>181</v>
      </c>
      <c r="R55" s="31" t="s">
        <v>86</v>
      </c>
      <c r="S55" s="31" t="s">
        <v>87</v>
      </c>
      <c r="T55" s="31">
        <v>1500.48</v>
      </c>
      <c r="U55" s="31" t="s">
        <v>182</v>
      </c>
      <c r="V55" s="31"/>
      <c r="W55" s="31" t="s">
        <v>63</v>
      </c>
      <c r="X55" s="31" t="s">
        <v>70</v>
      </c>
      <c r="Y55" s="31" t="s">
        <v>76</v>
      </c>
      <c r="Z55" s="33">
        <v>42257</v>
      </c>
      <c r="AA55" s="31" t="s">
        <v>83</v>
      </c>
      <c r="AB55" s="33">
        <v>42261</v>
      </c>
      <c r="AC55" s="31"/>
      <c r="AD55" s="31"/>
      <c r="AE55" s="31"/>
      <c r="AF55" s="31" t="s">
        <v>183</v>
      </c>
      <c r="AG55" s="31"/>
      <c r="AH55" s="31">
        <v>0</v>
      </c>
      <c r="AI55" s="31"/>
      <c r="AJ55" s="31"/>
      <c r="AK55" s="31">
        <v>0</v>
      </c>
      <c r="AL55" s="31">
        <v>0</v>
      </c>
      <c r="AM55" s="31">
        <v>0</v>
      </c>
      <c r="AN55" s="31" t="s">
        <v>610</v>
      </c>
      <c r="AO55" s="31" t="s">
        <v>77</v>
      </c>
      <c r="AP55" s="31" t="s">
        <v>611</v>
      </c>
    </row>
    <row r="56" spans="1:42" x14ac:dyDescent="0.2">
      <c r="A56" s="31">
        <v>10019159</v>
      </c>
      <c r="B56" s="31" t="s">
        <v>18</v>
      </c>
      <c r="C56" s="31" t="s">
        <v>149</v>
      </c>
      <c r="D56" s="33">
        <v>42256</v>
      </c>
      <c r="E56" s="31">
        <v>93507722</v>
      </c>
      <c r="F56" s="33">
        <v>42249</v>
      </c>
      <c r="G56" s="33">
        <v>42251</v>
      </c>
      <c r="H56" s="31">
        <v>1201120</v>
      </c>
      <c r="I56" s="31" t="s">
        <v>117</v>
      </c>
      <c r="J56" s="31">
        <v>1307782</v>
      </c>
      <c r="K56" s="31" t="s">
        <v>119</v>
      </c>
      <c r="L56" s="31">
        <v>1171090</v>
      </c>
      <c r="M56" s="31" t="s">
        <v>118</v>
      </c>
      <c r="N56" s="31" t="s">
        <v>515</v>
      </c>
      <c r="O56" s="31"/>
      <c r="P56" s="31"/>
      <c r="Q56" s="31" t="s">
        <v>181</v>
      </c>
      <c r="R56" s="31" t="s">
        <v>67</v>
      </c>
      <c r="S56" s="31" t="s">
        <v>68</v>
      </c>
      <c r="T56" s="31">
        <v>6694.56</v>
      </c>
      <c r="U56" s="31" t="s">
        <v>182</v>
      </c>
      <c r="V56" s="31"/>
      <c r="W56" s="31" t="s">
        <v>63</v>
      </c>
      <c r="X56" s="31" t="s">
        <v>70</v>
      </c>
      <c r="Y56" s="31" t="s">
        <v>76</v>
      </c>
      <c r="Z56" s="33">
        <v>42257</v>
      </c>
      <c r="AA56" s="31" t="s">
        <v>83</v>
      </c>
      <c r="AB56" s="33">
        <v>42256</v>
      </c>
      <c r="AC56" s="31"/>
      <c r="AD56" s="31"/>
      <c r="AE56" s="31"/>
      <c r="AF56" s="31" t="s">
        <v>183</v>
      </c>
      <c r="AG56" s="31"/>
      <c r="AH56" s="31">
        <v>0</v>
      </c>
      <c r="AI56" s="31"/>
      <c r="AJ56" s="31"/>
      <c r="AK56" s="31">
        <v>0</v>
      </c>
      <c r="AL56" s="31">
        <v>0</v>
      </c>
      <c r="AM56" s="31">
        <v>0</v>
      </c>
      <c r="AN56" s="31">
        <v>2795190090</v>
      </c>
      <c r="AO56" s="31" t="s">
        <v>77</v>
      </c>
      <c r="AP56" s="31" t="s">
        <v>611</v>
      </c>
    </row>
    <row r="57" spans="1:42" x14ac:dyDescent="0.2">
      <c r="A57" s="31">
        <v>10019160</v>
      </c>
      <c r="B57" s="31" t="s">
        <v>26</v>
      </c>
      <c r="C57" s="31" t="s">
        <v>573</v>
      </c>
      <c r="D57" s="33">
        <v>42256</v>
      </c>
      <c r="E57" s="31">
        <v>93499589</v>
      </c>
      <c r="F57" s="33">
        <v>42243</v>
      </c>
      <c r="G57" s="31"/>
      <c r="H57" s="31">
        <v>1201540</v>
      </c>
      <c r="I57" s="31" t="s">
        <v>150</v>
      </c>
      <c r="J57" s="31">
        <v>1312297</v>
      </c>
      <c r="K57" s="31" t="s">
        <v>151</v>
      </c>
      <c r="L57" s="31">
        <v>1201540</v>
      </c>
      <c r="M57" s="31" t="s">
        <v>150</v>
      </c>
      <c r="N57" s="31" t="s">
        <v>467</v>
      </c>
      <c r="O57" s="31"/>
      <c r="P57" s="31"/>
      <c r="Q57" s="31" t="s">
        <v>181</v>
      </c>
      <c r="R57" s="31" t="s">
        <v>97</v>
      </c>
      <c r="S57" s="31" t="s">
        <v>98</v>
      </c>
      <c r="T57" s="31">
        <v>0</v>
      </c>
      <c r="U57" s="31" t="s">
        <v>182</v>
      </c>
      <c r="V57" s="31"/>
      <c r="W57" s="31" t="s">
        <v>63</v>
      </c>
      <c r="X57" s="31" t="s">
        <v>81</v>
      </c>
      <c r="Y57" s="31" t="s">
        <v>82</v>
      </c>
      <c r="Z57" s="33">
        <v>42275</v>
      </c>
      <c r="AA57" s="31" t="s">
        <v>64</v>
      </c>
      <c r="AB57" s="33">
        <v>42256</v>
      </c>
      <c r="AC57" s="31"/>
      <c r="AD57" s="31"/>
      <c r="AE57" s="31"/>
      <c r="AF57" s="31" t="s">
        <v>183</v>
      </c>
      <c r="AG57" s="31"/>
      <c r="AH57" s="31">
        <v>0</v>
      </c>
      <c r="AI57" s="31"/>
      <c r="AJ57" s="31"/>
      <c r="AK57" s="31">
        <v>0</v>
      </c>
      <c r="AL57" s="31">
        <v>0</v>
      </c>
      <c r="AM57" s="31">
        <v>0</v>
      </c>
      <c r="AN57" s="31">
        <v>87944972442613</v>
      </c>
      <c r="AO57" s="31" t="s">
        <v>84</v>
      </c>
      <c r="AP57" s="31" t="s">
        <v>612</v>
      </c>
    </row>
    <row r="58" spans="1:42" x14ac:dyDescent="0.2">
      <c r="A58" s="31">
        <v>10019161</v>
      </c>
      <c r="B58" s="31" t="s">
        <v>18</v>
      </c>
      <c r="C58" s="31" t="s">
        <v>149</v>
      </c>
      <c r="D58" s="33">
        <v>42256</v>
      </c>
      <c r="E58" s="31">
        <v>93501556</v>
      </c>
      <c r="F58" s="33">
        <v>42244</v>
      </c>
      <c r="G58" s="31"/>
      <c r="H58" s="31">
        <v>1201120</v>
      </c>
      <c r="I58" s="31" t="s">
        <v>117</v>
      </c>
      <c r="J58" s="31">
        <v>1307782</v>
      </c>
      <c r="K58" s="31" t="s">
        <v>119</v>
      </c>
      <c r="L58" s="31">
        <v>1171090</v>
      </c>
      <c r="M58" s="31" t="s">
        <v>118</v>
      </c>
      <c r="N58" s="31" t="s">
        <v>613</v>
      </c>
      <c r="O58" s="31"/>
      <c r="P58" s="31"/>
      <c r="Q58" s="31" t="s">
        <v>181</v>
      </c>
      <c r="R58" s="31" t="s">
        <v>91</v>
      </c>
      <c r="S58" s="31" t="s">
        <v>92</v>
      </c>
      <c r="T58" s="31">
        <v>3645.6</v>
      </c>
      <c r="U58" s="31" t="s">
        <v>182</v>
      </c>
      <c r="V58" s="31"/>
      <c r="W58" s="31" t="s">
        <v>63</v>
      </c>
      <c r="X58" s="31" t="s">
        <v>70</v>
      </c>
      <c r="Y58" s="31" t="s">
        <v>76</v>
      </c>
      <c r="Z58" s="33">
        <v>42257</v>
      </c>
      <c r="AA58" s="31" t="s">
        <v>83</v>
      </c>
      <c r="AB58" s="33">
        <v>42256</v>
      </c>
      <c r="AC58" s="31"/>
      <c r="AD58" s="31"/>
      <c r="AE58" s="31"/>
      <c r="AF58" s="31" t="s">
        <v>183</v>
      </c>
      <c r="AG58" s="31"/>
      <c r="AH58" s="31">
        <v>0</v>
      </c>
      <c r="AI58" s="31"/>
      <c r="AJ58" s="31"/>
      <c r="AK58" s="31">
        <v>0</v>
      </c>
      <c r="AL58" s="31">
        <v>0</v>
      </c>
      <c r="AM58" s="31">
        <v>0</v>
      </c>
      <c r="AN58" s="31" t="s">
        <v>517</v>
      </c>
      <c r="AO58" s="31" t="s">
        <v>77</v>
      </c>
      <c r="AP58" s="31" t="s">
        <v>355</v>
      </c>
    </row>
    <row r="59" spans="1:42" x14ac:dyDescent="0.2">
      <c r="A59" s="31">
        <v>10019162</v>
      </c>
      <c r="B59" s="31" t="s">
        <v>18</v>
      </c>
      <c r="C59" s="31" t="s">
        <v>78</v>
      </c>
      <c r="D59" s="33">
        <v>42256</v>
      </c>
      <c r="E59" s="31">
        <v>93508050</v>
      </c>
      <c r="F59" s="33">
        <v>42249</v>
      </c>
      <c r="G59" s="33">
        <v>42250</v>
      </c>
      <c r="H59" s="31">
        <v>1201766</v>
      </c>
      <c r="I59" s="31" t="s">
        <v>143</v>
      </c>
      <c r="J59" s="31">
        <v>1157939</v>
      </c>
      <c r="K59" s="31" t="s">
        <v>143</v>
      </c>
      <c r="L59" s="31">
        <v>1201766</v>
      </c>
      <c r="M59" s="31" t="s">
        <v>143</v>
      </c>
      <c r="N59" s="31">
        <v>60946</v>
      </c>
      <c r="O59" s="31"/>
      <c r="P59" s="31"/>
      <c r="Q59" s="31" t="s">
        <v>181</v>
      </c>
      <c r="R59" s="31" t="s">
        <v>67</v>
      </c>
      <c r="S59" s="31" t="s">
        <v>68</v>
      </c>
      <c r="T59" s="31">
        <v>341.11</v>
      </c>
      <c r="U59" s="31" t="s">
        <v>182</v>
      </c>
      <c r="V59" s="31"/>
      <c r="W59" s="31" t="s">
        <v>63</v>
      </c>
      <c r="X59" s="31" t="s">
        <v>70</v>
      </c>
      <c r="Y59" s="31" t="s">
        <v>76</v>
      </c>
      <c r="Z59" s="33">
        <v>42257</v>
      </c>
      <c r="AA59" s="31" t="s">
        <v>64</v>
      </c>
      <c r="AB59" s="33">
        <v>42256</v>
      </c>
      <c r="AC59" s="31"/>
      <c r="AD59" s="31"/>
      <c r="AE59" s="31"/>
      <c r="AF59" s="31" t="s">
        <v>183</v>
      </c>
      <c r="AG59" s="31"/>
      <c r="AH59" s="31">
        <v>0</v>
      </c>
      <c r="AI59" s="31"/>
      <c r="AJ59" s="31"/>
      <c r="AK59" s="31">
        <v>0</v>
      </c>
      <c r="AL59" s="31">
        <v>0</v>
      </c>
      <c r="AM59" s="31">
        <v>0</v>
      </c>
      <c r="AN59" s="31">
        <v>2795190101</v>
      </c>
      <c r="AO59" s="31" t="s">
        <v>77</v>
      </c>
      <c r="AP59" s="31" t="s">
        <v>345</v>
      </c>
    </row>
    <row r="60" spans="1:42" x14ac:dyDescent="0.2">
      <c r="A60" s="31">
        <v>10019163</v>
      </c>
      <c r="B60" s="31" t="s">
        <v>18</v>
      </c>
      <c r="C60" s="31" t="s">
        <v>149</v>
      </c>
      <c r="D60" s="33">
        <v>42256</v>
      </c>
      <c r="E60" s="31">
        <v>93495027</v>
      </c>
      <c r="F60" s="33">
        <v>42241</v>
      </c>
      <c r="G60" s="33">
        <v>42247</v>
      </c>
      <c r="H60" s="31">
        <v>1201072</v>
      </c>
      <c r="I60" s="31" t="s">
        <v>115</v>
      </c>
      <c r="J60" s="31">
        <v>1201072</v>
      </c>
      <c r="K60" s="31" t="s">
        <v>115</v>
      </c>
      <c r="L60" s="31">
        <v>1171089</v>
      </c>
      <c r="M60" s="31" t="s">
        <v>75</v>
      </c>
      <c r="N60" s="31">
        <v>319398</v>
      </c>
      <c r="O60" s="31"/>
      <c r="P60" s="31"/>
      <c r="Q60" s="31" t="s">
        <v>181</v>
      </c>
      <c r="R60" s="31" t="s">
        <v>61</v>
      </c>
      <c r="S60" s="31" t="s">
        <v>62</v>
      </c>
      <c r="T60" s="31">
        <v>72.67</v>
      </c>
      <c r="U60" s="31" t="s">
        <v>182</v>
      </c>
      <c r="V60" s="31"/>
      <c r="W60" s="31" t="s">
        <v>69</v>
      </c>
      <c r="X60" s="31" t="s">
        <v>70</v>
      </c>
      <c r="Y60" s="31" t="s">
        <v>76</v>
      </c>
      <c r="Z60" s="33">
        <v>42257</v>
      </c>
      <c r="AA60" s="31" t="s">
        <v>64</v>
      </c>
      <c r="AB60" s="33">
        <v>42256</v>
      </c>
      <c r="AC60" s="31" t="s">
        <v>100</v>
      </c>
      <c r="AD60" s="31">
        <v>61994011</v>
      </c>
      <c r="AE60" s="33">
        <v>42279</v>
      </c>
      <c r="AF60" s="31" t="s">
        <v>183</v>
      </c>
      <c r="AG60" s="31"/>
      <c r="AH60" s="31">
        <v>0</v>
      </c>
      <c r="AI60" s="31"/>
      <c r="AJ60" s="31"/>
      <c r="AK60" s="31">
        <v>0</v>
      </c>
      <c r="AL60" s="31">
        <v>0</v>
      </c>
      <c r="AM60" s="31">
        <v>0</v>
      </c>
      <c r="AN60" s="31">
        <v>327755313</v>
      </c>
      <c r="AO60" s="31" t="s">
        <v>77</v>
      </c>
      <c r="AP60" s="31" t="s">
        <v>196</v>
      </c>
    </row>
    <row r="61" spans="1:42" x14ac:dyDescent="0.2">
      <c r="A61" s="31">
        <v>10019164</v>
      </c>
      <c r="B61" s="31" t="s">
        <v>18</v>
      </c>
      <c r="C61" s="31" t="s">
        <v>149</v>
      </c>
      <c r="D61" s="33">
        <v>42256</v>
      </c>
      <c r="E61" s="31">
        <v>93497104</v>
      </c>
      <c r="F61" s="33">
        <v>42242</v>
      </c>
      <c r="G61" s="33">
        <v>42244</v>
      </c>
      <c r="H61" s="31">
        <v>1201047</v>
      </c>
      <c r="I61" s="31" t="s">
        <v>79</v>
      </c>
      <c r="J61" s="31">
        <v>1034532</v>
      </c>
      <c r="K61" s="31" t="s">
        <v>301</v>
      </c>
      <c r="L61" s="31">
        <v>1171089</v>
      </c>
      <c r="M61" s="31" t="s">
        <v>75</v>
      </c>
      <c r="N61" s="31">
        <v>25428507</v>
      </c>
      <c r="O61" s="31"/>
      <c r="P61" s="31"/>
      <c r="Q61" s="31" t="s">
        <v>181</v>
      </c>
      <c r="R61" s="31" t="s">
        <v>67</v>
      </c>
      <c r="S61" s="31" t="s">
        <v>68</v>
      </c>
      <c r="T61" s="31">
        <v>1351.61</v>
      </c>
      <c r="U61" s="31" t="s">
        <v>182</v>
      </c>
      <c r="V61" s="31"/>
      <c r="W61" s="31" t="s">
        <v>63</v>
      </c>
      <c r="X61" s="31" t="s">
        <v>70</v>
      </c>
      <c r="Y61" s="31" t="s">
        <v>76</v>
      </c>
      <c r="Z61" s="33">
        <v>42257</v>
      </c>
      <c r="AA61" s="31" t="s">
        <v>83</v>
      </c>
      <c r="AB61" s="33">
        <v>42256</v>
      </c>
      <c r="AC61" s="31"/>
      <c r="AD61" s="31"/>
      <c r="AE61" s="31"/>
      <c r="AF61" s="31" t="s">
        <v>183</v>
      </c>
      <c r="AG61" s="31"/>
      <c r="AH61" s="31">
        <v>0</v>
      </c>
      <c r="AI61" s="31"/>
      <c r="AJ61" s="31"/>
      <c r="AK61" s="31">
        <v>0</v>
      </c>
      <c r="AL61" s="31">
        <v>0</v>
      </c>
      <c r="AM61" s="31">
        <v>0</v>
      </c>
      <c r="AN61" s="31">
        <v>2795191420</v>
      </c>
      <c r="AO61" s="31" t="s">
        <v>77</v>
      </c>
      <c r="AP61" s="31" t="s">
        <v>184</v>
      </c>
    </row>
    <row r="62" spans="1:42" x14ac:dyDescent="0.2">
      <c r="A62" s="31">
        <v>10019165</v>
      </c>
      <c r="B62" s="31" t="s">
        <v>22</v>
      </c>
      <c r="C62" s="31" t="s">
        <v>78</v>
      </c>
      <c r="D62" s="33">
        <v>42256</v>
      </c>
      <c r="E62" s="31">
        <v>93508050</v>
      </c>
      <c r="F62" s="33">
        <v>42249</v>
      </c>
      <c r="G62" s="33">
        <v>42250</v>
      </c>
      <c r="H62" s="31">
        <v>1201766</v>
      </c>
      <c r="I62" s="31" t="s">
        <v>143</v>
      </c>
      <c r="J62" s="31">
        <v>1157939</v>
      </c>
      <c r="K62" s="31" t="s">
        <v>143</v>
      </c>
      <c r="L62" s="31">
        <v>1201766</v>
      </c>
      <c r="M62" s="31" t="s">
        <v>143</v>
      </c>
      <c r="N62" s="31">
        <v>60946</v>
      </c>
      <c r="O62" s="31"/>
      <c r="P62" s="31"/>
      <c r="Q62" s="31" t="s">
        <v>181</v>
      </c>
      <c r="R62" s="31" t="s">
        <v>67</v>
      </c>
      <c r="S62" s="31" t="s">
        <v>68</v>
      </c>
      <c r="T62" s="31">
        <v>127.44</v>
      </c>
      <c r="U62" s="31" t="s">
        <v>182</v>
      </c>
      <c r="V62" s="31"/>
      <c r="W62" s="31" t="s">
        <v>63</v>
      </c>
      <c r="X62" s="31" t="s">
        <v>94</v>
      </c>
      <c r="Y62" s="31" t="s">
        <v>141</v>
      </c>
      <c r="Z62" s="33">
        <v>42258</v>
      </c>
      <c r="AA62" s="31" t="s">
        <v>64</v>
      </c>
      <c r="AB62" s="33">
        <v>42256</v>
      </c>
      <c r="AC62" s="31"/>
      <c r="AD62" s="31"/>
      <c r="AE62" s="31"/>
      <c r="AF62" s="31" t="s">
        <v>183</v>
      </c>
      <c r="AG62" s="31"/>
      <c r="AH62" s="31">
        <v>0</v>
      </c>
      <c r="AI62" s="31"/>
      <c r="AJ62" s="31"/>
      <c r="AK62" s="31">
        <v>0</v>
      </c>
      <c r="AL62" s="31">
        <v>0</v>
      </c>
      <c r="AM62" s="31">
        <v>0</v>
      </c>
      <c r="AN62" s="31">
        <v>2795190101</v>
      </c>
      <c r="AO62" s="31" t="s">
        <v>142</v>
      </c>
      <c r="AP62" s="31" t="s">
        <v>614</v>
      </c>
    </row>
    <row r="63" spans="1:42" x14ac:dyDescent="0.2">
      <c r="A63" s="31">
        <v>10019166</v>
      </c>
      <c r="B63" s="31" t="s">
        <v>26</v>
      </c>
      <c r="C63" s="31" t="s">
        <v>78</v>
      </c>
      <c r="D63" s="33">
        <v>42256</v>
      </c>
      <c r="E63" s="31">
        <v>93503513</v>
      </c>
      <c r="F63" s="33">
        <v>42247</v>
      </c>
      <c r="G63" s="31"/>
      <c r="H63" s="31">
        <v>1201047</v>
      </c>
      <c r="I63" s="31" t="s">
        <v>79</v>
      </c>
      <c r="J63" s="31">
        <v>1338648</v>
      </c>
      <c r="K63" s="31" t="s">
        <v>93</v>
      </c>
      <c r="L63" s="31">
        <v>1171089</v>
      </c>
      <c r="M63" s="31" t="s">
        <v>75</v>
      </c>
      <c r="N63" s="31">
        <v>63136993</v>
      </c>
      <c r="O63" s="31"/>
      <c r="P63" s="31"/>
      <c r="Q63" s="31" t="s">
        <v>181</v>
      </c>
      <c r="R63" s="31" t="s">
        <v>86</v>
      </c>
      <c r="S63" s="31" t="s">
        <v>87</v>
      </c>
      <c r="T63" s="31">
        <v>3128.16</v>
      </c>
      <c r="U63" s="31" t="s">
        <v>182</v>
      </c>
      <c r="V63" s="31"/>
      <c r="W63" s="31" t="s">
        <v>63</v>
      </c>
      <c r="X63" s="31" t="s">
        <v>94</v>
      </c>
      <c r="Y63" s="31" t="s">
        <v>95</v>
      </c>
      <c r="Z63" s="33">
        <v>42256</v>
      </c>
      <c r="AA63" s="31" t="s">
        <v>83</v>
      </c>
      <c r="AB63" s="33">
        <v>42256</v>
      </c>
      <c r="AC63" s="31"/>
      <c r="AD63" s="31"/>
      <c r="AE63" s="31"/>
      <c r="AF63" s="31" t="s">
        <v>183</v>
      </c>
      <c r="AG63" s="31"/>
      <c r="AH63" s="31">
        <v>0</v>
      </c>
      <c r="AI63" s="31"/>
      <c r="AJ63" s="31"/>
      <c r="AK63" s="31">
        <v>0</v>
      </c>
      <c r="AL63" s="31">
        <v>0</v>
      </c>
      <c r="AM63" s="31">
        <v>0</v>
      </c>
      <c r="AN63" s="31" t="s">
        <v>615</v>
      </c>
      <c r="AO63" s="31" t="s">
        <v>96</v>
      </c>
      <c r="AP63" s="31" t="s">
        <v>616</v>
      </c>
    </row>
    <row r="64" spans="1:42" x14ac:dyDescent="0.2">
      <c r="A64" s="31">
        <v>10019167</v>
      </c>
      <c r="B64" s="31" t="s">
        <v>26</v>
      </c>
      <c r="C64" s="31" t="s">
        <v>78</v>
      </c>
      <c r="D64" s="33">
        <v>42256</v>
      </c>
      <c r="E64" s="31">
        <v>93503483</v>
      </c>
      <c r="F64" s="33">
        <v>42247</v>
      </c>
      <c r="G64" s="31"/>
      <c r="H64" s="31">
        <v>1201047</v>
      </c>
      <c r="I64" s="31" t="s">
        <v>79</v>
      </c>
      <c r="J64" s="31">
        <v>1338648</v>
      </c>
      <c r="K64" s="31" t="s">
        <v>93</v>
      </c>
      <c r="L64" s="31">
        <v>1171089</v>
      </c>
      <c r="M64" s="31" t="s">
        <v>75</v>
      </c>
      <c r="N64" s="31">
        <v>63136981</v>
      </c>
      <c r="O64" s="31"/>
      <c r="P64" s="31"/>
      <c r="Q64" s="31" t="s">
        <v>181</v>
      </c>
      <c r="R64" s="31" t="s">
        <v>86</v>
      </c>
      <c r="S64" s="31" t="s">
        <v>87</v>
      </c>
      <c r="T64" s="31">
        <v>7312.8</v>
      </c>
      <c r="U64" s="31" t="s">
        <v>182</v>
      </c>
      <c r="V64" s="31"/>
      <c r="W64" s="31" t="s">
        <v>69</v>
      </c>
      <c r="X64" s="31" t="s">
        <v>94</v>
      </c>
      <c r="Y64" s="31" t="s">
        <v>71</v>
      </c>
      <c r="Z64" s="33">
        <v>42265</v>
      </c>
      <c r="AA64" s="31" t="s">
        <v>83</v>
      </c>
      <c r="AB64" s="33">
        <v>42270</v>
      </c>
      <c r="AC64" s="31" t="s">
        <v>72</v>
      </c>
      <c r="AD64" s="31">
        <v>61989294</v>
      </c>
      <c r="AE64" s="33">
        <v>42272</v>
      </c>
      <c r="AF64" s="31" t="s">
        <v>183</v>
      </c>
      <c r="AG64" s="31"/>
      <c r="AH64" s="31">
        <v>0</v>
      </c>
      <c r="AI64" s="31"/>
      <c r="AJ64" s="31"/>
      <c r="AK64" s="31">
        <v>0</v>
      </c>
      <c r="AL64" s="31">
        <v>0</v>
      </c>
      <c r="AM64" s="31">
        <v>0</v>
      </c>
      <c r="AN64" s="31" t="s">
        <v>615</v>
      </c>
      <c r="AO64" s="31" t="s">
        <v>96</v>
      </c>
      <c r="AP64" s="31" t="s">
        <v>617</v>
      </c>
    </row>
    <row r="65" spans="1:42" x14ac:dyDescent="0.2">
      <c r="A65" s="31">
        <v>10019170</v>
      </c>
      <c r="B65" s="31" t="s">
        <v>26</v>
      </c>
      <c r="C65" s="31" t="s">
        <v>78</v>
      </c>
      <c r="D65" s="33">
        <v>42256</v>
      </c>
      <c r="E65" s="31">
        <v>93493182</v>
      </c>
      <c r="F65" s="33">
        <v>42240</v>
      </c>
      <c r="G65" s="31"/>
      <c r="H65" s="31">
        <v>1201047</v>
      </c>
      <c r="I65" s="31" t="s">
        <v>79</v>
      </c>
      <c r="J65" s="31">
        <v>1338648</v>
      </c>
      <c r="K65" s="31" t="s">
        <v>93</v>
      </c>
      <c r="L65" s="31">
        <v>1171089</v>
      </c>
      <c r="M65" s="31" t="s">
        <v>75</v>
      </c>
      <c r="N65" s="31">
        <v>63136296</v>
      </c>
      <c r="O65" s="31"/>
      <c r="P65" s="31"/>
      <c r="Q65" s="31" t="s">
        <v>181</v>
      </c>
      <c r="R65" s="31" t="s">
        <v>86</v>
      </c>
      <c r="S65" s="31" t="s">
        <v>87</v>
      </c>
      <c r="T65" s="31">
        <v>190.08</v>
      </c>
      <c r="U65" s="31" t="s">
        <v>182</v>
      </c>
      <c r="V65" s="31"/>
      <c r="W65" s="31" t="s">
        <v>63</v>
      </c>
      <c r="X65" s="31" t="s">
        <v>94</v>
      </c>
      <c r="Y65" s="31" t="s">
        <v>95</v>
      </c>
      <c r="Z65" s="33">
        <v>42257</v>
      </c>
      <c r="AA65" s="31" t="s">
        <v>64</v>
      </c>
      <c r="AB65" s="33">
        <v>42256</v>
      </c>
      <c r="AC65" s="31"/>
      <c r="AD65" s="31"/>
      <c r="AE65" s="31"/>
      <c r="AF65" s="31" t="s">
        <v>183</v>
      </c>
      <c r="AG65" s="31"/>
      <c r="AH65" s="31">
        <v>0</v>
      </c>
      <c r="AI65" s="31"/>
      <c r="AJ65" s="31"/>
      <c r="AK65" s="31">
        <v>0</v>
      </c>
      <c r="AL65" s="31">
        <v>0</v>
      </c>
      <c r="AM65" s="31">
        <v>0</v>
      </c>
      <c r="AN65" s="31" t="s">
        <v>618</v>
      </c>
      <c r="AO65" s="31" t="s">
        <v>96</v>
      </c>
      <c r="AP65" s="31" t="s">
        <v>619</v>
      </c>
    </row>
    <row r="66" spans="1:42" x14ac:dyDescent="0.2">
      <c r="A66" s="31">
        <v>10019173</v>
      </c>
      <c r="B66" s="31" t="s">
        <v>18</v>
      </c>
      <c r="C66" s="31" t="s">
        <v>78</v>
      </c>
      <c r="D66" s="33">
        <v>42256</v>
      </c>
      <c r="E66" s="31">
        <v>93510665</v>
      </c>
      <c r="F66" s="33">
        <v>42250</v>
      </c>
      <c r="G66" s="33">
        <v>42255</v>
      </c>
      <c r="H66" s="31">
        <v>1201731</v>
      </c>
      <c r="I66" s="31" t="s">
        <v>342</v>
      </c>
      <c r="J66" s="31">
        <v>1319945</v>
      </c>
      <c r="K66" s="31" t="s">
        <v>343</v>
      </c>
      <c r="L66" s="31">
        <v>1171089</v>
      </c>
      <c r="M66" s="31" t="s">
        <v>75</v>
      </c>
      <c r="N66" s="31">
        <v>300072916</v>
      </c>
      <c r="O66" s="31"/>
      <c r="P66" s="31"/>
      <c r="Q66" s="31" t="s">
        <v>181</v>
      </c>
      <c r="R66" s="31" t="s">
        <v>67</v>
      </c>
      <c r="S66" s="31" t="s">
        <v>68</v>
      </c>
      <c r="T66" s="31">
        <v>200</v>
      </c>
      <c r="U66" s="31" t="s">
        <v>182</v>
      </c>
      <c r="V66" s="31"/>
      <c r="W66" s="31" t="s">
        <v>69</v>
      </c>
      <c r="X66" s="31" t="s">
        <v>70</v>
      </c>
      <c r="Y66" s="31" t="s">
        <v>76</v>
      </c>
      <c r="Z66" s="33">
        <v>42257</v>
      </c>
      <c r="AA66" s="31" t="s">
        <v>64</v>
      </c>
      <c r="AB66" s="33">
        <v>42256</v>
      </c>
      <c r="AC66" s="31" t="s">
        <v>100</v>
      </c>
      <c r="AD66" s="31">
        <v>61994010</v>
      </c>
      <c r="AE66" s="33">
        <v>42279</v>
      </c>
      <c r="AF66" s="31" t="s">
        <v>183</v>
      </c>
      <c r="AG66" s="31"/>
      <c r="AH66" s="31">
        <v>0</v>
      </c>
      <c r="AI66" s="31"/>
      <c r="AJ66" s="31"/>
      <c r="AK66" s="31">
        <v>0</v>
      </c>
      <c r="AL66" s="31">
        <v>0</v>
      </c>
      <c r="AM66" s="31">
        <v>0</v>
      </c>
      <c r="AN66" s="31">
        <v>2795190521</v>
      </c>
      <c r="AO66" s="31" t="s">
        <v>77</v>
      </c>
      <c r="AP66" s="31" t="s">
        <v>191</v>
      </c>
    </row>
    <row r="67" spans="1:42" x14ac:dyDescent="0.2">
      <c r="A67" s="31">
        <v>10019176</v>
      </c>
      <c r="B67" s="31" t="s">
        <v>18</v>
      </c>
      <c r="C67" s="31" t="s">
        <v>573</v>
      </c>
      <c r="D67" s="33">
        <v>42256</v>
      </c>
      <c r="E67" s="31">
        <v>93467461</v>
      </c>
      <c r="F67" s="33">
        <v>42220</v>
      </c>
      <c r="G67" s="31"/>
      <c r="H67" s="31">
        <v>1201120</v>
      </c>
      <c r="I67" s="31" t="s">
        <v>117</v>
      </c>
      <c r="J67" s="31">
        <v>1307782</v>
      </c>
      <c r="K67" s="31" t="s">
        <v>119</v>
      </c>
      <c r="L67" s="31">
        <v>1171090</v>
      </c>
      <c r="M67" s="31" t="s">
        <v>118</v>
      </c>
      <c r="N67" s="31" t="s">
        <v>620</v>
      </c>
      <c r="O67" s="31"/>
      <c r="P67" s="31"/>
      <c r="Q67" s="31" t="s">
        <v>181</v>
      </c>
      <c r="R67" s="31" t="s">
        <v>97</v>
      </c>
      <c r="S67" s="31" t="s">
        <v>98</v>
      </c>
      <c r="T67" s="31">
        <v>244.8</v>
      </c>
      <c r="U67" s="31" t="s">
        <v>182</v>
      </c>
      <c r="V67" s="31"/>
      <c r="W67" s="31" t="s">
        <v>63</v>
      </c>
      <c r="X67" s="31" t="s">
        <v>70</v>
      </c>
      <c r="Y67" s="31" t="s">
        <v>76</v>
      </c>
      <c r="Z67" s="33">
        <v>42257</v>
      </c>
      <c r="AA67" s="31" t="s">
        <v>64</v>
      </c>
      <c r="AB67" s="33">
        <v>42256</v>
      </c>
      <c r="AC67" s="31"/>
      <c r="AD67" s="31"/>
      <c r="AE67" s="31"/>
      <c r="AF67" s="31" t="s">
        <v>183</v>
      </c>
      <c r="AG67" s="31"/>
      <c r="AH67" s="31">
        <v>0</v>
      </c>
      <c r="AI67" s="31"/>
      <c r="AJ67" s="31"/>
      <c r="AK67" s="31">
        <v>0</v>
      </c>
      <c r="AL67" s="31">
        <v>0</v>
      </c>
      <c r="AM67" s="31">
        <v>0</v>
      </c>
      <c r="AN67" s="31" t="s">
        <v>621</v>
      </c>
      <c r="AO67" s="31" t="s">
        <v>77</v>
      </c>
      <c r="AP67" s="31" t="s">
        <v>622</v>
      </c>
    </row>
    <row r="68" spans="1:42" x14ac:dyDescent="0.2">
      <c r="A68" s="31">
        <v>10019177</v>
      </c>
      <c r="B68" s="31" t="s">
        <v>26</v>
      </c>
      <c r="C68" s="31" t="s">
        <v>136</v>
      </c>
      <c r="D68" s="33">
        <v>42256</v>
      </c>
      <c r="E68" s="31">
        <v>93484161</v>
      </c>
      <c r="F68" s="33">
        <v>42233</v>
      </c>
      <c r="G68" s="31"/>
      <c r="H68" s="31">
        <v>1201566</v>
      </c>
      <c r="I68" s="31" t="s">
        <v>154</v>
      </c>
      <c r="J68" s="31">
        <v>1201566</v>
      </c>
      <c r="K68" s="31" t="s">
        <v>154</v>
      </c>
      <c r="L68" s="31">
        <v>1201566</v>
      </c>
      <c r="M68" s="31" t="s">
        <v>154</v>
      </c>
      <c r="N68" s="31">
        <v>2750179</v>
      </c>
      <c r="O68" s="31"/>
      <c r="P68" s="31"/>
      <c r="Q68" s="31" t="s">
        <v>181</v>
      </c>
      <c r="R68" s="31" t="s">
        <v>102</v>
      </c>
      <c r="S68" s="31" t="s">
        <v>103</v>
      </c>
      <c r="T68" s="31">
        <v>4539.84</v>
      </c>
      <c r="U68" s="31" t="s">
        <v>182</v>
      </c>
      <c r="V68" s="31"/>
      <c r="W68" s="31" t="s">
        <v>63</v>
      </c>
      <c r="X68" s="31" t="s">
        <v>94</v>
      </c>
      <c r="Y68" s="31" t="s">
        <v>95</v>
      </c>
      <c r="Z68" s="33">
        <v>42257</v>
      </c>
      <c r="AA68" s="31" t="s">
        <v>83</v>
      </c>
      <c r="AB68" s="33">
        <v>42261</v>
      </c>
      <c r="AC68" s="31"/>
      <c r="AD68" s="31"/>
      <c r="AE68" s="31"/>
      <c r="AF68" s="31" t="s">
        <v>183</v>
      </c>
      <c r="AG68" s="31"/>
      <c r="AH68" s="31">
        <v>0</v>
      </c>
      <c r="AI68" s="31"/>
      <c r="AJ68" s="31"/>
      <c r="AK68" s="31">
        <v>0</v>
      </c>
      <c r="AL68" s="31">
        <v>0</v>
      </c>
      <c r="AM68" s="31">
        <v>0</v>
      </c>
      <c r="AN68" s="31">
        <v>636808604219</v>
      </c>
      <c r="AO68" s="31" t="s">
        <v>96</v>
      </c>
      <c r="AP68" s="31" t="s">
        <v>623</v>
      </c>
    </row>
    <row r="69" spans="1:42" x14ac:dyDescent="0.2">
      <c r="A69" s="31">
        <v>10019178</v>
      </c>
      <c r="B69" s="31" t="s">
        <v>18</v>
      </c>
      <c r="C69" s="31" t="s">
        <v>573</v>
      </c>
      <c r="D69" s="33">
        <v>42257</v>
      </c>
      <c r="E69" s="31">
        <v>93499342</v>
      </c>
      <c r="F69" s="33">
        <v>42243</v>
      </c>
      <c r="G69" s="31"/>
      <c r="H69" s="31">
        <v>1201047</v>
      </c>
      <c r="I69" s="31" t="s">
        <v>79</v>
      </c>
      <c r="J69" s="31">
        <v>1030704</v>
      </c>
      <c r="K69" s="31" t="s">
        <v>101</v>
      </c>
      <c r="L69" s="31">
        <v>1171089</v>
      </c>
      <c r="M69" s="31" t="s">
        <v>75</v>
      </c>
      <c r="N69" s="31">
        <v>3500652</v>
      </c>
      <c r="O69" s="31"/>
      <c r="P69" s="31"/>
      <c r="Q69" s="31" t="s">
        <v>181</v>
      </c>
      <c r="R69" s="31" t="s">
        <v>102</v>
      </c>
      <c r="S69" s="31" t="s">
        <v>103</v>
      </c>
      <c r="T69" s="31">
        <v>2860</v>
      </c>
      <c r="U69" s="31" t="s">
        <v>182</v>
      </c>
      <c r="V69" s="31"/>
      <c r="W69" s="31" t="s">
        <v>63</v>
      </c>
      <c r="X69" s="31" t="s">
        <v>70</v>
      </c>
      <c r="Y69" s="31" t="s">
        <v>76</v>
      </c>
      <c r="Z69" s="33">
        <v>42257</v>
      </c>
      <c r="AA69" s="31" t="s">
        <v>83</v>
      </c>
      <c r="AB69" s="33">
        <v>42261</v>
      </c>
      <c r="AC69" s="31"/>
      <c r="AD69" s="31"/>
      <c r="AE69" s="31"/>
      <c r="AF69" s="31" t="s">
        <v>183</v>
      </c>
      <c r="AG69" s="31"/>
      <c r="AH69" s="31">
        <v>0</v>
      </c>
      <c r="AI69" s="31"/>
      <c r="AJ69" s="31"/>
      <c r="AK69" s="31">
        <v>0</v>
      </c>
      <c r="AL69" s="31">
        <v>0</v>
      </c>
      <c r="AM69" s="31">
        <v>0</v>
      </c>
      <c r="AN69" s="31">
        <v>636808618546</v>
      </c>
      <c r="AO69" s="31" t="s">
        <v>77</v>
      </c>
      <c r="AP69" s="31" t="s">
        <v>624</v>
      </c>
    </row>
    <row r="70" spans="1:42" x14ac:dyDescent="0.2">
      <c r="A70" s="31">
        <v>10019179</v>
      </c>
      <c r="B70" s="31" t="s">
        <v>18</v>
      </c>
      <c r="C70" s="31" t="s">
        <v>78</v>
      </c>
      <c r="D70" s="33">
        <v>42257</v>
      </c>
      <c r="E70" s="31">
        <v>93510215</v>
      </c>
      <c r="F70" s="33">
        <v>42250</v>
      </c>
      <c r="G70" s="31"/>
      <c r="H70" s="31">
        <v>1201047</v>
      </c>
      <c r="I70" s="31" t="s">
        <v>79</v>
      </c>
      <c r="J70" s="31">
        <v>1309880</v>
      </c>
      <c r="K70" s="31" t="s">
        <v>108</v>
      </c>
      <c r="L70" s="31">
        <v>1171089</v>
      </c>
      <c r="M70" s="31" t="s">
        <v>75</v>
      </c>
      <c r="N70" s="31">
        <v>18747746</v>
      </c>
      <c r="O70" s="31"/>
      <c r="P70" s="31"/>
      <c r="Q70" s="31" t="s">
        <v>181</v>
      </c>
      <c r="R70" s="31" t="s">
        <v>91</v>
      </c>
      <c r="S70" s="31" t="s">
        <v>92</v>
      </c>
      <c r="T70" s="31">
        <v>700</v>
      </c>
      <c r="U70" s="31" t="s">
        <v>182</v>
      </c>
      <c r="V70" s="31"/>
      <c r="W70" s="31" t="s">
        <v>63</v>
      </c>
      <c r="X70" s="31" t="s">
        <v>70</v>
      </c>
      <c r="Y70" s="31" t="s">
        <v>76</v>
      </c>
      <c r="Z70" s="33">
        <v>42257</v>
      </c>
      <c r="AA70" s="31" t="s">
        <v>64</v>
      </c>
      <c r="AB70" s="33">
        <v>42257</v>
      </c>
      <c r="AC70" s="31"/>
      <c r="AD70" s="31"/>
      <c r="AE70" s="31"/>
      <c r="AF70" s="31" t="s">
        <v>183</v>
      </c>
      <c r="AG70" s="31"/>
      <c r="AH70" s="31">
        <v>0</v>
      </c>
      <c r="AI70" s="31"/>
      <c r="AJ70" s="31"/>
      <c r="AK70" s="31">
        <v>0</v>
      </c>
      <c r="AL70" s="31">
        <v>0</v>
      </c>
      <c r="AM70" s="31">
        <v>0</v>
      </c>
      <c r="AN70" s="31">
        <v>-1868887</v>
      </c>
      <c r="AO70" s="31" t="s">
        <v>77</v>
      </c>
      <c r="AP70" s="31" t="s">
        <v>452</v>
      </c>
    </row>
    <row r="71" spans="1:42" x14ac:dyDescent="0.2">
      <c r="A71" s="31">
        <v>10019184</v>
      </c>
      <c r="B71" s="31" t="s">
        <v>18</v>
      </c>
      <c r="C71" s="31" t="s">
        <v>573</v>
      </c>
      <c r="D71" s="33">
        <v>42257</v>
      </c>
      <c r="E71" s="31">
        <v>93510458</v>
      </c>
      <c r="F71" s="33">
        <v>42250</v>
      </c>
      <c r="G71" s="31"/>
      <c r="H71" s="31">
        <v>1201399</v>
      </c>
      <c r="I71" s="31" t="s">
        <v>144</v>
      </c>
      <c r="J71" s="31">
        <v>1334926</v>
      </c>
      <c r="K71" s="31" t="s">
        <v>145</v>
      </c>
      <c r="L71" s="31">
        <v>1171970</v>
      </c>
      <c r="M71" s="31" t="s">
        <v>144</v>
      </c>
      <c r="N71" s="31">
        <v>8106672121</v>
      </c>
      <c r="O71" s="31"/>
      <c r="P71" s="31"/>
      <c r="Q71" s="31" t="s">
        <v>181</v>
      </c>
      <c r="R71" s="31" t="s">
        <v>279</v>
      </c>
      <c r="S71" s="31" t="s">
        <v>280</v>
      </c>
      <c r="T71" s="31">
        <v>101.32</v>
      </c>
      <c r="U71" s="31" t="s">
        <v>182</v>
      </c>
      <c r="V71" s="31"/>
      <c r="W71" s="31" t="s">
        <v>63</v>
      </c>
      <c r="X71" s="31" t="s">
        <v>70</v>
      </c>
      <c r="Y71" s="31" t="s">
        <v>76</v>
      </c>
      <c r="Z71" s="33">
        <v>42263</v>
      </c>
      <c r="AA71" s="31" t="s">
        <v>64</v>
      </c>
      <c r="AB71" s="33">
        <v>42257</v>
      </c>
      <c r="AC71" s="31"/>
      <c r="AD71" s="31"/>
      <c r="AE71" s="31"/>
      <c r="AF71" s="31" t="s">
        <v>183</v>
      </c>
      <c r="AG71" s="31"/>
      <c r="AH71" s="31">
        <v>0</v>
      </c>
      <c r="AI71" s="31"/>
      <c r="AJ71" s="31"/>
      <c r="AK71" s="31">
        <v>0</v>
      </c>
      <c r="AL71" s="31">
        <v>0</v>
      </c>
      <c r="AM71" s="31">
        <v>0</v>
      </c>
      <c r="AN71" s="31" t="s">
        <v>606</v>
      </c>
      <c r="AO71" s="31" t="s">
        <v>77</v>
      </c>
      <c r="AP71" s="31" t="s">
        <v>625</v>
      </c>
    </row>
    <row r="72" spans="1:42" x14ac:dyDescent="0.2">
      <c r="A72" s="31">
        <v>10019185</v>
      </c>
      <c r="B72" s="31" t="s">
        <v>18</v>
      </c>
      <c r="C72" s="31" t="s">
        <v>78</v>
      </c>
      <c r="D72" s="33">
        <v>42257</v>
      </c>
      <c r="E72" s="31">
        <v>93503430</v>
      </c>
      <c r="F72" s="33">
        <v>42247</v>
      </c>
      <c r="G72" s="33">
        <v>42250</v>
      </c>
      <c r="H72" s="31">
        <v>1039473</v>
      </c>
      <c r="I72" s="31" t="s">
        <v>626</v>
      </c>
      <c r="J72" s="31">
        <v>1326851</v>
      </c>
      <c r="K72" s="31" t="s">
        <v>627</v>
      </c>
      <c r="L72" s="31">
        <v>1039473</v>
      </c>
      <c r="M72" s="31" t="s">
        <v>626</v>
      </c>
      <c r="N72" s="31" t="s">
        <v>628</v>
      </c>
      <c r="O72" s="31"/>
      <c r="P72" s="31"/>
      <c r="Q72" s="31" t="s">
        <v>181</v>
      </c>
      <c r="R72" s="31" t="s">
        <v>67</v>
      </c>
      <c r="S72" s="31" t="s">
        <v>68</v>
      </c>
      <c r="T72" s="31">
        <v>1497</v>
      </c>
      <c r="U72" s="31" t="s">
        <v>182</v>
      </c>
      <c r="V72" s="31"/>
      <c r="W72" s="31" t="s">
        <v>63</v>
      </c>
      <c r="X72" s="31" t="s">
        <v>70</v>
      </c>
      <c r="Y72" s="31" t="s">
        <v>76</v>
      </c>
      <c r="Z72" s="33">
        <v>42263</v>
      </c>
      <c r="AA72" s="31" t="s">
        <v>83</v>
      </c>
      <c r="AB72" s="33">
        <v>42261</v>
      </c>
      <c r="AC72" s="31"/>
      <c r="AD72" s="31"/>
      <c r="AE72" s="31"/>
      <c r="AF72" s="31" t="s">
        <v>183</v>
      </c>
      <c r="AG72" s="31"/>
      <c r="AH72" s="31">
        <v>0</v>
      </c>
      <c r="AI72" s="31"/>
      <c r="AJ72" s="31"/>
      <c r="AK72" s="31">
        <v>0</v>
      </c>
      <c r="AL72" s="31">
        <v>0</v>
      </c>
      <c r="AM72" s="31">
        <v>0</v>
      </c>
      <c r="AN72" s="31">
        <v>2795192083</v>
      </c>
      <c r="AO72" s="31" t="s">
        <v>77</v>
      </c>
      <c r="AP72" s="31" t="s">
        <v>629</v>
      </c>
    </row>
    <row r="73" spans="1:42" x14ac:dyDescent="0.2">
      <c r="A73" s="31">
        <v>10019186</v>
      </c>
      <c r="B73" s="31" t="s">
        <v>26</v>
      </c>
      <c r="C73" s="31" t="s">
        <v>573</v>
      </c>
      <c r="D73" s="33">
        <v>42257</v>
      </c>
      <c r="E73" s="31">
        <v>93497559</v>
      </c>
      <c r="F73" s="33">
        <v>42242</v>
      </c>
      <c r="G73" s="31"/>
      <c r="H73" s="31">
        <v>1201458</v>
      </c>
      <c r="I73" s="31" t="s">
        <v>594</v>
      </c>
      <c r="J73" s="31">
        <v>1201458</v>
      </c>
      <c r="K73" s="31" t="s">
        <v>594</v>
      </c>
      <c r="L73" s="31">
        <v>1201458</v>
      </c>
      <c r="M73" s="31" t="s">
        <v>594</v>
      </c>
      <c r="N73" s="31">
        <v>272385</v>
      </c>
      <c r="O73" s="31"/>
      <c r="P73" s="31"/>
      <c r="Q73" s="31" t="s">
        <v>181</v>
      </c>
      <c r="R73" s="31" t="s">
        <v>91</v>
      </c>
      <c r="S73" s="31" t="s">
        <v>92</v>
      </c>
      <c r="T73" s="31">
        <v>5497.92</v>
      </c>
      <c r="U73" s="31" t="s">
        <v>182</v>
      </c>
      <c r="V73" s="31"/>
      <c r="W73" s="31" t="s">
        <v>69</v>
      </c>
      <c r="X73" s="31" t="s">
        <v>94</v>
      </c>
      <c r="Y73" s="31" t="s">
        <v>71</v>
      </c>
      <c r="Z73" s="33">
        <v>42262</v>
      </c>
      <c r="AA73" s="31" t="s">
        <v>83</v>
      </c>
      <c r="AB73" s="33">
        <v>42264</v>
      </c>
      <c r="AC73" s="31" t="s">
        <v>72</v>
      </c>
      <c r="AD73" s="31">
        <v>61986453</v>
      </c>
      <c r="AE73" s="33">
        <v>42269</v>
      </c>
      <c r="AF73" s="31" t="s">
        <v>183</v>
      </c>
      <c r="AG73" s="31"/>
      <c r="AH73" s="31">
        <v>0</v>
      </c>
      <c r="AI73" s="31"/>
      <c r="AJ73" s="31"/>
      <c r="AK73" s="31">
        <v>0</v>
      </c>
      <c r="AL73" s="31">
        <v>0</v>
      </c>
      <c r="AM73" s="31">
        <v>0</v>
      </c>
      <c r="AN73" s="31" t="s">
        <v>630</v>
      </c>
      <c r="AO73" s="31" t="s">
        <v>96</v>
      </c>
      <c r="AP73" s="31" t="s">
        <v>631</v>
      </c>
    </row>
    <row r="74" spans="1:42" x14ac:dyDescent="0.2">
      <c r="A74" s="31">
        <v>10019187</v>
      </c>
      <c r="B74" s="31" t="s">
        <v>26</v>
      </c>
      <c r="C74" s="31" t="s">
        <v>573</v>
      </c>
      <c r="D74" s="33">
        <v>42257</v>
      </c>
      <c r="E74" s="31">
        <v>93505198</v>
      </c>
      <c r="F74" s="33">
        <v>42248</v>
      </c>
      <c r="G74" s="31"/>
      <c r="H74" s="31">
        <v>1201047</v>
      </c>
      <c r="I74" s="31" t="s">
        <v>79</v>
      </c>
      <c r="J74" s="31">
        <v>1317086</v>
      </c>
      <c r="K74" s="31" t="s">
        <v>85</v>
      </c>
      <c r="L74" s="31">
        <v>1171089</v>
      </c>
      <c r="M74" s="31" t="s">
        <v>75</v>
      </c>
      <c r="N74" s="31">
        <v>23606433</v>
      </c>
      <c r="O74" s="31"/>
      <c r="P74" s="31"/>
      <c r="Q74" s="31" t="s">
        <v>181</v>
      </c>
      <c r="R74" s="31" t="s">
        <v>86</v>
      </c>
      <c r="S74" s="31" t="s">
        <v>87</v>
      </c>
      <c r="T74" s="31">
        <v>1650</v>
      </c>
      <c r="U74" s="31" t="s">
        <v>182</v>
      </c>
      <c r="V74" s="31"/>
      <c r="W74" s="31" t="s">
        <v>63</v>
      </c>
      <c r="X74" s="31" t="s">
        <v>94</v>
      </c>
      <c r="Y74" s="31" t="s">
        <v>95</v>
      </c>
      <c r="Z74" s="33">
        <v>42261</v>
      </c>
      <c r="AA74" s="31" t="s">
        <v>83</v>
      </c>
      <c r="AB74" s="33">
        <v>42261</v>
      </c>
      <c r="AC74" s="31"/>
      <c r="AD74" s="31"/>
      <c r="AE74" s="31"/>
      <c r="AF74" s="31" t="s">
        <v>183</v>
      </c>
      <c r="AG74" s="31"/>
      <c r="AH74" s="31">
        <v>0</v>
      </c>
      <c r="AI74" s="31"/>
      <c r="AJ74" s="31"/>
      <c r="AK74" s="31">
        <v>0</v>
      </c>
      <c r="AL74" s="31">
        <v>0</v>
      </c>
      <c r="AM74" s="31">
        <v>0</v>
      </c>
      <c r="AN74" s="31" t="s">
        <v>632</v>
      </c>
      <c r="AO74" s="31" t="s">
        <v>96</v>
      </c>
      <c r="AP74" s="31" t="s">
        <v>633</v>
      </c>
    </row>
    <row r="75" spans="1:42" x14ac:dyDescent="0.2">
      <c r="A75" s="31">
        <v>10019188</v>
      </c>
      <c r="B75" s="31" t="s">
        <v>18</v>
      </c>
      <c r="C75" s="31" t="s">
        <v>573</v>
      </c>
      <c r="D75" s="33">
        <v>42257</v>
      </c>
      <c r="E75" s="31">
        <v>93514059</v>
      </c>
      <c r="F75" s="33">
        <v>42255</v>
      </c>
      <c r="G75" s="33">
        <v>42256</v>
      </c>
      <c r="H75" s="31">
        <v>1201483</v>
      </c>
      <c r="I75" s="31" t="s">
        <v>147</v>
      </c>
      <c r="J75" s="31">
        <v>1001169</v>
      </c>
      <c r="K75" s="31" t="s">
        <v>148</v>
      </c>
      <c r="L75" s="31">
        <v>1201483</v>
      </c>
      <c r="M75" s="31" t="s">
        <v>147</v>
      </c>
      <c r="N75" s="31">
        <v>93531</v>
      </c>
      <c r="O75" s="31"/>
      <c r="P75" s="31"/>
      <c r="Q75" s="31" t="s">
        <v>181</v>
      </c>
      <c r="R75" s="31" t="s">
        <v>67</v>
      </c>
      <c r="S75" s="31" t="s">
        <v>68</v>
      </c>
      <c r="T75" s="31">
        <v>9.1999999999999993</v>
      </c>
      <c r="U75" s="31" t="s">
        <v>182</v>
      </c>
      <c r="V75" s="31"/>
      <c r="W75" s="31" t="s">
        <v>63</v>
      </c>
      <c r="X75" s="31" t="s">
        <v>70</v>
      </c>
      <c r="Y75" s="31" t="s">
        <v>76</v>
      </c>
      <c r="Z75" s="33">
        <v>42263</v>
      </c>
      <c r="AA75" s="31" t="s">
        <v>64</v>
      </c>
      <c r="AB75" s="33">
        <v>42257</v>
      </c>
      <c r="AC75" s="31"/>
      <c r="AD75" s="31"/>
      <c r="AE75" s="31"/>
      <c r="AF75" s="31" t="s">
        <v>183</v>
      </c>
      <c r="AG75" s="31"/>
      <c r="AH75" s="31">
        <v>0</v>
      </c>
      <c r="AI75" s="31"/>
      <c r="AJ75" s="31"/>
      <c r="AK75" s="31">
        <v>0</v>
      </c>
      <c r="AL75" s="31">
        <v>0</v>
      </c>
      <c r="AM75" s="31">
        <v>0</v>
      </c>
      <c r="AN75" s="31">
        <v>2795190882</v>
      </c>
      <c r="AO75" s="31" t="s">
        <v>77</v>
      </c>
      <c r="AP75" s="31" t="s">
        <v>355</v>
      </c>
    </row>
    <row r="76" spans="1:42" x14ac:dyDescent="0.2">
      <c r="A76" s="31">
        <v>10019190</v>
      </c>
      <c r="B76" s="31" t="s">
        <v>26</v>
      </c>
      <c r="C76" s="31" t="s">
        <v>78</v>
      </c>
      <c r="D76" s="33">
        <v>42258</v>
      </c>
      <c r="E76" s="31">
        <v>93513755</v>
      </c>
      <c r="F76" s="33">
        <v>42255</v>
      </c>
      <c r="G76" s="31"/>
      <c r="H76" s="31">
        <v>1201047</v>
      </c>
      <c r="I76" s="31" t="s">
        <v>79</v>
      </c>
      <c r="J76" s="31">
        <v>1058305</v>
      </c>
      <c r="K76" s="31" t="s">
        <v>99</v>
      </c>
      <c r="L76" s="31">
        <v>1171089</v>
      </c>
      <c r="M76" s="31" t="s">
        <v>75</v>
      </c>
      <c r="N76" s="31">
        <v>52930251</v>
      </c>
      <c r="O76" s="31"/>
      <c r="P76" s="31"/>
      <c r="Q76" s="31" t="s">
        <v>181</v>
      </c>
      <c r="R76" s="31" t="s">
        <v>91</v>
      </c>
      <c r="S76" s="31" t="s">
        <v>92</v>
      </c>
      <c r="T76" s="31">
        <v>1336.8</v>
      </c>
      <c r="U76" s="31" t="s">
        <v>182</v>
      </c>
      <c r="V76" s="31"/>
      <c r="W76" s="31" t="s">
        <v>63</v>
      </c>
      <c r="X76" s="31" t="s">
        <v>94</v>
      </c>
      <c r="Y76" s="31" t="s">
        <v>95</v>
      </c>
      <c r="Z76" s="33">
        <v>42265</v>
      </c>
      <c r="AA76" s="31" t="s">
        <v>83</v>
      </c>
      <c r="AB76" s="33">
        <v>42270</v>
      </c>
      <c r="AC76" s="31"/>
      <c r="AD76" s="31"/>
      <c r="AE76" s="31"/>
      <c r="AF76" s="31" t="s">
        <v>183</v>
      </c>
      <c r="AG76" s="31"/>
      <c r="AH76" s="31">
        <v>0</v>
      </c>
      <c r="AI76" s="31"/>
      <c r="AJ76" s="31"/>
      <c r="AK76" s="31">
        <v>0</v>
      </c>
      <c r="AL76" s="31">
        <v>0</v>
      </c>
      <c r="AM76" s="31">
        <v>0</v>
      </c>
      <c r="AN76" s="31" t="s">
        <v>634</v>
      </c>
      <c r="AO76" s="31" t="s">
        <v>96</v>
      </c>
      <c r="AP76" s="31" t="s">
        <v>635</v>
      </c>
    </row>
    <row r="77" spans="1:42" x14ac:dyDescent="0.2">
      <c r="A77" s="31">
        <v>10019191</v>
      </c>
      <c r="B77" s="31" t="s">
        <v>18</v>
      </c>
      <c r="C77" s="31" t="s">
        <v>573</v>
      </c>
      <c r="D77" s="33">
        <v>42258</v>
      </c>
      <c r="E77" s="31">
        <v>93501447</v>
      </c>
      <c r="F77" s="33">
        <v>42244</v>
      </c>
      <c r="G77" s="31"/>
      <c r="H77" s="31">
        <v>1201047</v>
      </c>
      <c r="I77" s="31" t="s">
        <v>79</v>
      </c>
      <c r="J77" s="31">
        <v>1030742</v>
      </c>
      <c r="K77" s="31" t="s">
        <v>80</v>
      </c>
      <c r="L77" s="31">
        <v>1171089</v>
      </c>
      <c r="M77" s="31" t="s">
        <v>75</v>
      </c>
      <c r="N77" s="31">
        <v>20926875</v>
      </c>
      <c r="O77" s="31"/>
      <c r="P77" s="31"/>
      <c r="Q77" s="31" t="s">
        <v>181</v>
      </c>
      <c r="R77" s="31" t="s">
        <v>168</v>
      </c>
      <c r="S77" s="31" t="s">
        <v>169</v>
      </c>
      <c r="T77" s="31">
        <v>15.48</v>
      </c>
      <c r="U77" s="31" t="s">
        <v>182</v>
      </c>
      <c r="V77" s="31"/>
      <c r="W77" s="31" t="s">
        <v>63</v>
      </c>
      <c r="X77" s="31" t="s">
        <v>70</v>
      </c>
      <c r="Y77" s="31" t="s">
        <v>76</v>
      </c>
      <c r="Z77" s="33">
        <v>42262</v>
      </c>
      <c r="AA77" s="31" t="s">
        <v>64</v>
      </c>
      <c r="AB77" s="33">
        <v>42258</v>
      </c>
      <c r="AC77" s="31"/>
      <c r="AD77" s="31"/>
      <c r="AE77" s="31"/>
      <c r="AF77" s="31" t="s">
        <v>183</v>
      </c>
      <c r="AG77" s="31"/>
      <c r="AH77" s="31">
        <v>0</v>
      </c>
      <c r="AI77" s="31"/>
      <c r="AJ77" s="31"/>
      <c r="AK77" s="31">
        <v>0</v>
      </c>
      <c r="AL77" s="31">
        <v>0</v>
      </c>
      <c r="AM77" s="31">
        <v>0</v>
      </c>
      <c r="AN77" s="31" t="s">
        <v>636</v>
      </c>
      <c r="AO77" s="31" t="s">
        <v>77</v>
      </c>
      <c r="AP77" s="31" t="s">
        <v>196</v>
      </c>
    </row>
    <row r="78" spans="1:42" x14ac:dyDescent="0.2">
      <c r="A78" s="31">
        <v>10019192</v>
      </c>
      <c r="B78" s="31" t="s">
        <v>18</v>
      </c>
      <c r="C78" s="31" t="s">
        <v>573</v>
      </c>
      <c r="D78" s="33">
        <v>42258</v>
      </c>
      <c r="E78" s="31">
        <v>93510566</v>
      </c>
      <c r="F78" s="33">
        <v>42250</v>
      </c>
      <c r="G78" s="33">
        <v>42255</v>
      </c>
      <c r="H78" s="31">
        <v>1201566</v>
      </c>
      <c r="I78" s="31" t="s">
        <v>154</v>
      </c>
      <c r="J78" s="31">
        <v>1201566</v>
      </c>
      <c r="K78" s="31" t="s">
        <v>154</v>
      </c>
      <c r="L78" s="31">
        <v>1201566</v>
      </c>
      <c r="M78" s="31" t="s">
        <v>154</v>
      </c>
      <c r="N78" s="31">
        <v>2802784</v>
      </c>
      <c r="O78" s="31"/>
      <c r="P78" s="31"/>
      <c r="Q78" s="31" t="s">
        <v>181</v>
      </c>
      <c r="R78" s="31" t="s">
        <v>67</v>
      </c>
      <c r="S78" s="31" t="s">
        <v>68</v>
      </c>
      <c r="T78" s="31">
        <v>510</v>
      </c>
      <c r="U78" s="31" t="s">
        <v>182</v>
      </c>
      <c r="V78" s="31"/>
      <c r="W78" s="31" t="s">
        <v>63</v>
      </c>
      <c r="X78" s="31" t="s">
        <v>70</v>
      </c>
      <c r="Y78" s="31" t="s">
        <v>76</v>
      </c>
      <c r="Z78" s="33">
        <v>42263</v>
      </c>
      <c r="AA78" s="31" t="s">
        <v>64</v>
      </c>
      <c r="AB78" s="33">
        <v>42258</v>
      </c>
      <c r="AC78" s="31"/>
      <c r="AD78" s="31"/>
      <c r="AE78" s="31"/>
      <c r="AF78" s="31" t="s">
        <v>183</v>
      </c>
      <c r="AG78" s="31"/>
      <c r="AH78" s="31">
        <v>0</v>
      </c>
      <c r="AI78" s="31"/>
      <c r="AJ78" s="31"/>
      <c r="AK78" s="31">
        <v>0</v>
      </c>
      <c r="AL78" s="31">
        <v>0</v>
      </c>
      <c r="AM78" s="31">
        <v>0</v>
      </c>
      <c r="AN78" s="31">
        <v>2795190554</v>
      </c>
      <c r="AO78" s="31" t="s">
        <v>77</v>
      </c>
      <c r="AP78" s="31" t="s">
        <v>376</v>
      </c>
    </row>
    <row r="79" spans="1:42" x14ac:dyDescent="0.2">
      <c r="A79" s="31">
        <v>10019193</v>
      </c>
      <c r="B79" s="31" t="s">
        <v>18</v>
      </c>
      <c r="C79" s="31" t="s">
        <v>573</v>
      </c>
      <c r="D79" s="33">
        <v>42258</v>
      </c>
      <c r="E79" s="31">
        <v>93505649</v>
      </c>
      <c r="F79" s="33">
        <v>42248</v>
      </c>
      <c r="G79" s="33">
        <v>42251</v>
      </c>
      <c r="H79" s="31">
        <v>1201547</v>
      </c>
      <c r="I79" s="31" t="s">
        <v>305</v>
      </c>
      <c r="J79" s="31">
        <v>1201547</v>
      </c>
      <c r="K79" s="31" t="s">
        <v>305</v>
      </c>
      <c r="L79" s="31">
        <v>1201547</v>
      </c>
      <c r="M79" s="31" t="s">
        <v>305</v>
      </c>
      <c r="N79" s="31">
        <v>94914</v>
      </c>
      <c r="O79" s="31"/>
      <c r="P79" s="31"/>
      <c r="Q79" s="31" t="s">
        <v>181</v>
      </c>
      <c r="R79" s="31" t="s">
        <v>67</v>
      </c>
      <c r="S79" s="31" t="s">
        <v>68</v>
      </c>
      <c r="T79" s="31">
        <v>96</v>
      </c>
      <c r="U79" s="31" t="s">
        <v>182</v>
      </c>
      <c r="V79" s="31"/>
      <c r="W79" s="31" t="s">
        <v>63</v>
      </c>
      <c r="X79" s="31" t="s">
        <v>70</v>
      </c>
      <c r="Y79" s="31" t="s">
        <v>76</v>
      </c>
      <c r="Z79" s="33">
        <v>42263</v>
      </c>
      <c r="AA79" s="31" t="s">
        <v>64</v>
      </c>
      <c r="AB79" s="33">
        <v>42258</v>
      </c>
      <c r="AC79" s="31"/>
      <c r="AD79" s="31"/>
      <c r="AE79" s="31"/>
      <c r="AF79" s="31" t="s">
        <v>183</v>
      </c>
      <c r="AG79" s="31"/>
      <c r="AH79" s="31">
        <v>0</v>
      </c>
      <c r="AI79" s="31"/>
      <c r="AJ79" s="31"/>
      <c r="AK79" s="31">
        <v>0</v>
      </c>
      <c r="AL79" s="31">
        <v>0</v>
      </c>
      <c r="AM79" s="31">
        <v>0</v>
      </c>
      <c r="AN79" s="31">
        <v>2795192164</v>
      </c>
      <c r="AO79" s="31" t="s">
        <v>77</v>
      </c>
      <c r="AP79" s="31" t="s">
        <v>637</v>
      </c>
    </row>
    <row r="80" spans="1:42" x14ac:dyDescent="0.2">
      <c r="A80" s="31">
        <v>10019194</v>
      </c>
      <c r="B80" s="31" t="s">
        <v>18</v>
      </c>
      <c r="C80" s="31" t="s">
        <v>573</v>
      </c>
      <c r="D80" s="33">
        <v>42258</v>
      </c>
      <c r="E80" s="31">
        <v>93515164</v>
      </c>
      <c r="F80" s="33">
        <v>42256</v>
      </c>
      <c r="G80" s="31"/>
      <c r="H80" s="31">
        <v>1201120</v>
      </c>
      <c r="I80" s="31" t="s">
        <v>117</v>
      </c>
      <c r="J80" s="31">
        <v>1307782</v>
      </c>
      <c r="K80" s="31" t="s">
        <v>119</v>
      </c>
      <c r="L80" s="31">
        <v>1171090</v>
      </c>
      <c r="M80" s="31" t="s">
        <v>118</v>
      </c>
      <c r="N80" s="31" t="s">
        <v>638</v>
      </c>
      <c r="O80" s="31"/>
      <c r="P80" s="31"/>
      <c r="Q80" s="31" t="s">
        <v>181</v>
      </c>
      <c r="R80" s="31" t="s">
        <v>97</v>
      </c>
      <c r="S80" s="31" t="s">
        <v>98</v>
      </c>
      <c r="T80" s="31">
        <v>65.959999999999994</v>
      </c>
      <c r="U80" s="31" t="s">
        <v>182</v>
      </c>
      <c r="V80" s="31"/>
      <c r="W80" s="31" t="s">
        <v>63</v>
      </c>
      <c r="X80" s="31" t="s">
        <v>70</v>
      </c>
      <c r="Y80" s="31" t="s">
        <v>76</v>
      </c>
      <c r="Z80" s="33">
        <v>42263</v>
      </c>
      <c r="AA80" s="31" t="s">
        <v>64</v>
      </c>
      <c r="AB80" s="33">
        <v>42258</v>
      </c>
      <c r="AC80" s="31"/>
      <c r="AD80" s="31"/>
      <c r="AE80" s="31"/>
      <c r="AF80" s="31" t="s">
        <v>183</v>
      </c>
      <c r="AG80" s="31"/>
      <c r="AH80" s="31">
        <v>0</v>
      </c>
      <c r="AI80" s="31"/>
      <c r="AJ80" s="31"/>
      <c r="AK80" s="31">
        <v>0</v>
      </c>
      <c r="AL80" s="31">
        <v>0</v>
      </c>
      <c r="AM80" s="31">
        <v>0</v>
      </c>
      <c r="AN80" s="31" t="s">
        <v>639</v>
      </c>
      <c r="AO80" s="31" t="s">
        <v>77</v>
      </c>
      <c r="AP80" s="31" t="s">
        <v>211</v>
      </c>
    </row>
    <row r="81" spans="1:42" x14ac:dyDescent="0.2">
      <c r="A81" s="31">
        <v>10019195</v>
      </c>
      <c r="B81" s="31" t="s">
        <v>18</v>
      </c>
      <c r="C81" s="31" t="s">
        <v>78</v>
      </c>
      <c r="D81" s="33">
        <v>42258</v>
      </c>
      <c r="E81" s="31">
        <v>93513870</v>
      </c>
      <c r="F81" s="33">
        <v>42255</v>
      </c>
      <c r="G81" s="31"/>
      <c r="H81" s="31">
        <v>1201120</v>
      </c>
      <c r="I81" s="31" t="s">
        <v>117</v>
      </c>
      <c r="J81" s="31">
        <v>1307782</v>
      </c>
      <c r="K81" s="31" t="s">
        <v>119</v>
      </c>
      <c r="L81" s="31">
        <v>1171090</v>
      </c>
      <c r="M81" s="31" t="s">
        <v>118</v>
      </c>
      <c r="N81" s="31" t="s">
        <v>638</v>
      </c>
      <c r="O81" s="31"/>
      <c r="P81" s="31"/>
      <c r="Q81" s="31" t="s">
        <v>181</v>
      </c>
      <c r="R81" s="31" t="s">
        <v>86</v>
      </c>
      <c r="S81" s="31" t="s">
        <v>87</v>
      </c>
      <c r="T81" s="31">
        <v>297</v>
      </c>
      <c r="U81" s="31" t="s">
        <v>182</v>
      </c>
      <c r="V81" s="31"/>
      <c r="W81" s="31" t="s">
        <v>63</v>
      </c>
      <c r="X81" s="31" t="s">
        <v>70</v>
      </c>
      <c r="Y81" s="31" t="s">
        <v>76</v>
      </c>
      <c r="Z81" s="33">
        <v>42263</v>
      </c>
      <c r="AA81" s="31" t="s">
        <v>64</v>
      </c>
      <c r="AB81" s="33">
        <v>42258</v>
      </c>
      <c r="AC81" s="31"/>
      <c r="AD81" s="31"/>
      <c r="AE81" s="31"/>
      <c r="AF81" s="31" t="s">
        <v>183</v>
      </c>
      <c r="AG81" s="31"/>
      <c r="AH81" s="31">
        <v>0</v>
      </c>
      <c r="AI81" s="31"/>
      <c r="AJ81" s="31"/>
      <c r="AK81" s="31">
        <v>0</v>
      </c>
      <c r="AL81" s="31">
        <v>0</v>
      </c>
      <c r="AM81" s="31">
        <v>0</v>
      </c>
      <c r="AN81" s="31" t="s">
        <v>640</v>
      </c>
      <c r="AO81" s="31" t="s">
        <v>77</v>
      </c>
      <c r="AP81" s="31" t="s">
        <v>228</v>
      </c>
    </row>
    <row r="82" spans="1:42" x14ac:dyDescent="0.2">
      <c r="A82" s="31">
        <v>10019197</v>
      </c>
      <c r="B82" s="31" t="s">
        <v>18</v>
      </c>
      <c r="C82" s="31" t="s">
        <v>573</v>
      </c>
      <c r="D82" s="33">
        <v>42261</v>
      </c>
      <c r="E82" s="31">
        <v>93513856</v>
      </c>
      <c r="F82" s="33">
        <v>42255</v>
      </c>
      <c r="G82" s="31"/>
      <c r="H82" s="31">
        <v>1201120</v>
      </c>
      <c r="I82" s="31" t="s">
        <v>117</v>
      </c>
      <c r="J82" s="31">
        <v>1307782</v>
      </c>
      <c r="K82" s="31" t="s">
        <v>119</v>
      </c>
      <c r="L82" s="31">
        <v>1171090</v>
      </c>
      <c r="M82" s="31" t="s">
        <v>118</v>
      </c>
      <c r="N82" s="31" t="s">
        <v>641</v>
      </c>
      <c r="O82" s="31"/>
      <c r="P82" s="31"/>
      <c r="Q82" s="31" t="s">
        <v>181</v>
      </c>
      <c r="R82" s="31" t="s">
        <v>97</v>
      </c>
      <c r="S82" s="31" t="s">
        <v>98</v>
      </c>
      <c r="T82" s="31">
        <v>1144.33</v>
      </c>
      <c r="U82" s="31" t="s">
        <v>182</v>
      </c>
      <c r="V82" s="31"/>
      <c r="W82" s="31" t="s">
        <v>63</v>
      </c>
      <c r="X82" s="31" t="s">
        <v>70</v>
      </c>
      <c r="Y82" s="31" t="s">
        <v>76</v>
      </c>
      <c r="Z82" s="33">
        <v>42263</v>
      </c>
      <c r="AA82" s="31" t="s">
        <v>83</v>
      </c>
      <c r="AB82" s="33">
        <v>42261</v>
      </c>
      <c r="AC82" s="31"/>
      <c r="AD82" s="31"/>
      <c r="AE82" s="31"/>
      <c r="AF82" s="31" t="s">
        <v>183</v>
      </c>
      <c r="AG82" s="31"/>
      <c r="AH82" s="31">
        <v>0</v>
      </c>
      <c r="AI82" s="31"/>
      <c r="AJ82" s="31"/>
      <c r="AK82" s="31">
        <v>0</v>
      </c>
      <c r="AL82" s="31">
        <v>0</v>
      </c>
      <c r="AM82" s="31">
        <v>0</v>
      </c>
      <c r="AN82" s="31" t="s">
        <v>642</v>
      </c>
      <c r="AO82" s="31" t="s">
        <v>77</v>
      </c>
      <c r="AP82" s="31" t="s">
        <v>355</v>
      </c>
    </row>
    <row r="83" spans="1:42" x14ac:dyDescent="0.2">
      <c r="A83" s="31">
        <v>10019198</v>
      </c>
      <c r="B83" s="31" t="s">
        <v>18</v>
      </c>
      <c r="C83" s="31" t="s">
        <v>78</v>
      </c>
      <c r="D83" s="33">
        <v>42261</v>
      </c>
      <c r="E83" s="31">
        <v>93510457</v>
      </c>
      <c r="F83" s="33">
        <v>42250</v>
      </c>
      <c r="G83" s="31"/>
      <c r="H83" s="31">
        <v>1201399</v>
      </c>
      <c r="I83" s="31" t="s">
        <v>144</v>
      </c>
      <c r="J83" s="31">
        <v>1334926</v>
      </c>
      <c r="K83" s="31" t="s">
        <v>145</v>
      </c>
      <c r="L83" s="31">
        <v>1171970</v>
      </c>
      <c r="M83" s="31" t="s">
        <v>144</v>
      </c>
      <c r="N83" s="31">
        <v>8106672106</v>
      </c>
      <c r="O83" s="31"/>
      <c r="P83" s="31"/>
      <c r="Q83" s="31" t="s">
        <v>181</v>
      </c>
      <c r="R83" s="31" t="s">
        <v>279</v>
      </c>
      <c r="S83" s="31" t="s">
        <v>280</v>
      </c>
      <c r="T83" s="31">
        <v>18949.2</v>
      </c>
      <c r="U83" s="31" t="s">
        <v>182</v>
      </c>
      <c r="V83" s="31"/>
      <c r="W83" s="31" t="s">
        <v>63</v>
      </c>
      <c r="X83" s="31" t="s">
        <v>70</v>
      </c>
      <c r="Y83" s="31" t="s">
        <v>76</v>
      </c>
      <c r="Z83" s="33">
        <v>42263</v>
      </c>
      <c r="AA83" s="31" t="s">
        <v>83</v>
      </c>
      <c r="AB83" s="33">
        <v>42261</v>
      </c>
      <c r="AC83" s="31"/>
      <c r="AD83" s="31"/>
      <c r="AE83" s="31"/>
      <c r="AF83" s="31" t="s">
        <v>183</v>
      </c>
      <c r="AG83" s="31"/>
      <c r="AH83" s="31">
        <v>0</v>
      </c>
      <c r="AI83" s="31"/>
      <c r="AJ83" s="31"/>
      <c r="AK83" s="31">
        <v>0</v>
      </c>
      <c r="AL83" s="31">
        <v>0</v>
      </c>
      <c r="AM83" s="31">
        <v>0</v>
      </c>
      <c r="AN83" s="31" t="s">
        <v>606</v>
      </c>
      <c r="AO83" s="31" t="s">
        <v>77</v>
      </c>
      <c r="AP83" s="31" t="s">
        <v>376</v>
      </c>
    </row>
    <row r="84" spans="1:42" x14ac:dyDescent="0.2">
      <c r="A84" s="31">
        <v>10019199</v>
      </c>
      <c r="B84" s="31" t="s">
        <v>18</v>
      </c>
      <c r="C84" s="31" t="s">
        <v>78</v>
      </c>
      <c r="D84" s="33">
        <v>42261</v>
      </c>
      <c r="E84" s="31">
        <v>93507699</v>
      </c>
      <c r="F84" s="33">
        <v>42249</v>
      </c>
      <c r="G84" s="33">
        <v>42255</v>
      </c>
      <c r="H84" s="31">
        <v>1201057</v>
      </c>
      <c r="I84" s="31" t="s">
        <v>643</v>
      </c>
      <c r="J84" s="31">
        <v>1325925</v>
      </c>
      <c r="K84" s="31" t="s">
        <v>643</v>
      </c>
      <c r="L84" s="31">
        <v>1201057</v>
      </c>
      <c r="M84" s="31" t="s">
        <v>643</v>
      </c>
      <c r="N84" s="31">
        <v>176304</v>
      </c>
      <c r="O84" s="31"/>
      <c r="P84" s="31"/>
      <c r="Q84" s="31" t="s">
        <v>181</v>
      </c>
      <c r="R84" s="31" t="s">
        <v>67</v>
      </c>
      <c r="S84" s="31" t="s">
        <v>68</v>
      </c>
      <c r="T84" s="31">
        <v>1757.12</v>
      </c>
      <c r="U84" s="31" t="s">
        <v>182</v>
      </c>
      <c r="V84" s="31"/>
      <c r="W84" s="31" t="s">
        <v>63</v>
      </c>
      <c r="X84" s="31" t="s">
        <v>70</v>
      </c>
      <c r="Y84" s="31" t="s">
        <v>76</v>
      </c>
      <c r="Z84" s="33">
        <v>42263</v>
      </c>
      <c r="AA84" s="31" t="s">
        <v>83</v>
      </c>
      <c r="AB84" s="33">
        <v>42263</v>
      </c>
      <c r="AC84" s="31"/>
      <c r="AD84" s="31"/>
      <c r="AE84" s="31"/>
      <c r="AF84" s="31" t="s">
        <v>183</v>
      </c>
      <c r="AG84" s="31"/>
      <c r="AH84" s="31">
        <v>0</v>
      </c>
      <c r="AI84" s="31"/>
      <c r="AJ84" s="31"/>
      <c r="AK84" s="31">
        <v>0</v>
      </c>
      <c r="AL84" s="31">
        <v>0</v>
      </c>
      <c r="AM84" s="31">
        <v>0</v>
      </c>
      <c r="AN84" s="31">
        <v>2795190193</v>
      </c>
      <c r="AO84" s="31" t="s">
        <v>77</v>
      </c>
      <c r="AP84" s="31" t="s">
        <v>644</v>
      </c>
    </row>
    <row r="85" spans="1:42" x14ac:dyDescent="0.2">
      <c r="A85" s="31">
        <v>10019200</v>
      </c>
      <c r="B85" s="31" t="s">
        <v>18</v>
      </c>
      <c r="C85" s="31" t="s">
        <v>573</v>
      </c>
      <c r="D85" s="33">
        <v>42261</v>
      </c>
      <c r="E85" s="31">
        <v>93518680</v>
      </c>
      <c r="F85" s="33">
        <v>42258</v>
      </c>
      <c r="G85" s="31"/>
      <c r="H85" s="31">
        <v>1201120</v>
      </c>
      <c r="I85" s="31" t="s">
        <v>117</v>
      </c>
      <c r="J85" s="31">
        <v>1307782</v>
      </c>
      <c r="K85" s="31" t="s">
        <v>119</v>
      </c>
      <c r="L85" s="31">
        <v>1171090</v>
      </c>
      <c r="M85" s="31" t="s">
        <v>118</v>
      </c>
      <c r="N85" s="31" t="s">
        <v>645</v>
      </c>
      <c r="O85" s="31"/>
      <c r="P85" s="31"/>
      <c r="Q85" s="31" t="s">
        <v>181</v>
      </c>
      <c r="R85" s="31" t="s">
        <v>123</v>
      </c>
      <c r="S85" s="31" t="s">
        <v>124</v>
      </c>
      <c r="T85" s="31">
        <v>288</v>
      </c>
      <c r="U85" s="31" t="s">
        <v>182</v>
      </c>
      <c r="V85" s="31"/>
      <c r="W85" s="31" t="s">
        <v>63</v>
      </c>
      <c r="X85" s="31" t="s">
        <v>70</v>
      </c>
      <c r="Y85" s="31" t="s">
        <v>76</v>
      </c>
      <c r="Z85" s="33">
        <v>42263</v>
      </c>
      <c r="AA85" s="31" t="s">
        <v>64</v>
      </c>
      <c r="AB85" s="33">
        <v>42261</v>
      </c>
      <c r="AC85" s="31"/>
      <c r="AD85" s="31"/>
      <c r="AE85" s="31"/>
      <c r="AF85" s="31" t="s">
        <v>183</v>
      </c>
      <c r="AG85" s="31"/>
      <c r="AH85" s="31">
        <v>0</v>
      </c>
      <c r="AI85" s="31"/>
      <c r="AJ85" s="31"/>
      <c r="AK85" s="31">
        <v>0</v>
      </c>
      <c r="AL85" s="31">
        <v>0</v>
      </c>
      <c r="AM85" s="31">
        <v>0</v>
      </c>
      <c r="AN85" s="31" t="s">
        <v>646</v>
      </c>
      <c r="AO85" s="31" t="s">
        <v>77</v>
      </c>
      <c r="AP85" s="31" t="s">
        <v>647</v>
      </c>
    </row>
    <row r="86" spans="1:42" x14ac:dyDescent="0.2">
      <c r="A86" s="31">
        <v>10019201</v>
      </c>
      <c r="B86" s="31" t="s">
        <v>24</v>
      </c>
      <c r="C86" s="31" t="s">
        <v>78</v>
      </c>
      <c r="D86" s="33">
        <v>42261</v>
      </c>
      <c r="E86" s="31">
        <v>93511971</v>
      </c>
      <c r="F86" s="33">
        <v>42251</v>
      </c>
      <c r="G86" s="33">
        <v>42256</v>
      </c>
      <c r="H86" s="31">
        <v>1201566</v>
      </c>
      <c r="I86" s="31" t="s">
        <v>154</v>
      </c>
      <c r="J86" s="31">
        <v>1201566</v>
      </c>
      <c r="K86" s="31" t="s">
        <v>154</v>
      </c>
      <c r="L86" s="31">
        <v>1201566</v>
      </c>
      <c r="M86" s="31" t="s">
        <v>154</v>
      </c>
      <c r="N86" s="31">
        <v>2800177</v>
      </c>
      <c r="O86" s="31"/>
      <c r="P86" s="31"/>
      <c r="Q86" s="31" t="s">
        <v>181</v>
      </c>
      <c r="R86" s="31" t="s">
        <v>67</v>
      </c>
      <c r="S86" s="31" t="s">
        <v>68</v>
      </c>
      <c r="T86" s="31">
        <v>57.51</v>
      </c>
      <c r="U86" s="31" t="s">
        <v>182</v>
      </c>
      <c r="V86" s="31"/>
      <c r="W86" s="31" t="s">
        <v>69</v>
      </c>
      <c r="X86" s="31" t="s">
        <v>70</v>
      </c>
      <c r="Y86" s="31" t="s">
        <v>71</v>
      </c>
      <c r="Z86" s="33">
        <v>42264</v>
      </c>
      <c r="AA86" s="31" t="s">
        <v>64</v>
      </c>
      <c r="AB86" s="33">
        <v>42261</v>
      </c>
      <c r="AC86" s="31" t="s">
        <v>72</v>
      </c>
      <c r="AD86" s="31">
        <v>61986455</v>
      </c>
      <c r="AE86" s="33">
        <v>42269</v>
      </c>
      <c r="AF86" s="31" t="s">
        <v>183</v>
      </c>
      <c r="AG86" s="31"/>
      <c r="AH86" s="31">
        <v>0</v>
      </c>
      <c r="AI86" s="31"/>
      <c r="AJ86" s="31"/>
      <c r="AK86" s="31">
        <v>0</v>
      </c>
      <c r="AL86" s="31">
        <v>0</v>
      </c>
      <c r="AM86" s="31">
        <v>0</v>
      </c>
      <c r="AN86" s="31">
        <v>2795190731</v>
      </c>
      <c r="AO86" s="31" t="s">
        <v>73</v>
      </c>
      <c r="AP86" s="31" t="s">
        <v>648</v>
      </c>
    </row>
    <row r="87" spans="1:42" x14ac:dyDescent="0.2">
      <c r="A87" s="31">
        <v>10019202</v>
      </c>
      <c r="B87" s="31" t="s">
        <v>18</v>
      </c>
      <c r="C87" s="31" t="s">
        <v>573</v>
      </c>
      <c r="D87" s="33">
        <v>42261</v>
      </c>
      <c r="E87" s="31">
        <v>93511812</v>
      </c>
      <c r="F87" s="33">
        <v>42251</v>
      </c>
      <c r="G87" s="31"/>
      <c r="H87" s="31">
        <v>1201120</v>
      </c>
      <c r="I87" s="31" t="s">
        <v>117</v>
      </c>
      <c r="J87" s="31">
        <v>1307782</v>
      </c>
      <c r="K87" s="31" t="s">
        <v>119</v>
      </c>
      <c r="L87" s="31">
        <v>1171090</v>
      </c>
      <c r="M87" s="31" t="s">
        <v>118</v>
      </c>
      <c r="N87" s="31" t="s">
        <v>638</v>
      </c>
      <c r="O87" s="31"/>
      <c r="P87" s="31"/>
      <c r="Q87" s="31" t="s">
        <v>181</v>
      </c>
      <c r="R87" s="31" t="s">
        <v>97</v>
      </c>
      <c r="S87" s="31" t="s">
        <v>98</v>
      </c>
      <c r="T87" s="31">
        <v>1978.8</v>
      </c>
      <c r="U87" s="31" t="s">
        <v>182</v>
      </c>
      <c r="V87" s="31"/>
      <c r="W87" s="31" t="s">
        <v>63</v>
      </c>
      <c r="X87" s="31" t="s">
        <v>70</v>
      </c>
      <c r="Y87" s="31" t="s">
        <v>76</v>
      </c>
      <c r="Z87" s="33">
        <v>42263</v>
      </c>
      <c r="AA87" s="31" t="s">
        <v>83</v>
      </c>
      <c r="AB87" s="33">
        <v>42263</v>
      </c>
      <c r="AC87" s="31"/>
      <c r="AD87" s="31"/>
      <c r="AE87" s="31"/>
      <c r="AF87" s="31" t="s">
        <v>183</v>
      </c>
      <c r="AG87" s="31"/>
      <c r="AH87" s="31">
        <v>0</v>
      </c>
      <c r="AI87" s="31"/>
      <c r="AJ87" s="31"/>
      <c r="AK87" s="31">
        <v>0</v>
      </c>
      <c r="AL87" s="31">
        <v>0</v>
      </c>
      <c r="AM87" s="31">
        <v>0</v>
      </c>
      <c r="AN87" s="31">
        <v>87944972473754</v>
      </c>
      <c r="AO87" s="31" t="s">
        <v>77</v>
      </c>
      <c r="AP87" s="31" t="s">
        <v>649</v>
      </c>
    </row>
    <row r="88" spans="1:42" x14ac:dyDescent="0.2">
      <c r="A88" s="31">
        <v>10019203</v>
      </c>
      <c r="B88" s="31" t="s">
        <v>26</v>
      </c>
      <c r="C88" s="31" t="s">
        <v>78</v>
      </c>
      <c r="D88" s="33">
        <v>42261</v>
      </c>
      <c r="E88" s="31">
        <v>93513747</v>
      </c>
      <c r="F88" s="33">
        <v>42255</v>
      </c>
      <c r="G88" s="31"/>
      <c r="H88" s="31">
        <v>1201047</v>
      </c>
      <c r="I88" s="31" t="s">
        <v>79</v>
      </c>
      <c r="J88" s="31">
        <v>1038994</v>
      </c>
      <c r="K88" s="31" t="s">
        <v>80</v>
      </c>
      <c r="L88" s="31">
        <v>1171089</v>
      </c>
      <c r="M88" s="31" t="s">
        <v>75</v>
      </c>
      <c r="N88" s="31">
        <v>40437487</v>
      </c>
      <c r="O88" s="31"/>
      <c r="P88" s="31"/>
      <c r="Q88" s="31" t="s">
        <v>181</v>
      </c>
      <c r="R88" s="31" t="s">
        <v>86</v>
      </c>
      <c r="S88" s="31" t="s">
        <v>87</v>
      </c>
      <c r="T88" s="31">
        <v>1080</v>
      </c>
      <c r="U88" s="31" t="s">
        <v>182</v>
      </c>
      <c r="V88" s="31"/>
      <c r="W88" s="31" t="s">
        <v>63</v>
      </c>
      <c r="X88" s="31" t="s">
        <v>81</v>
      </c>
      <c r="Y88" s="31" t="s">
        <v>88</v>
      </c>
      <c r="Z88" s="33">
        <v>42269</v>
      </c>
      <c r="AA88" s="31"/>
      <c r="AB88" s="31"/>
      <c r="AC88" s="31"/>
      <c r="AD88" s="31"/>
      <c r="AE88" s="31"/>
      <c r="AF88" s="31" t="s">
        <v>183</v>
      </c>
      <c r="AG88" s="31"/>
      <c r="AH88" s="31">
        <v>0</v>
      </c>
      <c r="AI88" s="31"/>
      <c r="AJ88" s="31"/>
      <c r="AK88" s="31">
        <v>0</v>
      </c>
      <c r="AL88" s="31">
        <v>0</v>
      </c>
      <c r="AM88" s="31">
        <v>0</v>
      </c>
      <c r="AN88" s="31" t="s">
        <v>650</v>
      </c>
      <c r="AO88" s="31" t="s">
        <v>89</v>
      </c>
      <c r="AP88" s="31" t="s">
        <v>274</v>
      </c>
    </row>
    <row r="89" spans="1:42" x14ac:dyDescent="0.2">
      <c r="A89" s="31">
        <v>10019204</v>
      </c>
      <c r="B89" s="31" t="s">
        <v>18</v>
      </c>
      <c r="C89" s="31" t="s">
        <v>78</v>
      </c>
      <c r="D89" s="33">
        <v>42261</v>
      </c>
      <c r="E89" s="31">
        <v>93516851</v>
      </c>
      <c r="F89" s="33">
        <v>42257</v>
      </c>
      <c r="G89" s="31"/>
      <c r="H89" s="31">
        <v>1201458</v>
      </c>
      <c r="I89" s="31" t="s">
        <v>594</v>
      </c>
      <c r="J89" s="31">
        <v>1201458</v>
      </c>
      <c r="K89" s="31" t="s">
        <v>594</v>
      </c>
      <c r="L89" s="31">
        <v>1201458</v>
      </c>
      <c r="M89" s="31" t="s">
        <v>594</v>
      </c>
      <c r="N89" s="31">
        <v>273063</v>
      </c>
      <c r="O89" s="31"/>
      <c r="P89" s="31"/>
      <c r="Q89" s="31" t="s">
        <v>181</v>
      </c>
      <c r="R89" s="31" t="s">
        <v>91</v>
      </c>
      <c r="S89" s="31" t="s">
        <v>92</v>
      </c>
      <c r="T89" s="31">
        <v>2640</v>
      </c>
      <c r="U89" s="31" t="s">
        <v>182</v>
      </c>
      <c r="V89" s="31"/>
      <c r="W89" s="31" t="s">
        <v>63</v>
      </c>
      <c r="X89" s="31" t="s">
        <v>70</v>
      </c>
      <c r="Y89" s="31" t="s">
        <v>76</v>
      </c>
      <c r="Z89" s="33">
        <v>42263</v>
      </c>
      <c r="AA89" s="31" t="s">
        <v>83</v>
      </c>
      <c r="AB89" s="33">
        <v>42264</v>
      </c>
      <c r="AC89" s="31"/>
      <c r="AD89" s="31"/>
      <c r="AE89" s="31"/>
      <c r="AF89" s="31" t="s">
        <v>183</v>
      </c>
      <c r="AG89" s="31"/>
      <c r="AH89" s="31">
        <v>0</v>
      </c>
      <c r="AI89" s="31"/>
      <c r="AJ89" s="31"/>
      <c r="AK89" s="31">
        <v>0</v>
      </c>
      <c r="AL89" s="31">
        <v>0</v>
      </c>
      <c r="AM89" s="31">
        <v>0</v>
      </c>
      <c r="AN89" s="31" t="s">
        <v>651</v>
      </c>
      <c r="AO89" s="31" t="s">
        <v>77</v>
      </c>
      <c r="AP89" s="31" t="s">
        <v>386</v>
      </c>
    </row>
    <row r="90" spans="1:42" x14ac:dyDescent="0.2">
      <c r="A90" s="31">
        <v>10019205</v>
      </c>
      <c r="B90" s="31" t="s">
        <v>18</v>
      </c>
      <c r="C90" s="31" t="s">
        <v>573</v>
      </c>
      <c r="D90" s="33">
        <v>42261</v>
      </c>
      <c r="E90" s="31">
        <v>93516930</v>
      </c>
      <c r="F90" s="33">
        <v>42257</v>
      </c>
      <c r="G90" s="31"/>
      <c r="H90" s="31">
        <v>1201640</v>
      </c>
      <c r="I90" s="31" t="s">
        <v>159</v>
      </c>
      <c r="J90" s="31">
        <v>1338029</v>
      </c>
      <c r="K90" s="31" t="s">
        <v>160</v>
      </c>
      <c r="L90" s="31">
        <v>1201640</v>
      </c>
      <c r="M90" s="31" t="s">
        <v>159</v>
      </c>
      <c r="N90" s="31" t="s">
        <v>652</v>
      </c>
      <c r="O90" s="31"/>
      <c r="P90" s="31"/>
      <c r="Q90" s="31" t="s">
        <v>181</v>
      </c>
      <c r="R90" s="31" t="s">
        <v>67</v>
      </c>
      <c r="S90" s="31" t="s">
        <v>68</v>
      </c>
      <c r="T90" s="31">
        <v>174.72</v>
      </c>
      <c r="U90" s="31" t="s">
        <v>182</v>
      </c>
      <c r="V90" s="31"/>
      <c r="W90" s="31" t="s">
        <v>63</v>
      </c>
      <c r="X90" s="31" t="s">
        <v>70</v>
      </c>
      <c r="Y90" s="31" t="s">
        <v>76</v>
      </c>
      <c r="Z90" s="33">
        <v>42263</v>
      </c>
      <c r="AA90" s="31" t="s">
        <v>64</v>
      </c>
      <c r="AB90" s="33">
        <v>42261</v>
      </c>
      <c r="AC90" s="31"/>
      <c r="AD90" s="31"/>
      <c r="AE90" s="31"/>
      <c r="AF90" s="31" t="s">
        <v>183</v>
      </c>
      <c r="AG90" s="31"/>
      <c r="AH90" s="31">
        <v>0</v>
      </c>
      <c r="AI90" s="31"/>
      <c r="AJ90" s="31"/>
      <c r="AK90" s="31">
        <v>0</v>
      </c>
      <c r="AL90" s="31">
        <v>0</v>
      </c>
      <c r="AM90" s="31">
        <v>0</v>
      </c>
      <c r="AN90" s="31">
        <v>3511656304</v>
      </c>
      <c r="AO90" s="31" t="s">
        <v>77</v>
      </c>
      <c r="AP90" s="31" t="s">
        <v>653</v>
      </c>
    </row>
    <row r="91" spans="1:42" x14ac:dyDescent="0.2">
      <c r="A91" s="31">
        <v>10019206</v>
      </c>
      <c r="B91" s="31" t="s">
        <v>18</v>
      </c>
      <c r="C91" s="31" t="s">
        <v>78</v>
      </c>
      <c r="D91" s="33">
        <v>42261</v>
      </c>
      <c r="E91" s="31">
        <v>93518498</v>
      </c>
      <c r="F91" s="33">
        <v>42258</v>
      </c>
      <c r="G91" s="33">
        <v>42262</v>
      </c>
      <c r="H91" s="31">
        <v>1201047</v>
      </c>
      <c r="I91" s="31" t="s">
        <v>79</v>
      </c>
      <c r="J91" s="31">
        <v>1311671</v>
      </c>
      <c r="K91" s="31" t="s">
        <v>90</v>
      </c>
      <c r="L91" s="31">
        <v>1171089</v>
      </c>
      <c r="M91" s="31" t="s">
        <v>75</v>
      </c>
      <c r="N91" s="31">
        <v>21459044</v>
      </c>
      <c r="O91" s="31"/>
      <c r="P91" s="31"/>
      <c r="Q91" s="31" t="s">
        <v>181</v>
      </c>
      <c r="R91" s="31" t="s">
        <v>67</v>
      </c>
      <c r="S91" s="31" t="s">
        <v>68</v>
      </c>
      <c r="T91" s="31">
        <v>1768.68</v>
      </c>
      <c r="U91" s="31" t="s">
        <v>182</v>
      </c>
      <c r="V91" s="31"/>
      <c r="W91" s="31" t="s">
        <v>63</v>
      </c>
      <c r="X91" s="31" t="s">
        <v>70</v>
      </c>
      <c r="Y91" s="31" t="s">
        <v>76</v>
      </c>
      <c r="Z91" s="33">
        <v>42263</v>
      </c>
      <c r="AA91" s="31" t="s">
        <v>83</v>
      </c>
      <c r="AB91" s="33">
        <v>42263</v>
      </c>
      <c r="AC91" s="31"/>
      <c r="AD91" s="31"/>
      <c r="AE91" s="31"/>
      <c r="AF91" s="31" t="s">
        <v>183</v>
      </c>
      <c r="AG91" s="31"/>
      <c r="AH91" s="31">
        <v>0</v>
      </c>
      <c r="AI91" s="31"/>
      <c r="AJ91" s="31"/>
      <c r="AK91" s="31">
        <v>0</v>
      </c>
      <c r="AL91" s="31">
        <v>0</v>
      </c>
      <c r="AM91" s="31">
        <v>0</v>
      </c>
      <c r="AN91" s="31">
        <v>3527005031</v>
      </c>
      <c r="AO91" s="31" t="s">
        <v>77</v>
      </c>
      <c r="AP91" s="31" t="s">
        <v>376</v>
      </c>
    </row>
    <row r="92" spans="1:42" x14ac:dyDescent="0.2">
      <c r="A92" s="31">
        <v>10019207</v>
      </c>
      <c r="B92" s="31" t="s">
        <v>18</v>
      </c>
      <c r="C92" s="31" t="s">
        <v>78</v>
      </c>
      <c r="D92" s="33">
        <v>42261</v>
      </c>
      <c r="E92" s="31">
        <v>93515054</v>
      </c>
      <c r="F92" s="33">
        <v>42256</v>
      </c>
      <c r="G92" s="31"/>
      <c r="H92" s="31">
        <v>1201047</v>
      </c>
      <c r="I92" s="31" t="s">
        <v>79</v>
      </c>
      <c r="J92" s="31">
        <v>1311671</v>
      </c>
      <c r="K92" s="31" t="s">
        <v>90</v>
      </c>
      <c r="L92" s="31">
        <v>1171089</v>
      </c>
      <c r="M92" s="31" t="s">
        <v>75</v>
      </c>
      <c r="N92" s="31">
        <v>21459044</v>
      </c>
      <c r="O92" s="31"/>
      <c r="P92" s="31"/>
      <c r="Q92" s="31" t="s">
        <v>181</v>
      </c>
      <c r="R92" s="31" t="s">
        <v>91</v>
      </c>
      <c r="S92" s="31" t="s">
        <v>92</v>
      </c>
      <c r="T92" s="31">
        <v>229</v>
      </c>
      <c r="U92" s="31" t="s">
        <v>182</v>
      </c>
      <c r="V92" s="31"/>
      <c r="W92" s="31" t="s">
        <v>63</v>
      </c>
      <c r="X92" s="31" t="s">
        <v>70</v>
      </c>
      <c r="Y92" s="31" t="s">
        <v>76</v>
      </c>
      <c r="Z92" s="33">
        <v>42263</v>
      </c>
      <c r="AA92" s="31" t="s">
        <v>64</v>
      </c>
      <c r="AB92" s="33">
        <v>42261</v>
      </c>
      <c r="AC92" s="31"/>
      <c r="AD92" s="31"/>
      <c r="AE92" s="31"/>
      <c r="AF92" s="31" t="s">
        <v>183</v>
      </c>
      <c r="AG92" s="31"/>
      <c r="AH92" s="31">
        <v>0</v>
      </c>
      <c r="AI92" s="31"/>
      <c r="AJ92" s="31"/>
      <c r="AK92" s="31">
        <v>0</v>
      </c>
      <c r="AL92" s="31">
        <v>0</v>
      </c>
      <c r="AM92" s="31">
        <v>0</v>
      </c>
      <c r="AN92" s="31" t="s">
        <v>654</v>
      </c>
      <c r="AO92" s="31" t="s">
        <v>77</v>
      </c>
      <c r="AP92" s="31" t="s">
        <v>655</v>
      </c>
    </row>
    <row r="93" spans="1:42" x14ac:dyDescent="0.2">
      <c r="A93" s="31">
        <v>10019208</v>
      </c>
      <c r="B93" s="31" t="s">
        <v>18</v>
      </c>
      <c r="C93" s="31" t="s">
        <v>573</v>
      </c>
      <c r="D93" s="33">
        <v>42261</v>
      </c>
      <c r="E93" s="31">
        <v>93515044</v>
      </c>
      <c r="F93" s="33">
        <v>42256</v>
      </c>
      <c r="G93" s="31"/>
      <c r="H93" s="31">
        <v>1201047</v>
      </c>
      <c r="I93" s="31" t="s">
        <v>79</v>
      </c>
      <c r="J93" s="31">
        <v>1311671</v>
      </c>
      <c r="K93" s="31" t="s">
        <v>90</v>
      </c>
      <c r="L93" s="31">
        <v>1171089</v>
      </c>
      <c r="M93" s="31" t="s">
        <v>75</v>
      </c>
      <c r="N93" s="31">
        <v>21459059</v>
      </c>
      <c r="O93" s="31"/>
      <c r="P93" s="31"/>
      <c r="Q93" s="31" t="s">
        <v>181</v>
      </c>
      <c r="R93" s="31" t="s">
        <v>91</v>
      </c>
      <c r="S93" s="31" t="s">
        <v>92</v>
      </c>
      <c r="T93" s="31">
        <v>57312.45</v>
      </c>
      <c r="U93" s="31" t="s">
        <v>182</v>
      </c>
      <c r="V93" s="31"/>
      <c r="W93" s="31" t="s">
        <v>63</v>
      </c>
      <c r="X93" s="31" t="s">
        <v>70</v>
      </c>
      <c r="Y93" s="31" t="s">
        <v>76</v>
      </c>
      <c r="Z93" s="33">
        <v>42263</v>
      </c>
      <c r="AA93" s="31" t="s">
        <v>83</v>
      </c>
      <c r="AB93" s="33">
        <v>42264</v>
      </c>
      <c r="AC93" s="31"/>
      <c r="AD93" s="31"/>
      <c r="AE93" s="31"/>
      <c r="AF93" s="31" t="s">
        <v>183</v>
      </c>
      <c r="AG93" s="31"/>
      <c r="AH93" s="31">
        <v>0</v>
      </c>
      <c r="AI93" s="31"/>
      <c r="AJ93" s="31"/>
      <c r="AK93" s="31">
        <v>0</v>
      </c>
      <c r="AL93" s="31">
        <v>0</v>
      </c>
      <c r="AM93" s="31">
        <v>0</v>
      </c>
      <c r="AN93" s="31" t="s">
        <v>654</v>
      </c>
      <c r="AO93" s="31" t="s">
        <v>77</v>
      </c>
      <c r="AP93" s="31" t="s">
        <v>656</v>
      </c>
    </row>
    <row r="94" spans="1:42" x14ac:dyDescent="0.2">
      <c r="A94" s="31">
        <v>10019209</v>
      </c>
      <c r="B94" s="31" t="s">
        <v>26</v>
      </c>
      <c r="C94" s="31" t="s">
        <v>78</v>
      </c>
      <c r="D94" s="33">
        <v>42261</v>
      </c>
      <c r="E94" s="31">
        <v>93510587</v>
      </c>
      <c r="F94" s="33">
        <v>42250</v>
      </c>
      <c r="G94" s="33">
        <v>42255</v>
      </c>
      <c r="H94" s="31">
        <v>1201640</v>
      </c>
      <c r="I94" s="31" t="s">
        <v>159</v>
      </c>
      <c r="J94" s="31">
        <v>1338029</v>
      </c>
      <c r="K94" s="31" t="s">
        <v>160</v>
      </c>
      <c r="L94" s="31">
        <v>1201640</v>
      </c>
      <c r="M94" s="31" t="s">
        <v>159</v>
      </c>
      <c r="N94" s="31" t="s">
        <v>657</v>
      </c>
      <c r="O94" s="31"/>
      <c r="P94" s="31"/>
      <c r="Q94" s="31" t="s">
        <v>181</v>
      </c>
      <c r="R94" s="31" t="s">
        <v>67</v>
      </c>
      <c r="S94" s="31" t="s">
        <v>68</v>
      </c>
      <c r="T94" s="31">
        <v>89.28</v>
      </c>
      <c r="U94" s="31" t="s">
        <v>182</v>
      </c>
      <c r="V94" s="31"/>
      <c r="W94" s="31" t="s">
        <v>63</v>
      </c>
      <c r="X94" s="31" t="s">
        <v>81</v>
      </c>
      <c r="Y94" s="31" t="s">
        <v>88</v>
      </c>
      <c r="Z94" s="33">
        <v>42275</v>
      </c>
      <c r="AA94" s="31" t="s">
        <v>64</v>
      </c>
      <c r="AB94" s="33">
        <v>42261</v>
      </c>
      <c r="AC94" s="31"/>
      <c r="AD94" s="31"/>
      <c r="AE94" s="31"/>
      <c r="AF94" s="31" t="s">
        <v>183</v>
      </c>
      <c r="AG94" s="31"/>
      <c r="AH94" s="31">
        <v>0</v>
      </c>
      <c r="AI94" s="31"/>
      <c r="AJ94" s="31"/>
      <c r="AK94" s="31">
        <v>0</v>
      </c>
      <c r="AL94" s="31">
        <v>0</v>
      </c>
      <c r="AM94" s="31">
        <v>0</v>
      </c>
      <c r="AN94" s="31">
        <v>2795190495</v>
      </c>
      <c r="AO94" s="31" t="s">
        <v>89</v>
      </c>
      <c r="AP94" s="31" t="s">
        <v>274</v>
      </c>
    </row>
    <row r="95" spans="1:42" x14ac:dyDescent="0.2">
      <c r="A95" s="31">
        <v>10019210</v>
      </c>
      <c r="B95" s="31" t="s">
        <v>24</v>
      </c>
      <c r="C95" s="31" t="s">
        <v>573</v>
      </c>
      <c r="D95" s="33">
        <v>42261</v>
      </c>
      <c r="E95" s="31">
        <v>93503665</v>
      </c>
      <c r="F95" s="33">
        <v>42247</v>
      </c>
      <c r="G95" s="33">
        <v>42256</v>
      </c>
      <c r="H95" s="31">
        <v>1201156</v>
      </c>
      <c r="I95" s="31" t="s">
        <v>131</v>
      </c>
      <c r="J95" s="31">
        <v>1319569</v>
      </c>
      <c r="K95" s="31" t="s">
        <v>132</v>
      </c>
      <c r="L95" s="31">
        <v>1201156</v>
      </c>
      <c r="M95" s="31" t="s">
        <v>131</v>
      </c>
      <c r="N95" s="31">
        <v>8314553</v>
      </c>
      <c r="O95" s="31"/>
      <c r="P95" s="31"/>
      <c r="Q95" s="31" t="s">
        <v>181</v>
      </c>
      <c r="R95" s="31" t="s">
        <v>61</v>
      </c>
      <c r="S95" s="31" t="s">
        <v>62</v>
      </c>
      <c r="T95" s="31">
        <v>1339.2</v>
      </c>
      <c r="U95" s="31" t="s">
        <v>182</v>
      </c>
      <c r="V95" s="31"/>
      <c r="W95" s="31" t="s">
        <v>69</v>
      </c>
      <c r="X95" s="31" t="s">
        <v>70</v>
      </c>
      <c r="Y95" s="31" t="s">
        <v>71</v>
      </c>
      <c r="Z95" s="33">
        <v>42270</v>
      </c>
      <c r="AA95" s="31" t="s">
        <v>64</v>
      </c>
      <c r="AB95" s="33">
        <v>42261</v>
      </c>
      <c r="AC95" s="31" t="s">
        <v>72</v>
      </c>
      <c r="AD95" s="31">
        <v>61989298</v>
      </c>
      <c r="AE95" s="33">
        <v>42272</v>
      </c>
      <c r="AF95" s="31" t="s">
        <v>183</v>
      </c>
      <c r="AG95" s="31"/>
      <c r="AH95" s="31">
        <v>0</v>
      </c>
      <c r="AI95" s="31"/>
      <c r="AJ95" s="31"/>
      <c r="AK95" s="31">
        <v>0</v>
      </c>
      <c r="AL95" s="31">
        <v>0</v>
      </c>
      <c r="AM95" s="31">
        <v>0</v>
      </c>
      <c r="AN95" s="31">
        <v>327755326</v>
      </c>
      <c r="AO95" s="31" t="s">
        <v>73</v>
      </c>
      <c r="AP95" s="31" t="s">
        <v>648</v>
      </c>
    </row>
    <row r="96" spans="1:42" x14ac:dyDescent="0.2">
      <c r="A96" s="31">
        <v>10019211</v>
      </c>
      <c r="B96" s="31" t="s">
        <v>18</v>
      </c>
      <c r="C96" s="31" t="s">
        <v>78</v>
      </c>
      <c r="D96" s="33">
        <v>42261</v>
      </c>
      <c r="E96" s="31">
        <v>93488797</v>
      </c>
      <c r="F96" s="33">
        <v>42236</v>
      </c>
      <c r="G96" s="33">
        <v>42241</v>
      </c>
      <c r="H96" s="31">
        <v>1201047</v>
      </c>
      <c r="I96" s="31" t="s">
        <v>79</v>
      </c>
      <c r="J96" s="31">
        <v>1022214</v>
      </c>
      <c r="K96" s="31" t="s">
        <v>80</v>
      </c>
      <c r="L96" s="31">
        <v>1171089</v>
      </c>
      <c r="M96" s="31" t="s">
        <v>75</v>
      </c>
      <c r="N96" s="31">
        <v>4737637</v>
      </c>
      <c r="O96" s="31"/>
      <c r="P96" s="31"/>
      <c r="Q96" s="31" t="s">
        <v>181</v>
      </c>
      <c r="R96" s="31" t="s">
        <v>67</v>
      </c>
      <c r="S96" s="31" t="s">
        <v>68</v>
      </c>
      <c r="T96" s="31">
        <v>1166.4000000000001</v>
      </c>
      <c r="U96" s="31" t="s">
        <v>182</v>
      </c>
      <c r="V96" s="31"/>
      <c r="W96" s="31" t="s">
        <v>63</v>
      </c>
      <c r="X96" s="31" t="s">
        <v>70</v>
      </c>
      <c r="Y96" s="31" t="s">
        <v>76</v>
      </c>
      <c r="Z96" s="33">
        <v>42262</v>
      </c>
      <c r="AA96" s="31" t="s">
        <v>83</v>
      </c>
      <c r="AB96" s="33">
        <v>42264</v>
      </c>
      <c r="AC96" s="31"/>
      <c r="AD96" s="31"/>
      <c r="AE96" s="31"/>
      <c r="AF96" s="31" t="s">
        <v>183</v>
      </c>
      <c r="AG96" s="31"/>
      <c r="AH96" s="31">
        <v>0</v>
      </c>
      <c r="AI96" s="31"/>
      <c r="AJ96" s="31"/>
      <c r="AK96" s="31">
        <v>0</v>
      </c>
      <c r="AL96" s="31">
        <v>0</v>
      </c>
      <c r="AM96" s="31">
        <v>0</v>
      </c>
      <c r="AN96" s="31">
        <v>2795192536</v>
      </c>
      <c r="AO96" s="31" t="s">
        <v>77</v>
      </c>
      <c r="AP96" s="31" t="s">
        <v>658</v>
      </c>
    </row>
    <row r="97" spans="1:42" x14ac:dyDescent="0.2">
      <c r="A97" s="31">
        <v>10019212</v>
      </c>
      <c r="B97" s="31" t="s">
        <v>22</v>
      </c>
      <c r="C97" s="31" t="s">
        <v>78</v>
      </c>
      <c r="D97" s="33">
        <v>42261</v>
      </c>
      <c r="E97" s="31">
        <v>93501677</v>
      </c>
      <c r="F97" s="33">
        <v>42244</v>
      </c>
      <c r="G97" s="31"/>
      <c r="H97" s="31">
        <v>1201432</v>
      </c>
      <c r="I97" s="31" t="s">
        <v>659</v>
      </c>
      <c r="J97" s="31">
        <v>1306711</v>
      </c>
      <c r="K97" s="31" t="s">
        <v>660</v>
      </c>
      <c r="L97" s="31">
        <v>1172008</v>
      </c>
      <c r="M97" s="31" t="s">
        <v>661</v>
      </c>
      <c r="N97" s="31">
        <v>334386</v>
      </c>
      <c r="O97" s="31"/>
      <c r="P97" s="31"/>
      <c r="Q97" s="31" t="s">
        <v>181</v>
      </c>
      <c r="R97" s="31" t="s">
        <v>91</v>
      </c>
      <c r="S97" s="31" t="s">
        <v>92</v>
      </c>
      <c r="T97" s="31">
        <v>2162.16</v>
      </c>
      <c r="U97" s="31" t="s">
        <v>182</v>
      </c>
      <c r="V97" s="31"/>
      <c r="W97" s="31" t="s">
        <v>63</v>
      </c>
      <c r="X97" s="31" t="s">
        <v>94</v>
      </c>
      <c r="Y97" s="31" t="s">
        <v>141</v>
      </c>
      <c r="Z97" s="33">
        <v>42263</v>
      </c>
      <c r="AA97" s="31" t="s">
        <v>64</v>
      </c>
      <c r="AB97" s="33">
        <v>42261</v>
      </c>
      <c r="AC97" s="31"/>
      <c r="AD97" s="31"/>
      <c r="AE97" s="31"/>
      <c r="AF97" s="31" t="s">
        <v>183</v>
      </c>
      <c r="AG97" s="31"/>
      <c r="AH97" s="31">
        <v>0</v>
      </c>
      <c r="AI97" s="31"/>
      <c r="AJ97" s="31"/>
      <c r="AK97" s="31">
        <v>0</v>
      </c>
      <c r="AL97" s="31">
        <v>0</v>
      </c>
      <c r="AM97" s="31">
        <v>0</v>
      </c>
      <c r="AN97" s="31" t="s">
        <v>662</v>
      </c>
      <c r="AO97" s="31" t="s">
        <v>142</v>
      </c>
      <c r="AP97" s="31" t="s">
        <v>663</v>
      </c>
    </row>
    <row r="98" spans="1:42" x14ac:dyDescent="0.2">
      <c r="A98" s="31">
        <v>10019213</v>
      </c>
      <c r="B98" s="31" t="s">
        <v>18</v>
      </c>
      <c r="C98" s="31" t="s">
        <v>573</v>
      </c>
      <c r="D98" s="33">
        <v>42262</v>
      </c>
      <c r="E98" s="31">
        <v>93516431</v>
      </c>
      <c r="F98" s="33">
        <v>42257</v>
      </c>
      <c r="G98" s="31"/>
      <c r="H98" s="31">
        <v>1057544</v>
      </c>
      <c r="I98" s="31" t="s">
        <v>363</v>
      </c>
      <c r="J98" s="31">
        <v>1327308</v>
      </c>
      <c r="K98" s="31" t="s">
        <v>363</v>
      </c>
      <c r="L98" s="31">
        <v>1057544</v>
      </c>
      <c r="M98" s="31" t="s">
        <v>363</v>
      </c>
      <c r="N98" s="31">
        <v>8114946</v>
      </c>
      <c r="O98" s="31"/>
      <c r="P98" s="31"/>
      <c r="Q98" s="31" t="s">
        <v>181</v>
      </c>
      <c r="R98" s="31" t="s">
        <v>102</v>
      </c>
      <c r="S98" s="31" t="s">
        <v>103</v>
      </c>
      <c r="T98" s="31">
        <v>144</v>
      </c>
      <c r="U98" s="31" t="s">
        <v>182</v>
      </c>
      <c r="V98" s="31"/>
      <c r="W98" s="31" t="s">
        <v>63</v>
      </c>
      <c r="X98" s="31" t="s">
        <v>70</v>
      </c>
      <c r="Y98" s="31" t="s">
        <v>76</v>
      </c>
      <c r="Z98" s="33">
        <v>42263</v>
      </c>
      <c r="AA98" s="31" t="s">
        <v>64</v>
      </c>
      <c r="AB98" s="33">
        <v>42262</v>
      </c>
      <c r="AC98" s="31"/>
      <c r="AD98" s="31"/>
      <c r="AE98" s="31"/>
      <c r="AF98" s="31" t="s">
        <v>183</v>
      </c>
      <c r="AG98" s="31"/>
      <c r="AH98" s="31">
        <v>0</v>
      </c>
      <c r="AI98" s="31"/>
      <c r="AJ98" s="31"/>
      <c r="AK98" s="31">
        <v>0</v>
      </c>
      <c r="AL98" s="31">
        <v>0</v>
      </c>
      <c r="AM98" s="31">
        <v>0</v>
      </c>
      <c r="AN98" s="31">
        <v>649275026961</v>
      </c>
      <c r="AO98" s="31" t="s">
        <v>77</v>
      </c>
      <c r="AP98" s="31" t="s">
        <v>664</v>
      </c>
    </row>
    <row r="99" spans="1:42" x14ac:dyDescent="0.2">
      <c r="A99" s="31">
        <v>10019214</v>
      </c>
      <c r="B99" s="31" t="s">
        <v>18</v>
      </c>
      <c r="C99" s="31" t="s">
        <v>573</v>
      </c>
      <c r="D99" s="33">
        <v>42262</v>
      </c>
      <c r="E99" s="31">
        <v>93516615</v>
      </c>
      <c r="F99" s="33">
        <v>42257</v>
      </c>
      <c r="G99" s="31"/>
      <c r="H99" s="31">
        <v>1201120</v>
      </c>
      <c r="I99" s="31" t="s">
        <v>117</v>
      </c>
      <c r="J99" s="31">
        <v>1322431</v>
      </c>
      <c r="K99" s="31" t="s">
        <v>665</v>
      </c>
      <c r="L99" s="31">
        <v>1171090</v>
      </c>
      <c r="M99" s="31" t="s">
        <v>118</v>
      </c>
      <c r="N99" s="31" t="s">
        <v>666</v>
      </c>
      <c r="O99" s="31"/>
      <c r="P99" s="31"/>
      <c r="Q99" s="31" t="s">
        <v>181</v>
      </c>
      <c r="R99" s="31" t="s">
        <v>102</v>
      </c>
      <c r="S99" s="31" t="s">
        <v>103</v>
      </c>
      <c r="T99" s="31">
        <v>1272.28</v>
      </c>
      <c r="U99" s="31" t="s">
        <v>182</v>
      </c>
      <c r="V99" s="31"/>
      <c r="W99" s="31" t="s">
        <v>63</v>
      </c>
      <c r="X99" s="31" t="s">
        <v>70</v>
      </c>
      <c r="Y99" s="31" t="s">
        <v>76</v>
      </c>
      <c r="Z99" s="33">
        <v>42263</v>
      </c>
      <c r="AA99" s="31" t="s">
        <v>83</v>
      </c>
      <c r="AB99" s="33">
        <v>42264</v>
      </c>
      <c r="AC99" s="31"/>
      <c r="AD99" s="31"/>
      <c r="AE99" s="31"/>
      <c r="AF99" s="31" t="s">
        <v>183</v>
      </c>
      <c r="AG99" s="31"/>
      <c r="AH99" s="31">
        <v>0</v>
      </c>
      <c r="AI99" s="31"/>
      <c r="AJ99" s="31"/>
      <c r="AK99" s="31">
        <v>0</v>
      </c>
      <c r="AL99" s="31">
        <v>0</v>
      </c>
      <c r="AM99" s="31">
        <v>0</v>
      </c>
      <c r="AN99" s="31">
        <v>636808632984</v>
      </c>
      <c r="AO99" s="31" t="s">
        <v>77</v>
      </c>
      <c r="AP99" s="31" t="s">
        <v>667</v>
      </c>
    </row>
    <row r="100" spans="1:42" x14ac:dyDescent="0.2">
      <c r="A100" s="31">
        <v>10019217</v>
      </c>
      <c r="B100" s="31" t="s">
        <v>26</v>
      </c>
      <c r="C100" s="31" t="s">
        <v>573</v>
      </c>
      <c r="D100" s="33">
        <v>42262</v>
      </c>
      <c r="E100" s="31">
        <v>93514065</v>
      </c>
      <c r="F100" s="33">
        <v>42255</v>
      </c>
      <c r="G100" s="31"/>
      <c r="H100" s="31">
        <v>1201519</v>
      </c>
      <c r="I100" s="31" t="s">
        <v>668</v>
      </c>
      <c r="J100" s="31">
        <v>1323187</v>
      </c>
      <c r="K100" s="31" t="s">
        <v>669</v>
      </c>
      <c r="L100" s="31">
        <v>1201519</v>
      </c>
      <c r="M100" s="31" t="s">
        <v>668</v>
      </c>
      <c r="N100" s="31" t="s">
        <v>670</v>
      </c>
      <c r="O100" s="31"/>
      <c r="P100" s="31"/>
      <c r="Q100" s="31" t="s">
        <v>181</v>
      </c>
      <c r="R100" s="31" t="s">
        <v>97</v>
      </c>
      <c r="S100" s="31" t="s">
        <v>98</v>
      </c>
      <c r="T100" s="31">
        <v>118.08</v>
      </c>
      <c r="U100" s="31" t="s">
        <v>182</v>
      </c>
      <c r="V100" s="31"/>
      <c r="W100" s="31" t="s">
        <v>63</v>
      </c>
      <c r="X100" s="31" t="s">
        <v>94</v>
      </c>
      <c r="Y100" s="31" t="s">
        <v>95</v>
      </c>
      <c r="Z100" s="33">
        <v>42262</v>
      </c>
      <c r="AA100" s="31" t="s">
        <v>64</v>
      </c>
      <c r="AB100" s="33">
        <v>42262</v>
      </c>
      <c r="AC100" s="31"/>
      <c r="AD100" s="31"/>
      <c r="AE100" s="31"/>
      <c r="AF100" s="31" t="s">
        <v>183</v>
      </c>
      <c r="AG100" s="31"/>
      <c r="AH100" s="31">
        <v>0</v>
      </c>
      <c r="AI100" s="31"/>
      <c r="AJ100" s="31"/>
      <c r="AK100" s="31">
        <v>0</v>
      </c>
      <c r="AL100" s="31">
        <v>0</v>
      </c>
      <c r="AM100" s="31">
        <v>0</v>
      </c>
      <c r="AN100" s="31">
        <v>87944972475291</v>
      </c>
      <c r="AO100" s="31" t="s">
        <v>96</v>
      </c>
      <c r="AP100" s="31" t="s">
        <v>671</v>
      </c>
    </row>
    <row r="101" spans="1:42" x14ac:dyDescent="0.2">
      <c r="A101" s="31">
        <v>10019218</v>
      </c>
      <c r="B101" s="31" t="s">
        <v>22</v>
      </c>
      <c r="C101" s="31" t="s">
        <v>573</v>
      </c>
      <c r="D101" s="33">
        <v>42262</v>
      </c>
      <c r="E101" s="31">
        <v>93514065</v>
      </c>
      <c r="F101" s="33">
        <v>42255</v>
      </c>
      <c r="G101" s="31"/>
      <c r="H101" s="31">
        <v>1201519</v>
      </c>
      <c r="I101" s="31" t="s">
        <v>668</v>
      </c>
      <c r="J101" s="31">
        <v>1323187</v>
      </c>
      <c r="K101" s="31" t="s">
        <v>669</v>
      </c>
      <c r="L101" s="31">
        <v>1201519</v>
      </c>
      <c r="M101" s="31" t="s">
        <v>668</v>
      </c>
      <c r="N101" s="31" t="s">
        <v>670</v>
      </c>
      <c r="O101" s="31"/>
      <c r="P101" s="31"/>
      <c r="Q101" s="31" t="s">
        <v>181</v>
      </c>
      <c r="R101" s="31" t="s">
        <v>97</v>
      </c>
      <c r="S101" s="31" t="s">
        <v>98</v>
      </c>
      <c r="T101" s="31">
        <v>187.53</v>
      </c>
      <c r="U101" s="31" t="s">
        <v>182</v>
      </c>
      <c r="V101" s="31"/>
      <c r="W101" s="31" t="s">
        <v>63</v>
      </c>
      <c r="X101" s="31" t="s">
        <v>94</v>
      </c>
      <c r="Y101" s="31" t="s">
        <v>141</v>
      </c>
      <c r="Z101" s="33">
        <v>42263</v>
      </c>
      <c r="AA101" s="31" t="s">
        <v>64</v>
      </c>
      <c r="AB101" s="33">
        <v>42262</v>
      </c>
      <c r="AC101" s="31"/>
      <c r="AD101" s="31"/>
      <c r="AE101" s="31"/>
      <c r="AF101" s="31" t="s">
        <v>183</v>
      </c>
      <c r="AG101" s="31"/>
      <c r="AH101" s="31">
        <v>0</v>
      </c>
      <c r="AI101" s="31"/>
      <c r="AJ101" s="31"/>
      <c r="AK101" s="31">
        <v>0</v>
      </c>
      <c r="AL101" s="31">
        <v>0</v>
      </c>
      <c r="AM101" s="31">
        <v>0</v>
      </c>
      <c r="AN101" s="31">
        <v>87944972475291</v>
      </c>
      <c r="AO101" s="31" t="s">
        <v>142</v>
      </c>
      <c r="AP101" s="31" t="s">
        <v>672</v>
      </c>
    </row>
    <row r="102" spans="1:42" x14ac:dyDescent="0.2">
      <c r="A102" s="31">
        <v>10019220</v>
      </c>
      <c r="B102" s="31" t="s">
        <v>18</v>
      </c>
      <c r="C102" s="31" t="s">
        <v>78</v>
      </c>
      <c r="D102" s="33">
        <v>42262</v>
      </c>
      <c r="E102" s="31">
        <v>93515052</v>
      </c>
      <c r="F102" s="33">
        <v>42256</v>
      </c>
      <c r="G102" s="31"/>
      <c r="H102" s="31">
        <v>1201047</v>
      </c>
      <c r="I102" s="31" t="s">
        <v>79</v>
      </c>
      <c r="J102" s="31">
        <v>1311011</v>
      </c>
      <c r="K102" s="31" t="s">
        <v>85</v>
      </c>
      <c r="L102" s="31">
        <v>1171089</v>
      </c>
      <c r="M102" s="31" t="s">
        <v>75</v>
      </c>
      <c r="N102" s="31">
        <v>19622053</v>
      </c>
      <c r="O102" s="31"/>
      <c r="P102" s="31"/>
      <c r="Q102" s="31" t="s">
        <v>181</v>
      </c>
      <c r="R102" s="31" t="s">
        <v>86</v>
      </c>
      <c r="S102" s="31" t="s">
        <v>87</v>
      </c>
      <c r="T102" s="31">
        <v>859.36</v>
      </c>
      <c r="U102" s="31" t="s">
        <v>182</v>
      </c>
      <c r="V102" s="31"/>
      <c r="W102" s="31" t="s">
        <v>63</v>
      </c>
      <c r="X102" s="31" t="s">
        <v>70</v>
      </c>
      <c r="Y102" s="31" t="s">
        <v>76</v>
      </c>
      <c r="Z102" s="33">
        <v>42263</v>
      </c>
      <c r="AA102" s="31" t="s">
        <v>64</v>
      </c>
      <c r="AB102" s="33">
        <v>42262</v>
      </c>
      <c r="AC102" s="31"/>
      <c r="AD102" s="31"/>
      <c r="AE102" s="31"/>
      <c r="AF102" s="31" t="s">
        <v>183</v>
      </c>
      <c r="AG102" s="31"/>
      <c r="AH102" s="31">
        <v>0</v>
      </c>
      <c r="AI102" s="31"/>
      <c r="AJ102" s="31"/>
      <c r="AK102" s="31">
        <v>0</v>
      </c>
      <c r="AL102" s="31">
        <v>0</v>
      </c>
      <c r="AM102" s="31">
        <v>0</v>
      </c>
      <c r="AN102" s="31" t="s">
        <v>673</v>
      </c>
      <c r="AO102" s="31" t="s">
        <v>77</v>
      </c>
      <c r="AP102" s="31" t="s">
        <v>191</v>
      </c>
    </row>
    <row r="103" spans="1:42" x14ac:dyDescent="0.2">
      <c r="A103" s="31">
        <v>10019221</v>
      </c>
      <c r="B103" s="31" t="s">
        <v>18</v>
      </c>
      <c r="C103" s="31" t="s">
        <v>573</v>
      </c>
      <c r="D103" s="33">
        <v>42262</v>
      </c>
      <c r="E103" s="31">
        <v>93511785</v>
      </c>
      <c r="F103" s="33">
        <v>42251</v>
      </c>
      <c r="G103" s="31"/>
      <c r="H103" s="31">
        <v>1201108</v>
      </c>
      <c r="I103" s="31" t="s">
        <v>674</v>
      </c>
      <c r="J103" s="31">
        <v>1201108</v>
      </c>
      <c r="K103" s="31" t="s">
        <v>674</v>
      </c>
      <c r="L103" s="31">
        <v>1201108</v>
      </c>
      <c r="M103" s="31" t="s">
        <v>674</v>
      </c>
      <c r="N103" s="31">
        <v>308595</v>
      </c>
      <c r="O103" s="31"/>
      <c r="P103" s="31"/>
      <c r="Q103" s="31" t="s">
        <v>181</v>
      </c>
      <c r="R103" s="31" t="s">
        <v>97</v>
      </c>
      <c r="S103" s="31" t="s">
        <v>98</v>
      </c>
      <c r="T103" s="31">
        <v>395.67</v>
      </c>
      <c r="U103" s="31" t="s">
        <v>182</v>
      </c>
      <c r="V103" s="31"/>
      <c r="W103" s="31" t="s">
        <v>69</v>
      </c>
      <c r="X103" s="31" t="s">
        <v>70</v>
      </c>
      <c r="Y103" s="31" t="s">
        <v>76</v>
      </c>
      <c r="Z103" s="33">
        <v>42263</v>
      </c>
      <c r="AA103" s="31" t="s">
        <v>64</v>
      </c>
      <c r="AB103" s="33">
        <v>42262</v>
      </c>
      <c r="AC103" s="31" t="s">
        <v>100</v>
      </c>
      <c r="AD103" s="31">
        <v>61994012</v>
      </c>
      <c r="AE103" s="33">
        <v>42279</v>
      </c>
      <c r="AF103" s="31" t="s">
        <v>183</v>
      </c>
      <c r="AG103" s="31"/>
      <c r="AH103" s="31">
        <v>0</v>
      </c>
      <c r="AI103" s="31"/>
      <c r="AJ103" s="31"/>
      <c r="AK103" s="31">
        <v>0</v>
      </c>
      <c r="AL103" s="31">
        <v>0</v>
      </c>
      <c r="AM103" s="31">
        <v>0</v>
      </c>
      <c r="AN103" s="31">
        <v>87944972471781</v>
      </c>
      <c r="AO103" s="31" t="s">
        <v>77</v>
      </c>
      <c r="AP103" s="31" t="s">
        <v>228</v>
      </c>
    </row>
    <row r="104" spans="1:42" x14ac:dyDescent="0.2">
      <c r="A104" s="31">
        <v>10019222</v>
      </c>
      <c r="B104" s="31" t="s">
        <v>22</v>
      </c>
      <c r="C104" s="31" t="s">
        <v>78</v>
      </c>
      <c r="D104" s="33">
        <v>42262</v>
      </c>
      <c r="E104" s="31">
        <v>93511961</v>
      </c>
      <c r="F104" s="33">
        <v>42251</v>
      </c>
      <c r="G104" s="31"/>
      <c r="H104" s="31">
        <v>1201540</v>
      </c>
      <c r="I104" s="31" t="s">
        <v>150</v>
      </c>
      <c r="J104" s="31">
        <v>1312297</v>
      </c>
      <c r="K104" s="31" t="s">
        <v>151</v>
      </c>
      <c r="L104" s="31">
        <v>1201540</v>
      </c>
      <c r="M104" s="31" t="s">
        <v>150</v>
      </c>
      <c r="N104" s="31" t="s">
        <v>675</v>
      </c>
      <c r="O104" s="31"/>
      <c r="P104" s="31"/>
      <c r="Q104" s="31" t="s">
        <v>181</v>
      </c>
      <c r="R104" s="31" t="s">
        <v>97</v>
      </c>
      <c r="S104" s="31" t="s">
        <v>98</v>
      </c>
      <c r="T104" s="31">
        <v>5673.12</v>
      </c>
      <c r="U104" s="31" t="s">
        <v>182</v>
      </c>
      <c r="V104" s="31"/>
      <c r="W104" s="31" t="s">
        <v>63</v>
      </c>
      <c r="X104" s="31" t="s">
        <v>94</v>
      </c>
      <c r="Y104" s="31" t="s">
        <v>141</v>
      </c>
      <c r="Z104" s="33">
        <v>42263</v>
      </c>
      <c r="AA104" s="31" t="s">
        <v>64</v>
      </c>
      <c r="AB104" s="33">
        <v>42262</v>
      </c>
      <c r="AC104" s="31"/>
      <c r="AD104" s="31"/>
      <c r="AE104" s="31"/>
      <c r="AF104" s="31" t="s">
        <v>183</v>
      </c>
      <c r="AG104" s="31"/>
      <c r="AH104" s="31">
        <v>0</v>
      </c>
      <c r="AI104" s="31"/>
      <c r="AJ104" s="31"/>
      <c r="AK104" s="31">
        <v>0</v>
      </c>
      <c r="AL104" s="31">
        <v>0</v>
      </c>
      <c r="AM104" s="31">
        <v>0</v>
      </c>
      <c r="AN104" s="31">
        <v>87944972471774</v>
      </c>
      <c r="AO104" s="31" t="s">
        <v>142</v>
      </c>
      <c r="AP104" s="31" t="s">
        <v>676</v>
      </c>
    </row>
    <row r="105" spans="1:42" x14ac:dyDescent="0.2">
      <c r="A105" s="31">
        <v>10019223</v>
      </c>
      <c r="B105" s="31" t="s">
        <v>22</v>
      </c>
      <c r="C105" s="31" t="s">
        <v>573</v>
      </c>
      <c r="D105" s="33">
        <v>42262</v>
      </c>
      <c r="E105" s="31">
        <v>93518698</v>
      </c>
      <c r="F105" s="33">
        <v>42258</v>
      </c>
      <c r="G105" s="33">
        <v>42261</v>
      </c>
      <c r="H105" s="31">
        <v>1201162</v>
      </c>
      <c r="I105" s="31" t="s">
        <v>137</v>
      </c>
      <c r="J105" s="31">
        <v>1320192</v>
      </c>
      <c r="K105" s="31" t="s">
        <v>450</v>
      </c>
      <c r="L105" s="31">
        <v>1201162</v>
      </c>
      <c r="M105" s="31" t="s">
        <v>137</v>
      </c>
      <c r="N105" s="31" t="s">
        <v>677</v>
      </c>
      <c r="O105" s="31"/>
      <c r="P105" s="31"/>
      <c r="Q105" s="31" t="s">
        <v>181</v>
      </c>
      <c r="R105" s="31" t="s">
        <v>67</v>
      </c>
      <c r="S105" s="31" t="s">
        <v>68</v>
      </c>
      <c r="T105" s="31">
        <v>26201.759999999998</v>
      </c>
      <c r="U105" s="31" t="s">
        <v>182</v>
      </c>
      <c r="V105" s="31"/>
      <c r="W105" s="31" t="s">
        <v>63</v>
      </c>
      <c r="X105" s="31" t="s">
        <v>94</v>
      </c>
      <c r="Y105" s="31" t="s">
        <v>82</v>
      </c>
      <c r="Z105" s="33">
        <v>42270</v>
      </c>
      <c r="AA105" s="31" t="s">
        <v>64</v>
      </c>
      <c r="AB105" s="33">
        <v>42262</v>
      </c>
      <c r="AC105" s="31"/>
      <c r="AD105" s="31"/>
      <c r="AE105" s="31"/>
      <c r="AF105" s="31" t="s">
        <v>183</v>
      </c>
      <c r="AG105" s="31"/>
      <c r="AH105" s="31">
        <v>0</v>
      </c>
      <c r="AI105" s="31"/>
      <c r="AJ105" s="31"/>
      <c r="AK105" s="31">
        <v>0</v>
      </c>
      <c r="AL105" s="31">
        <v>0</v>
      </c>
      <c r="AM105" s="31">
        <v>0</v>
      </c>
      <c r="AN105" s="31">
        <v>3527004946</v>
      </c>
      <c r="AO105" s="31" t="s">
        <v>142</v>
      </c>
      <c r="AP105" s="31" t="s">
        <v>678</v>
      </c>
    </row>
    <row r="106" spans="1:42" x14ac:dyDescent="0.2">
      <c r="A106" s="31">
        <v>10019224</v>
      </c>
      <c r="B106" s="31" t="s">
        <v>22</v>
      </c>
      <c r="C106" s="31" t="s">
        <v>573</v>
      </c>
      <c r="D106" s="33">
        <v>42262</v>
      </c>
      <c r="E106" s="31">
        <v>93473175</v>
      </c>
      <c r="F106" s="33">
        <v>42223</v>
      </c>
      <c r="G106" s="31"/>
      <c r="H106" s="31">
        <v>1201120</v>
      </c>
      <c r="I106" s="31" t="s">
        <v>117</v>
      </c>
      <c r="J106" s="31">
        <v>1307782</v>
      </c>
      <c r="K106" s="31" t="s">
        <v>119</v>
      </c>
      <c r="L106" s="31">
        <v>1171090</v>
      </c>
      <c r="M106" s="31" t="s">
        <v>118</v>
      </c>
      <c r="N106" s="31" t="s">
        <v>679</v>
      </c>
      <c r="O106" s="31"/>
      <c r="P106" s="31"/>
      <c r="Q106" s="31" t="s">
        <v>181</v>
      </c>
      <c r="R106" s="31" t="s">
        <v>91</v>
      </c>
      <c r="S106" s="31" t="s">
        <v>92</v>
      </c>
      <c r="T106" s="31">
        <v>9079.68</v>
      </c>
      <c r="U106" s="31" t="s">
        <v>182</v>
      </c>
      <c r="V106" s="31"/>
      <c r="W106" s="31" t="s">
        <v>63</v>
      </c>
      <c r="X106" s="31" t="s">
        <v>94</v>
      </c>
      <c r="Y106" s="31" t="s">
        <v>141</v>
      </c>
      <c r="Z106" s="33">
        <v>42263</v>
      </c>
      <c r="AA106" s="31" t="s">
        <v>64</v>
      </c>
      <c r="AB106" s="33">
        <v>42262</v>
      </c>
      <c r="AC106" s="31"/>
      <c r="AD106" s="31"/>
      <c r="AE106" s="31"/>
      <c r="AF106" s="31" t="s">
        <v>183</v>
      </c>
      <c r="AG106" s="31"/>
      <c r="AH106" s="31">
        <v>0</v>
      </c>
      <c r="AI106" s="31"/>
      <c r="AJ106" s="31"/>
      <c r="AK106" s="31">
        <v>0</v>
      </c>
      <c r="AL106" s="31">
        <v>0</v>
      </c>
      <c r="AM106" s="31">
        <v>0</v>
      </c>
      <c r="AN106" s="31" t="s">
        <v>260</v>
      </c>
      <c r="AO106" s="31" t="s">
        <v>142</v>
      </c>
      <c r="AP106" s="31" t="s">
        <v>680</v>
      </c>
    </row>
    <row r="107" spans="1:42" x14ac:dyDescent="0.2">
      <c r="A107" s="31">
        <v>10019225</v>
      </c>
      <c r="B107" s="31" t="s">
        <v>22</v>
      </c>
      <c r="C107" s="31" t="s">
        <v>573</v>
      </c>
      <c r="D107" s="33">
        <v>42262</v>
      </c>
      <c r="E107" s="31">
        <v>93481533</v>
      </c>
      <c r="F107" s="33">
        <v>42230</v>
      </c>
      <c r="G107" s="31"/>
      <c r="H107" s="31">
        <v>1201120</v>
      </c>
      <c r="I107" s="31" t="s">
        <v>117</v>
      </c>
      <c r="J107" s="31">
        <v>1307782</v>
      </c>
      <c r="K107" s="31" t="s">
        <v>119</v>
      </c>
      <c r="L107" s="31">
        <v>1171090</v>
      </c>
      <c r="M107" s="31" t="s">
        <v>118</v>
      </c>
      <c r="N107" s="31" t="s">
        <v>681</v>
      </c>
      <c r="O107" s="31"/>
      <c r="P107" s="31"/>
      <c r="Q107" s="31" t="s">
        <v>181</v>
      </c>
      <c r="R107" s="31" t="s">
        <v>123</v>
      </c>
      <c r="S107" s="31" t="s">
        <v>124</v>
      </c>
      <c r="T107" s="31">
        <v>1740.48</v>
      </c>
      <c r="U107" s="31" t="s">
        <v>182</v>
      </c>
      <c r="V107" s="31"/>
      <c r="W107" s="31" t="s">
        <v>63</v>
      </c>
      <c r="X107" s="31" t="s">
        <v>94</v>
      </c>
      <c r="Y107" s="31" t="s">
        <v>141</v>
      </c>
      <c r="Z107" s="33">
        <v>42263</v>
      </c>
      <c r="AA107" s="31" t="s">
        <v>64</v>
      </c>
      <c r="AB107" s="33">
        <v>42262</v>
      </c>
      <c r="AC107" s="31"/>
      <c r="AD107" s="31"/>
      <c r="AE107" s="31"/>
      <c r="AF107" s="31" t="s">
        <v>183</v>
      </c>
      <c r="AG107" s="31"/>
      <c r="AH107" s="31">
        <v>0</v>
      </c>
      <c r="AI107" s="31"/>
      <c r="AJ107" s="31"/>
      <c r="AK107" s="31">
        <v>0</v>
      </c>
      <c r="AL107" s="31">
        <v>0</v>
      </c>
      <c r="AM107" s="31">
        <v>0</v>
      </c>
      <c r="AN107" s="31" t="s">
        <v>682</v>
      </c>
      <c r="AO107" s="31" t="s">
        <v>142</v>
      </c>
      <c r="AP107" s="31" t="s">
        <v>683</v>
      </c>
    </row>
    <row r="108" spans="1:42" x14ac:dyDescent="0.2">
      <c r="A108" s="31">
        <v>10019226</v>
      </c>
      <c r="B108" s="31" t="s">
        <v>18</v>
      </c>
      <c r="C108" s="31" t="s">
        <v>78</v>
      </c>
      <c r="D108" s="33">
        <v>42262</v>
      </c>
      <c r="E108" s="31">
        <v>93516614</v>
      </c>
      <c r="F108" s="33">
        <v>42257</v>
      </c>
      <c r="G108" s="31"/>
      <c r="H108" s="31">
        <v>1201120</v>
      </c>
      <c r="I108" s="31" t="s">
        <v>117</v>
      </c>
      <c r="J108" s="31">
        <v>1307782</v>
      </c>
      <c r="K108" s="31" t="s">
        <v>119</v>
      </c>
      <c r="L108" s="31">
        <v>1171090</v>
      </c>
      <c r="M108" s="31" t="s">
        <v>118</v>
      </c>
      <c r="N108" s="31" t="s">
        <v>684</v>
      </c>
      <c r="O108" s="31"/>
      <c r="P108" s="31"/>
      <c r="Q108" s="31" t="s">
        <v>181</v>
      </c>
      <c r="R108" s="31" t="s">
        <v>97</v>
      </c>
      <c r="S108" s="31" t="s">
        <v>98</v>
      </c>
      <c r="T108" s="31">
        <v>1311.62</v>
      </c>
      <c r="U108" s="31" t="s">
        <v>182</v>
      </c>
      <c r="V108" s="31"/>
      <c r="W108" s="31" t="s">
        <v>63</v>
      </c>
      <c r="X108" s="31" t="s">
        <v>70</v>
      </c>
      <c r="Y108" s="31" t="s">
        <v>76</v>
      </c>
      <c r="Z108" s="33">
        <v>42265</v>
      </c>
      <c r="AA108" s="31" t="s">
        <v>83</v>
      </c>
      <c r="AB108" s="33">
        <v>42264</v>
      </c>
      <c r="AC108" s="31"/>
      <c r="AD108" s="31"/>
      <c r="AE108" s="31"/>
      <c r="AF108" s="31" t="s">
        <v>183</v>
      </c>
      <c r="AG108" s="31"/>
      <c r="AH108" s="31">
        <v>0</v>
      </c>
      <c r="AI108" s="31"/>
      <c r="AJ108" s="31"/>
      <c r="AK108" s="31">
        <v>0</v>
      </c>
      <c r="AL108" s="31">
        <v>0</v>
      </c>
      <c r="AM108" s="31">
        <v>0</v>
      </c>
      <c r="AN108" s="31">
        <v>87944972488482</v>
      </c>
      <c r="AO108" s="31" t="s">
        <v>77</v>
      </c>
      <c r="AP108" s="31" t="s">
        <v>191</v>
      </c>
    </row>
    <row r="109" spans="1:42" x14ac:dyDescent="0.2">
      <c r="A109" s="31">
        <v>10019227</v>
      </c>
      <c r="B109" s="31" t="s">
        <v>26</v>
      </c>
      <c r="C109" s="31" t="s">
        <v>78</v>
      </c>
      <c r="D109" s="33">
        <v>42262</v>
      </c>
      <c r="E109" s="31">
        <v>93510217</v>
      </c>
      <c r="F109" s="33">
        <v>42250</v>
      </c>
      <c r="G109" s="31"/>
      <c r="H109" s="31">
        <v>1201047</v>
      </c>
      <c r="I109" s="31" t="s">
        <v>79</v>
      </c>
      <c r="J109" s="31">
        <v>1309880</v>
      </c>
      <c r="K109" s="31" t="s">
        <v>108</v>
      </c>
      <c r="L109" s="31">
        <v>1171089</v>
      </c>
      <c r="M109" s="31" t="s">
        <v>75</v>
      </c>
      <c r="N109" s="31">
        <v>18747746</v>
      </c>
      <c r="O109" s="31"/>
      <c r="P109" s="31"/>
      <c r="Q109" s="31" t="s">
        <v>181</v>
      </c>
      <c r="R109" s="31" t="s">
        <v>91</v>
      </c>
      <c r="S109" s="31" t="s">
        <v>92</v>
      </c>
      <c r="T109" s="31">
        <v>2695.8</v>
      </c>
      <c r="U109" s="31" t="s">
        <v>182</v>
      </c>
      <c r="V109" s="31"/>
      <c r="W109" s="31" t="s">
        <v>63</v>
      </c>
      <c r="X109" s="31" t="s">
        <v>81</v>
      </c>
      <c r="Y109" s="31" t="s">
        <v>88</v>
      </c>
      <c r="Z109" s="33">
        <v>42275</v>
      </c>
      <c r="AA109" s="31"/>
      <c r="AB109" s="31"/>
      <c r="AC109" s="31"/>
      <c r="AD109" s="31"/>
      <c r="AE109" s="31"/>
      <c r="AF109" s="31" t="s">
        <v>183</v>
      </c>
      <c r="AG109" s="31"/>
      <c r="AH109" s="31">
        <v>0</v>
      </c>
      <c r="AI109" s="31"/>
      <c r="AJ109" s="31"/>
      <c r="AK109" s="31">
        <v>0</v>
      </c>
      <c r="AL109" s="31">
        <v>0</v>
      </c>
      <c r="AM109" s="31">
        <v>0</v>
      </c>
      <c r="AN109" s="31">
        <v>-1868887</v>
      </c>
      <c r="AO109" s="31" t="s">
        <v>89</v>
      </c>
      <c r="AP109" s="31" t="s">
        <v>274</v>
      </c>
    </row>
    <row r="110" spans="1:42" x14ac:dyDescent="0.2">
      <c r="A110" s="31">
        <v>10019228</v>
      </c>
      <c r="B110" s="31" t="s">
        <v>26</v>
      </c>
      <c r="C110" s="31" t="s">
        <v>78</v>
      </c>
      <c r="D110" s="33">
        <v>42262</v>
      </c>
      <c r="E110" s="31">
        <v>93518464</v>
      </c>
      <c r="F110" s="33">
        <v>42258</v>
      </c>
      <c r="G110" s="31"/>
      <c r="H110" s="31">
        <v>1201047</v>
      </c>
      <c r="I110" s="31" t="s">
        <v>79</v>
      </c>
      <c r="J110" s="31">
        <v>1309880</v>
      </c>
      <c r="K110" s="31" t="s">
        <v>108</v>
      </c>
      <c r="L110" s="31">
        <v>1171089</v>
      </c>
      <c r="M110" s="31" t="s">
        <v>75</v>
      </c>
      <c r="N110" s="31">
        <v>18747746</v>
      </c>
      <c r="O110" s="31"/>
      <c r="P110" s="31"/>
      <c r="Q110" s="31" t="s">
        <v>181</v>
      </c>
      <c r="R110" s="31" t="s">
        <v>97</v>
      </c>
      <c r="S110" s="31" t="s">
        <v>98</v>
      </c>
      <c r="T110" s="31">
        <v>0</v>
      </c>
      <c r="U110" s="31" t="s">
        <v>182</v>
      </c>
      <c r="V110" s="31"/>
      <c r="W110" s="31" t="s">
        <v>63</v>
      </c>
      <c r="X110" s="31" t="s">
        <v>81</v>
      </c>
      <c r="Y110" s="31" t="s">
        <v>82</v>
      </c>
      <c r="Z110" s="33">
        <v>42264</v>
      </c>
      <c r="AA110" s="31" t="s">
        <v>83</v>
      </c>
      <c r="AB110" s="33">
        <v>42264</v>
      </c>
      <c r="AC110" s="31"/>
      <c r="AD110" s="31"/>
      <c r="AE110" s="31"/>
      <c r="AF110" s="31" t="s">
        <v>183</v>
      </c>
      <c r="AG110" s="31"/>
      <c r="AH110" s="31">
        <v>0</v>
      </c>
      <c r="AI110" s="31"/>
      <c r="AJ110" s="31"/>
      <c r="AK110" s="31">
        <v>0</v>
      </c>
      <c r="AL110" s="31">
        <v>0</v>
      </c>
      <c r="AM110" s="31">
        <v>0</v>
      </c>
      <c r="AN110" s="31" t="s">
        <v>685</v>
      </c>
      <c r="AO110" s="31" t="s">
        <v>84</v>
      </c>
      <c r="AP110" s="31" t="s">
        <v>686</v>
      </c>
    </row>
    <row r="111" spans="1:42" x14ac:dyDescent="0.2">
      <c r="A111" s="31">
        <v>10019229</v>
      </c>
      <c r="B111" s="31" t="s">
        <v>22</v>
      </c>
      <c r="C111" s="31" t="s">
        <v>573</v>
      </c>
      <c r="D111" s="33">
        <v>42263</v>
      </c>
      <c r="E111" s="31">
        <v>93516664</v>
      </c>
      <c r="F111" s="33">
        <v>42257</v>
      </c>
      <c r="G111" s="33">
        <v>42261</v>
      </c>
      <c r="H111" s="31">
        <v>1201162</v>
      </c>
      <c r="I111" s="31" t="s">
        <v>137</v>
      </c>
      <c r="J111" s="31">
        <v>1033143</v>
      </c>
      <c r="K111" s="31" t="s">
        <v>687</v>
      </c>
      <c r="L111" s="31">
        <v>1201162</v>
      </c>
      <c r="M111" s="31" t="s">
        <v>137</v>
      </c>
      <c r="N111" s="31" t="s">
        <v>688</v>
      </c>
      <c r="O111" s="31"/>
      <c r="P111" s="31"/>
      <c r="Q111" s="31" t="s">
        <v>181</v>
      </c>
      <c r="R111" s="31" t="s">
        <v>67</v>
      </c>
      <c r="S111" s="31" t="s">
        <v>68</v>
      </c>
      <c r="T111" s="31">
        <v>26201.759999999998</v>
      </c>
      <c r="U111" s="31" t="s">
        <v>182</v>
      </c>
      <c r="V111" s="31"/>
      <c r="W111" s="31" t="s">
        <v>63</v>
      </c>
      <c r="X111" s="31" t="s">
        <v>94</v>
      </c>
      <c r="Y111" s="31" t="s">
        <v>82</v>
      </c>
      <c r="Z111" s="33">
        <v>42265</v>
      </c>
      <c r="AA111" s="31" t="s">
        <v>64</v>
      </c>
      <c r="AB111" s="33">
        <v>42263</v>
      </c>
      <c r="AC111" s="31"/>
      <c r="AD111" s="31"/>
      <c r="AE111" s="31"/>
      <c r="AF111" s="31" t="s">
        <v>183</v>
      </c>
      <c r="AG111" s="31"/>
      <c r="AH111" s="31">
        <v>0</v>
      </c>
      <c r="AI111" s="31"/>
      <c r="AJ111" s="31"/>
      <c r="AK111" s="31">
        <v>0</v>
      </c>
      <c r="AL111" s="31">
        <v>0</v>
      </c>
      <c r="AM111" s="31">
        <v>0</v>
      </c>
      <c r="AN111" s="31">
        <v>2795191092</v>
      </c>
      <c r="AO111" s="31" t="s">
        <v>142</v>
      </c>
      <c r="AP111" s="31" t="s">
        <v>689</v>
      </c>
    </row>
    <row r="112" spans="1:42" x14ac:dyDescent="0.2">
      <c r="A112" s="31">
        <v>10019230</v>
      </c>
      <c r="B112" s="31" t="s">
        <v>26</v>
      </c>
      <c r="C112" s="31" t="s">
        <v>78</v>
      </c>
      <c r="D112" s="33">
        <v>42263</v>
      </c>
      <c r="E112" s="31">
        <v>93495322</v>
      </c>
      <c r="F112" s="33">
        <v>42241</v>
      </c>
      <c r="G112" s="33">
        <v>42242</v>
      </c>
      <c r="H112" s="31">
        <v>1319184</v>
      </c>
      <c r="I112" s="31" t="s">
        <v>479</v>
      </c>
      <c r="J112" s="31">
        <v>1319184</v>
      </c>
      <c r="K112" s="31" t="s">
        <v>479</v>
      </c>
      <c r="L112" s="31">
        <v>1319184</v>
      </c>
      <c r="M112" s="31" t="s">
        <v>479</v>
      </c>
      <c r="N112" s="31">
        <v>562729</v>
      </c>
      <c r="O112" s="31"/>
      <c r="P112" s="31"/>
      <c r="Q112" s="31" t="s">
        <v>181</v>
      </c>
      <c r="R112" s="31" t="s">
        <v>67</v>
      </c>
      <c r="S112" s="31" t="s">
        <v>68</v>
      </c>
      <c r="T112" s="31">
        <v>1639.44</v>
      </c>
      <c r="U112" s="31" t="s">
        <v>182</v>
      </c>
      <c r="V112" s="31"/>
      <c r="W112" s="31" t="s">
        <v>63</v>
      </c>
      <c r="X112" s="31" t="s">
        <v>84</v>
      </c>
      <c r="Y112" s="31" t="s">
        <v>82</v>
      </c>
      <c r="Z112" s="33">
        <v>42271</v>
      </c>
      <c r="AA112" s="31" t="s">
        <v>83</v>
      </c>
      <c r="AB112" s="33">
        <v>42264</v>
      </c>
      <c r="AC112" s="31"/>
      <c r="AD112" s="31"/>
      <c r="AE112" s="31"/>
      <c r="AF112" s="31" t="s">
        <v>183</v>
      </c>
      <c r="AG112" s="31"/>
      <c r="AH112" s="31">
        <v>0</v>
      </c>
      <c r="AI112" s="31"/>
      <c r="AJ112" s="31"/>
      <c r="AK112" s="31">
        <v>0</v>
      </c>
      <c r="AL112" s="31">
        <v>0</v>
      </c>
      <c r="AM112" s="31">
        <v>0</v>
      </c>
      <c r="AN112" s="31">
        <v>2795191346</v>
      </c>
      <c r="AO112" s="31" t="s">
        <v>84</v>
      </c>
      <c r="AP112" s="31" t="s">
        <v>690</v>
      </c>
    </row>
    <row r="113" spans="1:42" x14ac:dyDescent="0.2">
      <c r="A113" s="31">
        <v>10019231</v>
      </c>
      <c r="B113" s="31" t="s">
        <v>18</v>
      </c>
      <c r="C113" s="31" t="s">
        <v>78</v>
      </c>
      <c r="D113" s="33">
        <v>42263</v>
      </c>
      <c r="E113" s="31">
        <v>93512120</v>
      </c>
      <c r="F113" s="33">
        <v>42251</v>
      </c>
      <c r="G113" s="33">
        <v>42256</v>
      </c>
      <c r="H113" s="31">
        <v>1334921</v>
      </c>
      <c r="I113" s="31" t="s">
        <v>189</v>
      </c>
      <c r="J113" s="31">
        <v>1334951</v>
      </c>
      <c r="K113" s="31" t="s">
        <v>190</v>
      </c>
      <c r="L113" s="31">
        <v>1334921</v>
      </c>
      <c r="M113" s="31" t="s">
        <v>189</v>
      </c>
      <c r="N113" s="31">
        <v>20976</v>
      </c>
      <c r="O113" s="31"/>
      <c r="P113" s="31"/>
      <c r="Q113" s="31" t="s">
        <v>181</v>
      </c>
      <c r="R113" s="31" t="s">
        <v>67</v>
      </c>
      <c r="S113" s="31" t="s">
        <v>68</v>
      </c>
      <c r="T113" s="31">
        <v>890.76</v>
      </c>
      <c r="U113" s="31" t="s">
        <v>182</v>
      </c>
      <c r="V113" s="31"/>
      <c r="W113" s="31" t="s">
        <v>69</v>
      </c>
      <c r="X113" s="31" t="s">
        <v>70</v>
      </c>
      <c r="Y113" s="31" t="s">
        <v>76</v>
      </c>
      <c r="Z113" s="33">
        <v>42265</v>
      </c>
      <c r="AA113" s="31" t="s">
        <v>64</v>
      </c>
      <c r="AB113" s="33">
        <v>42263</v>
      </c>
      <c r="AC113" s="31" t="s">
        <v>100</v>
      </c>
      <c r="AD113" s="31">
        <v>61994013</v>
      </c>
      <c r="AE113" s="33">
        <v>42279</v>
      </c>
      <c r="AF113" s="31" t="s">
        <v>183</v>
      </c>
      <c r="AG113" s="31"/>
      <c r="AH113" s="31">
        <v>0</v>
      </c>
      <c r="AI113" s="31"/>
      <c r="AJ113" s="31"/>
      <c r="AK113" s="31">
        <v>0</v>
      </c>
      <c r="AL113" s="31">
        <v>0</v>
      </c>
      <c r="AM113" s="31">
        <v>0</v>
      </c>
      <c r="AN113" s="31">
        <v>2795190672</v>
      </c>
      <c r="AO113" s="31" t="s">
        <v>77</v>
      </c>
      <c r="AP113" s="31" t="s">
        <v>444</v>
      </c>
    </row>
    <row r="114" spans="1:42" x14ac:dyDescent="0.2">
      <c r="A114" s="31">
        <v>10019232</v>
      </c>
      <c r="B114" s="31" t="s">
        <v>18</v>
      </c>
      <c r="C114" s="31" t="s">
        <v>78</v>
      </c>
      <c r="D114" s="33">
        <v>42263</v>
      </c>
      <c r="E114" s="31">
        <v>93520936</v>
      </c>
      <c r="F114" s="33">
        <v>42261</v>
      </c>
      <c r="G114" s="31"/>
      <c r="H114" s="31">
        <v>1201120</v>
      </c>
      <c r="I114" s="31" t="s">
        <v>117</v>
      </c>
      <c r="J114" s="31">
        <v>1307782</v>
      </c>
      <c r="K114" s="31" t="s">
        <v>119</v>
      </c>
      <c r="L114" s="31">
        <v>1171090</v>
      </c>
      <c r="M114" s="31" t="s">
        <v>118</v>
      </c>
      <c r="N114" s="31" t="s">
        <v>645</v>
      </c>
      <c r="O114" s="31"/>
      <c r="P114" s="31"/>
      <c r="Q114" s="31" t="s">
        <v>181</v>
      </c>
      <c r="R114" s="31" t="s">
        <v>121</v>
      </c>
      <c r="S114" s="31" t="s">
        <v>122</v>
      </c>
      <c r="T114" s="31">
        <v>89.88</v>
      </c>
      <c r="U114" s="31" t="s">
        <v>182</v>
      </c>
      <c r="V114" s="31"/>
      <c r="W114" s="31" t="s">
        <v>63</v>
      </c>
      <c r="X114" s="31" t="s">
        <v>70</v>
      </c>
      <c r="Y114" s="31" t="s">
        <v>76</v>
      </c>
      <c r="Z114" s="33">
        <v>42265</v>
      </c>
      <c r="AA114" s="31" t="s">
        <v>64</v>
      </c>
      <c r="AB114" s="33">
        <v>42263</v>
      </c>
      <c r="AC114" s="31"/>
      <c r="AD114" s="31"/>
      <c r="AE114" s="31"/>
      <c r="AF114" s="31" t="s">
        <v>183</v>
      </c>
      <c r="AG114" s="31"/>
      <c r="AH114" s="31">
        <v>0</v>
      </c>
      <c r="AI114" s="31"/>
      <c r="AJ114" s="31"/>
      <c r="AK114" s="31">
        <v>0</v>
      </c>
      <c r="AL114" s="31">
        <v>0</v>
      </c>
      <c r="AM114" s="31">
        <v>0</v>
      </c>
      <c r="AN114" s="31" t="s">
        <v>691</v>
      </c>
      <c r="AO114" s="31" t="s">
        <v>77</v>
      </c>
      <c r="AP114" s="31" t="s">
        <v>376</v>
      </c>
    </row>
    <row r="115" spans="1:42" x14ac:dyDescent="0.2">
      <c r="A115" s="31">
        <v>10019233</v>
      </c>
      <c r="B115" s="31" t="s">
        <v>22</v>
      </c>
      <c r="C115" s="31" t="s">
        <v>78</v>
      </c>
      <c r="D115" s="33">
        <v>42263</v>
      </c>
      <c r="E115" s="31">
        <v>93513835</v>
      </c>
      <c r="F115" s="33">
        <v>42255</v>
      </c>
      <c r="G115" s="31"/>
      <c r="H115" s="31">
        <v>1201108</v>
      </c>
      <c r="I115" s="31" t="s">
        <v>674</v>
      </c>
      <c r="J115" s="31">
        <v>1201108</v>
      </c>
      <c r="K115" s="31" t="s">
        <v>674</v>
      </c>
      <c r="L115" s="31">
        <v>1201108</v>
      </c>
      <c r="M115" s="31" t="s">
        <v>674</v>
      </c>
      <c r="N115" s="31">
        <v>308595</v>
      </c>
      <c r="O115" s="31"/>
      <c r="P115" s="31"/>
      <c r="Q115" s="31" t="s">
        <v>181</v>
      </c>
      <c r="R115" s="31" t="s">
        <v>97</v>
      </c>
      <c r="S115" s="31" t="s">
        <v>98</v>
      </c>
      <c r="T115" s="31">
        <v>26201.759999999998</v>
      </c>
      <c r="U115" s="31" t="s">
        <v>182</v>
      </c>
      <c r="V115" s="31"/>
      <c r="W115" s="31" t="s">
        <v>63</v>
      </c>
      <c r="X115" s="31" t="s">
        <v>94</v>
      </c>
      <c r="Y115" s="31" t="s">
        <v>82</v>
      </c>
      <c r="Z115" s="33">
        <v>42270</v>
      </c>
      <c r="AA115" s="31" t="s">
        <v>64</v>
      </c>
      <c r="AB115" s="33">
        <v>42263</v>
      </c>
      <c r="AC115" s="31"/>
      <c r="AD115" s="31"/>
      <c r="AE115" s="31"/>
      <c r="AF115" s="31" t="s">
        <v>183</v>
      </c>
      <c r="AG115" s="31"/>
      <c r="AH115" s="31">
        <v>0</v>
      </c>
      <c r="AI115" s="31"/>
      <c r="AJ115" s="31"/>
      <c r="AK115" s="31">
        <v>0</v>
      </c>
      <c r="AL115" s="31">
        <v>0</v>
      </c>
      <c r="AM115" s="31">
        <v>0</v>
      </c>
      <c r="AN115" s="31">
        <v>87944972476823</v>
      </c>
      <c r="AO115" s="31" t="s">
        <v>142</v>
      </c>
      <c r="AP115" s="31" t="s">
        <v>692</v>
      </c>
    </row>
    <row r="116" spans="1:42" x14ac:dyDescent="0.2">
      <c r="A116" s="31">
        <v>10019234</v>
      </c>
      <c r="B116" s="31" t="s">
        <v>18</v>
      </c>
      <c r="C116" s="31" t="s">
        <v>573</v>
      </c>
      <c r="D116" s="33">
        <v>42263</v>
      </c>
      <c r="E116" s="31">
        <v>93516429</v>
      </c>
      <c r="F116" s="31"/>
      <c r="G116" s="31"/>
      <c r="H116" s="31">
        <v>1057544</v>
      </c>
      <c r="I116" s="31" t="s">
        <v>363</v>
      </c>
      <c r="J116" s="31">
        <v>1327308</v>
      </c>
      <c r="K116" s="31" t="s">
        <v>363</v>
      </c>
      <c r="L116" s="31">
        <v>1057544</v>
      </c>
      <c r="M116" s="31" t="s">
        <v>363</v>
      </c>
      <c r="N116" s="31">
        <v>8118705</v>
      </c>
      <c r="O116" s="31"/>
      <c r="P116" s="31"/>
      <c r="Q116" s="31" t="s">
        <v>181</v>
      </c>
      <c r="R116" s="31" t="s">
        <v>102</v>
      </c>
      <c r="S116" s="31" t="s">
        <v>103</v>
      </c>
      <c r="T116" s="31">
        <v>4.5</v>
      </c>
      <c r="U116" s="31" t="s">
        <v>182</v>
      </c>
      <c r="V116" s="31"/>
      <c r="W116" s="31" t="s">
        <v>63</v>
      </c>
      <c r="X116" s="31" t="s">
        <v>70</v>
      </c>
      <c r="Y116" s="31" t="s">
        <v>76</v>
      </c>
      <c r="Z116" s="33">
        <v>42271</v>
      </c>
      <c r="AA116" s="31" t="s">
        <v>64</v>
      </c>
      <c r="AB116" s="33">
        <v>42263</v>
      </c>
      <c r="AC116" s="31"/>
      <c r="AD116" s="31"/>
      <c r="AE116" s="31"/>
      <c r="AF116" s="31" t="s">
        <v>183</v>
      </c>
      <c r="AG116" s="31"/>
      <c r="AH116" s="31">
        <v>0</v>
      </c>
      <c r="AI116" s="31"/>
      <c r="AJ116" s="31"/>
      <c r="AK116" s="31">
        <v>0</v>
      </c>
      <c r="AL116" s="31">
        <v>0</v>
      </c>
      <c r="AM116" s="31">
        <v>0</v>
      </c>
      <c r="AN116" s="31"/>
      <c r="AO116" s="31" t="s">
        <v>77</v>
      </c>
      <c r="AP116" s="31" t="s">
        <v>693</v>
      </c>
    </row>
    <row r="117" spans="1:42" x14ac:dyDescent="0.2">
      <c r="A117" s="31">
        <v>10019235</v>
      </c>
      <c r="B117" s="31" t="s">
        <v>26</v>
      </c>
      <c r="C117" s="31" t="s">
        <v>78</v>
      </c>
      <c r="D117" s="33">
        <v>42263</v>
      </c>
      <c r="E117" s="31">
        <v>93480214</v>
      </c>
      <c r="F117" s="33">
        <v>42229</v>
      </c>
      <c r="G117" s="33">
        <v>42234</v>
      </c>
      <c r="H117" s="31">
        <v>1201458</v>
      </c>
      <c r="I117" s="31" t="s">
        <v>594</v>
      </c>
      <c r="J117" s="31">
        <v>1201458</v>
      </c>
      <c r="K117" s="31" t="s">
        <v>594</v>
      </c>
      <c r="L117" s="31">
        <v>1201458</v>
      </c>
      <c r="M117" s="31" t="s">
        <v>594</v>
      </c>
      <c r="N117" s="31">
        <v>271708</v>
      </c>
      <c r="O117" s="31"/>
      <c r="P117" s="31"/>
      <c r="Q117" s="31" t="s">
        <v>181</v>
      </c>
      <c r="R117" s="31" t="s">
        <v>61</v>
      </c>
      <c r="S117" s="31" t="s">
        <v>62</v>
      </c>
      <c r="T117" s="31">
        <v>366</v>
      </c>
      <c r="U117" s="31" t="s">
        <v>182</v>
      </c>
      <c r="V117" s="31"/>
      <c r="W117" s="31" t="s">
        <v>63</v>
      </c>
      <c r="X117" s="31" t="s">
        <v>94</v>
      </c>
      <c r="Y117" s="31" t="s">
        <v>95</v>
      </c>
      <c r="Z117" s="33">
        <v>42271</v>
      </c>
      <c r="AA117" s="31" t="s">
        <v>64</v>
      </c>
      <c r="AB117" s="33">
        <v>42263</v>
      </c>
      <c r="AC117" s="31"/>
      <c r="AD117" s="31"/>
      <c r="AE117" s="31"/>
      <c r="AF117" s="31" t="s">
        <v>183</v>
      </c>
      <c r="AG117" s="31"/>
      <c r="AH117" s="31">
        <v>0</v>
      </c>
      <c r="AI117" s="31"/>
      <c r="AJ117" s="31"/>
      <c r="AK117" s="31">
        <v>0</v>
      </c>
      <c r="AL117" s="31">
        <v>0</v>
      </c>
      <c r="AM117" s="31">
        <v>0</v>
      </c>
      <c r="AN117" s="31">
        <v>327755275</v>
      </c>
      <c r="AO117" s="31" t="s">
        <v>96</v>
      </c>
      <c r="AP117" s="31" t="s">
        <v>499</v>
      </c>
    </row>
    <row r="118" spans="1:42" x14ac:dyDescent="0.2">
      <c r="A118" s="31">
        <v>10019236</v>
      </c>
      <c r="B118" s="31" t="s">
        <v>22</v>
      </c>
      <c r="C118" s="31" t="s">
        <v>78</v>
      </c>
      <c r="D118" s="33">
        <v>42263</v>
      </c>
      <c r="E118" s="31">
        <v>93475124</v>
      </c>
      <c r="F118" s="33">
        <v>42226</v>
      </c>
      <c r="G118" s="31"/>
      <c r="H118" s="31">
        <v>1201566</v>
      </c>
      <c r="I118" s="31" t="s">
        <v>154</v>
      </c>
      <c r="J118" s="31">
        <v>1340365</v>
      </c>
      <c r="K118" s="31" t="s">
        <v>694</v>
      </c>
      <c r="L118" s="31">
        <v>1201566</v>
      </c>
      <c r="M118" s="31" t="s">
        <v>154</v>
      </c>
      <c r="N118" s="31">
        <v>2742518</v>
      </c>
      <c r="O118" s="31"/>
      <c r="P118" s="31"/>
      <c r="Q118" s="31" t="s">
        <v>181</v>
      </c>
      <c r="R118" s="31" t="s">
        <v>97</v>
      </c>
      <c r="S118" s="31" t="s">
        <v>98</v>
      </c>
      <c r="T118" s="31">
        <v>13135.56</v>
      </c>
      <c r="U118" s="31" t="s">
        <v>182</v>
      </c>
      <c r="V118" s="31"/>
      <c r="W118" s="31" t="s">
        <v>63</v>
      </c>
      <c r="X118" s="31" t="s">
        <v>81</v>
      </c>
      <c r="Y118" s="31" t="s">
        <v>82</v>
      </c>
      <c r="Z118" s="33">
        <v>42275</v>
      </c>
      <c r="AA118" s="31" t="s">
        <v>64</v>
      </c>
      <c r="AB118" s="33">
        <v>42263</v>
      </c>
      <c r="AC118" s="31"/>
      <c r="AD118" s="31"/>
      <c r="AE118" s="31"/>
      <c r="AF118" s="31" t="s">
        <v>183</v>
      </c>
      <c r="AG118" s="31"/>
      <c r="AH118" s="31">
        <v>0</v>
      </c>
      <c r="AI118" s="31"/>
      <c r="AJ118" s="31"/>
      <c r="AK118" s="31">
        <v>0</v>
      </c>
      <c r="AL118" s="31">
        <v>0</v>
      </c>
      <c r="AM118" s="31">
        <v>0</v>
      </c>
      <c r="AN118" s="31" t="s">
        <v>695</v>
      </c>
      <c r="AO118" s="31" t="s">
        <v>84</v>
      </c>
      <c r="AP118" s="31" t="s">
        <v>696</v>
      </c>
    </row>
    <row r="119" spans="1:42" x14ac:dyDescent="0.2">
      <c r="A119" s="31">
        <v>10019237</v>
      </c>
      <c r="B119" s="31" t="s">
        <v>26</v>
      </c>
      <c r="C119" s="31" t="s">
        <v>78</v>
      </c>
      <c r="D119" s="33">
        <v>42263</v>
      </c>
      <c r="E119" s="31">
        <v>93488993</v>
      </c>
      <c r="F119" s="33">
        <v>42236</v>
      </c>
      <c r="G119" s="31"/>
      <c r="H119" s="31">
        <v>1201315</v>
      </c>
      <c r="I119" s="31" t="s">
        <v>256</v>
      </c>
      <c r="J119" s="31">
        <v>1321854</v>
      </c>
      <c r="K119" s="31" t="s">
        <v>256</v>
      </c>
      <c r="L119" s="31">
        <v>1201315</v>
      </c>
      <c r="M119" s="31" t="s">
        <v>256</v>
      </c>
      <c r="N119" s="31">
        <v>5605333</v>
      </c>
      <c r="O119" s="31"/>
      <c r="P119" s="31"/>
      <c r="Q119" s="31" t="s">
        <v>181</v>
      </c>
      <c r="R119" s="31" t="s">
        <v>97</v>
      </c>
      <c r="S119" s="31" t="s">
        <v>98</v>
      </c>
      <c r="T119" s="31">
        <v>53.94</v>
      </c>
      <c r="U119" s="31" t="s">
        <v>182</v>
      </c>
      <c r="V119" s="31"/>
      <c r="W119" s="31" t="s">
        <v>63</v>
      </c>
      <c r="X119" s="31" t="s">
        <v>81</v>
      </c>
      <c r="Y119" s="31" t="s">
        <v>88</v>
      </c>
      <c r="Z119" s="33">
        <v>42275</v>
      </c>
      <c r="AA119" s="31" t="s">
        <v>166</v>
      </c>
      <c r="AB119" s="33">
        <v>42264</v>
      </c>
      <c r="AC119" s="31"/>
      <c r="AD119" s="31"/>
      <c r="AE119" s="31"/>
      <c r="AF119" s="31" t="s">
        <v>183</v>
      </c>
      <c r="AG119" s="31"/>
      <c r="AH119" s="31">
        <v>0</v>
      </c>
      <c r="AI119" s="31"/>
      <c r="AJ119" s="31"/>
      <c r="AK119" s="31">
        <v>0</v>
      </c>
      <c r="AL119" s="31">
        <v>0</v>
      </c>
      <c r="AM119" s="31">
        <v>0</v>
      </c>
      <c r="AN119" s="31">
        <v>87944972414528</v>
      </c>
      <c r="AO119" s="31" t="s">
        <v>89</v>
      </c>
      <c r="AP119" s="31" t="s">
        <v>274</v>
      </c>
    </row>
    <row r="120" spans="1:42" x14ac:dyDescent="0.2">
      <c r="A120" s="31">
        <v>10019238</v>
      </c>
      <c r="B120" s="31" t="s">
        <v>26</v>
      </c>
      <c r="C120" s="31" t="s">
        <v>78</v>
      </c>
      <c r="D120" s="33">
        <v>42263</v>
      </c>
      <c r="E120" s="31">
        <v>93476207</v>
      </c>
      <c r="F120" s="33">
        <v>42227</v>
      </c>
      <c r="G120" s="33">
        <v>42233</v>
      </c>
      <c r="H120" s="31">
        <v>1201315</v>
      </c>
      <c r="I120" s="31" t="s">
        <v>256</v>
      </c>
      <c r="J120" s="31">
        <v>1321854</v>
      </c>
      <c r="K120" s="31" t="s">
        <v>256</v>
      </c>
      <c r="L120" s="31">
        <v>1201315</v>
      </c>
      <c r="M120" s="31" t="s">
        <v>256</v>
      </c>
      <c r="N120" s="31">
        <v>5595099</v>
      </c>
      <c r="O120" s="31"/>
      <c r="P120" s="31"/>
      <c r="Q120" s="31" t="s">
        <v>181</v>
      </c>
      <c r="R120" s="31" t="s">
        <v>67</v>
      </c>
      <c r="S120" s="31" t="s">
        <v>68</v>
      </c>
      <c r="T120" s="31">
        <v>1155.2</v>
      </c>
      <c r="U120" s="31" t="s">
        <v>182</v>
      </c>
      <c r="V120" s="31"/>
      <c r="W120" s="31" t="s">
        <v>63</v>
      </c>
      <c r="X120" s="31" t="s">
        <v>94</v>
      </c>
      <c r="Y120" s="31" t="s">
        <v>95</v>
      </c>
      <c r="Z120" s="33">
        <v>42269</v>
      </c>
      <c r="AA120" s="31" t="s">
        <v>64</v>
      </c>
      <c r="AB120" s="33">
        <v>42263</v>
      </c>
      <c r="AC120" s="31"/>
      <c r="AD120" s="31"/>
      <c r="AE120" s="31"/>
      <c r="AF120" s="31" t="s">
        <v>183</v>
      </c>
      <c r="AG120" s="31"/>
      <c r="AH120" s="31">
        <v>0</v>
      </c>
      <c r="AI120" s="31"/>
      <c r="AJ120" s="31"/>
      <c r="AK120" s="31">
        <v>0</v>
      </c>
      <c r="AL120" s="31">
        <v>0</v>
      </c>
      <c r="AM120" s="31">
        <v>0</v>
      </c>
      <c r="AN120" s="31">
        <v>3511785981</v>
      </c>
      <c r="AO120" s="31" t="s">
        <v>96</v>
      </c>
      <c r="AP120" s="31" t="s">
        <v>697</v>
      </c>
    </row>
    <row r="121" spans="1:42" x14ac:dyDescent="0.2">
      <c r="A121" s="31">
        <v>10019239</v>
      </c>
      <c r="B121" s="31" t="s">
        <v>26</v>
      </c>
      <c r="C121" s="31" t="s">
        <v>573</v>
      </c>
      <c r="D121" s="33">
        <v>42263</v>
      </c>
      <c r="E121" s="31">
        <v>93515053</v>
      </c>
      <c r="F121" s="33">
        <v>42256</v>
      </c>
      <c r="G121" s="31"/>
      <c r="H121" s="31">
        <v>1201047</v>
      </c>
      <c r="I121" s="31" t="s">
        <v>79</v>
      </c>
      <c r="J121" s="31">
        <v>1311671</v>
      </c>
      <c r="K121" s="31" t="s">
        <v>90</v>
      </c>
      <c r="L121" s="31">
        <v>1171089</v>
      </c>
      <c r="M121" s="31" t="s">
        <v>75</v>
      </c>
      <c r="N121" s="31">
        <v>21459044</v>
      </c>
      <c r="O121" s="31"/>
      <c r="P121" s="31"/>
      <c r="Q121" s="31" t="s">
        <v>181</v>
      </c>
      <c r="R121" s="31" t="s">
        <v>91</v>
      </c>
      <c r="S121" s="31" t="s">
        <v>92</v>
      </c>
      <c r="T121" s="31">
        <v>6564</v>
      </c>
      <c r="U121" s="31" t="s">
        <v>182</v>
      </c>
      <c r="V121" s="31"/>
      <c r="W121" s="31" t="s">
        <v>63</v>
      </c>
      <c r="X121" s="31" t="s">
        <v>81</v>
      </c>
      <c r="Y121" s="31" t="s">
        <v>88</v>
      </c>
      <c r="Z121" s="33">
        <v>42275</v>
      </c>
      <c r="AA121" s="31"/>
      <c r="AB121" s="31"/>
      <c r="AC121" s="31"/>
      <c r="AD121" s="31"/>
      <c r="AE121" s="31"/>
      <c r="AF121" s="31" t="s">
        <v>183</v>
      </c>
      <c r="AG121" s="31"/>
      <c r="AH121" s="31">
        <v>0</v>
      </c>
      <c r="AI121" s="31"/>
      <c r="AJ121" s="31"/>
      <c r="AK121" s="31">
        <v>0</v>
      </c>
      <c r="AL121" s="31">
        <v>0</v>
      </c>
      <c r="AM121" s="31">
        <v>0</v>
      </c>
      <c r="AN121" s="31" t="s">
        <v>654</v>
      </c>
      <c r="AO121" s="31" t="s">
        <v>89</v>
      </c>
      <c r="AP121" s="31" t="s">
        <v>698</v>
      </c>
    </row>
    <row r="122" spans="1:42" x14ac:dyDescent="0.2">
      <c r="A122" s="31">
        <v>10019240</v>
      </c>
      <c r="B122" s="31" t="s">
        <v>18</v>
      </c>
      <c r="C122" s="31" t="s">
        <v>78</v>
      </c>
      <c r="D122" s="33">
        <v>42263</v>
      </c>
      <c r="E122" s="31">
        <v>93520834</v>
      </c>
      <c r="F122" s="33">
        <v>42261</v>
      </c>
      <c r="G122" s="31"/>
      <c r="H122" s="31">
        <v>1201047</v>
      </c>
      <c r="I122" s="31" t="s">
        <v>79</v>
      </c>
      <c r="J122" s="31">
        <v>1049975</v>
      </c>
      <c r="K122" s="31" t="s">
        <v>247</v>
      </c>
      <c r="L122" s="31">
        <v>1171089</v>
      </c>
      <c r="M122" s="31" t="s">
        <v>75</v>
      </c>
      <c r="N122" s="31">
        <v>44295571</v>
      </c>
      <c r="O122" s="31"/>
      <c r="P122" s="31"/>
      <c r="Q122" s="31" t="s">
        <v>181</v>
      </c>
      <c r="R122" s="31" t="s">
        <v>91</v>
      </c>
      <c r="S122" s="31" t="s">
        <v>92</v>
      </c>
      <c r="T122" s="31">
        <v>1036.1199999999999</v>
      </c>
      <c r="U122" s="31" t="s">
        <v>182</v>
      </c>
      <c r="V122" s="31"/>
      <c r="W122" s="31" t="s">
        <v>63</v>
      </c>
      <c r="X122" s="31" t="s">
        <v>70</v>
      </c>
      <c r="Y122" s="31" t="s">
        <v>76</v>
      </c>
      <c r="Z122" s="33">
        <v>42271</v>
      </c>
      <c r="AA122" s="31" t="s">
        <v>83</v>
      </c>
      <c r="AB122" s="33">
        <v>42264</v>
      </c>
      <c r="AC122" s="31"/>
      <c r="AD122" s="31"/>
      <c r="AE122" s="31"/>
      <c r="AF122" s="31" t="s">
        <v>183</v>
      </c>
      <c r="AG122" s="31"/>
      <c r="AH122" s="31">
        <v>0</v>
      </c>
      <c r="AI122" s="31"/>
      <c r="AJ122" s="31"/>
      <c r="AK122" s="31">
        <v>0</v>
      </c>
      <c r="AL122" s="31">
        <v>0</v>
      </c>
      <c r="AM122" s="31">
        <v>0</v>
      </c>
      <c r="AN122" s="31" t="s">
        <v>699</v>
      </c>
      <c r="AO122" s="31" t="s">
        <v>77</v>
      </c>
      <c r="AP122" s="31" t="s">
        <v>655</v>
      </c>
    </row>
    <row r="123" spans="1:42" x14ac:dyDescent="0.2">
      <c r="A123" s="31">
        <v>10019248</v>
      </c>
      <c r="B123" s="31" t="s">
        <v>18</v>
      </c>
      <c r="C123" s="31" t="s">
        <v>573</v>
      </c>
      <c r="D123" s="33">
        <v>42263</v>
      </c>
      <c r="E123" s="31">
        <v>93511836</v>
      </c>
      <c r="F123" s="33">
        <v>42251</v>
      </c>
      <c r="G123" s="33">
        <v>42261</v>
      </c>
      <c r="H123" s="31">
        <v>1201156</v>
      </c>
      <c r="I123" s="31" t="s">
        <v>131</v>
      </c>
      <c r="J123" s="31">
        <v>1319569</v>
      </c>
      <c r="K123" s="31" t="s">
        <v>132</v>
      </c>
      <c r="L123" s="31">
        <v>1201156</v>
      </c>
      <c r="M123" s="31" t="s">
        <v>131</v>
      </c>
      <c r="N123" s="31">
        <v>8316450</v>
      </c>
      <c r="O123" s="31"/>
      <c r="P123" s="31"/>
      <c r="Q123" s="31" t="s">
        <v>181</v>
      </c>
      <c r="R123" s="31" t="s">
        <v>61</v>
      </c>
      <c r="S123" s="31" t="s">
        <v>62</v>
      </c>
      <c r="T123" s="31">
        <v>1143.3599999999999</v>
      </c>
      <c r="U123" s="31" t="s">
        <v>182</v>
      </c>
      <c r="V123" s="31"/>
      <c r="W123" s="31" t="s">
        <v>63</v>
      </c>
      <c r="X123" s="31"/>
      <c r="Y123" s="31"/>
      <c r="Z123" s="31"/>
      <c r="AA123" s="31" t="s">
        <v>83</v>
      </c>
      <c r="AB123" s="33">
        <v>42264</v>
      </c>
      <c r="AC123" s="31"/>
      <c r="AD123" s="31"/>
      <c r="AE123" s="31"/>
      <c r="AF123" s="31" t="s">
        <v>183</v>
      </c>
      <c r="AG123" s="31"/>
      <c r="AH123" s="31">
        <v>0</v>
      </c>
      <c r="AI123" s="31"/>
      <c r="AJ123" s="31"/>
      <c r="AK123" s="31">
        <v>0</v>
      </c>
      <c r="AL123" s="31">
        <v>0</v>
      </c>
      <c r="AM123" s="31">
        <v>0</v>
      </c>
      <c r="AN123" s="31">
        <v>327755345</v>
      </c>
      <c r="AO123" s="31"/>
      <c r="AP123" s="31"/>
    </row>
    <row r="124" spans="1:42" x14ac:dyDescent="0.2">
      <c r="A124" s="31">
        <v>10019249</v>
      </c>
      <c r="B124" s="31" t="s">
        <v>22</v>
      </c>
      <c r="C124" s="31" t="s">
        <v>78</v>
      </c>
      <c r="D124" s="33">
        <v>42263</v>
      </c>
      <c r="E124" s="31">
        <v>93505622</v>
      </c>
      <c r="F124" s="33">
        <v>42248</v>
      </c>
      <c r="G124" s="31"/>
      <c r="H124" s="31">
        <v>1201432</v>
      </c>
      <c r="I124" s="31" t="s">
        <v>659</v>
      </c>
      <c r="J124" s="31">
        <v>1306711</v>
      </c>
      <c r="K124" s="31" t="s">
        <v>660</v>
      </c>
      <c r="L124" s="31">
        <v>1172008</v>
      </c>
      <c r="M124" s="31" t="s">
        <v>661</v>
      </c>
      <c r="N124" s="31">
        <v>335230</v>
      </c>
      <c r="O124" s="31"/>
      <c r="P124" s="31"/>
      <c r="Q124" s="31" t="s">
        <v>181</v>
      </c>
      <c r="R124" s="31" t="s">
        <v>91</v>
      </c>
      <c r="S124" s="31" t="s">
        <v>92</v>
      </c>
      <c r="T124" s="31">
        <v>13100.88</v>
      </c>
      <c r="U124" s="31" t="s">
        <v>182</v>
      </c>
      <c r="V124" s="31"/>
      <c r="W124" s="31" t="s">
        <v>63</v>
      </c>
      <c r="X124" s="31" t="s">
        <v>94</v>
      </c>
      <c r="Y124" s="31" t="s">
        <v>141</v>
      </c>
      <c r="Z124" s="33">
        <v>42272</v>
      </c>
      <c r="AA124" s="31" t="s">
        <v>64</v>
      </c>
      <c r="AB124" s="33">
        <v>42263</v>
      </c>
      <c r="AC124" s="31"/>
      <c r="AD124" s="31"/>
      <c r="AE124" s="31"/>
      <c r="AF124" s="31" t="s">
        <v>183</v>
      </c>
      <c r="AG124" s="31"/>
      <c r="AH124" s="31">
        <v>0</v>
      </c>
      <c r="AI124" s="31"/>
      <c r="AJ124" s="31"/>
      <c r="AK124" s="31">
        <v>0</v>
      </c>
      <c r="AL124" s="31">
        <v>0</v>
      </c>
      <c r="AM124" s="31">
        <v>0</v>
      </c>
      <c r="AN124" s="31" t="s">
        <v>700</v>
      </c>
      <c r="AO124" s="31" t="s">
        <v>142</v>
      </c>
      <c r="AP124" s="31" t="s">
        <v>701</v>
      </c>
    </row>
    <row r="125" spans="1:42" x14ac:dyDescent="0.2">
      <c r="A125" s="31">
        <v>10019250</v>
      </c>
      <c r="B125" s="31" t="s">
        <v>18</v>
      </c>
      <c r="C125" s="31" t="s">
        <v>78</v>
      </c>
      <c r="D125" s="33">
        <v>42264</v>
      </c>
      <c r="E125" s="31">
        <v>93402110</v>
      </c>
      <c r="F125" s="33">
        <v>42167</v>
      </c>
      <c r="G125" s="31"/>
      <c r="H125" s="31">
        <v>1300808</v>
      </c>
      <c r="I125" s="31" t="s">
        <v>702</v>
      </c>
      <c r="J125" s="31">
        <v>1300808</v>
      </c>
      <c r="K125" s="31" t="s">
        <v>702</v>
      </c>
      <c r="L125" s="31">
        <v>1300808</v>
      </c>
      <c r="M125" s="31" t="s">
        <v>702</v>
      </c>
      <c r="N125" s="31">
        <v>4225</v>
      </c>
      <c r="O125" s="31"/>
      <c r="P125" s="31"/>
      <c r="Q125" s="31" t="s">
        <v>181</v>
      </c>
      <c r="R125" s="31" t="s">
        <v>86</v>
      </c>
      <c r="S125" s="31" t="s">
        <v>87</v>
      </c>
      <c r="T125" s="31">
        <v>27846</v>
      </c>
      <c r="U125" s="31" t="s">
        <v>182</v>
      </c>
      <c r="V125" s="31"/>
      <c r="W125" s="31" t="s">
        <v>63</v>
      </c>
      <c r="X125" s="31" t="s">
        <v>105</v>
      </c>
      <c r="Y125" s="31" t="s">
        <v>82</v>
      </c>
      <c r="Z125" s="33">
        <v>42271</v>
      </c>
      <c r="AA125" s="31" t="s">
        <v>64</v>
      </c>
      <c r="AB125" s="33">
        <v>42264</v>
      </c>
      <c r="AC125" s="31"/>
      <c r="AD125" s="31"/>
      <c r="AE125" s="31"/>
      <c r="AF125" s="31" t="s">
        <v>183</v>
      </c>
      <c r="AG125" s="31"/>
      <c r="AH125" s="31">
        <v>0</v>
      </c>
      <c r="AI125" s="31"/>
      <c r="AJ125" s="31"/>
      <c r="AK125" s="31">
        <v>0</v>
      </c>
      <c r="AL125" s="31">
        <v>0</v>
      </c>
      <c r="AM125" s="31">
        <v>0</v>
      </c>
      <c r="AN125" s="31" t="s">
        <v>703</v>
      </c>
      <c r="AO125" s="31" t="s">
        <v>106</v>
      </c>
      <c r="AP125" s="31" t="s">
        <v>704</v>
      </c>
    </row>
    <row r="126" spans="1:42" x14ac:dyDescent="0.2">
      <c r="A126" s="31">
        <v>10019251</v>
      </c>
      <c r="B126" s="31" t="s">
        <v>18</v>
      </c>
      <c r="C126" s="31" t="s">
        <v>78</v>
      </c>
      <c r="D126" s="33">
        <v>42264</v>
      </c>
      <c r="E126" s="31">
        <v>93430720</v>
      </c>
      <c r="F126" s="33">
        <v>42192</v>
      </c>
      <c r="G126" s="33">
        <v>42194</v>
      </c>
      <c r="H126" s="31">
        <v>1300808</v>
      </c>
      <c r="I126" s="31" t="s">
        <v>702</v>
      </c>
      <c r="J126" s="31">
        <v>1300808</v>
      </c>
      <c r="K126" s="31" t="s">
        <v>702</v>
      </c>
      <c r="L126" s="31">
        <v>1300808</v>
      </c>
      <c r="M126" s="31" t="s">
        <v>702</v>
      </c>
      <c r="N126" s="31">
        <v>4241</v>
      </c>
      <c r="O126" s="31"/>
      <c r="P126" s="31"/>
      <c r="Q126" s="31" t="s">
        <v>181</v>
      </c>
      <c r="R126" s="31" t="s">
        <v>67</v>
      </c>
      <c r="S126" s="31" t="s">
        <v>68</v>
      </c>
      <c r="T126" s="31">
        <v>27846</v>
      </c>
      <c r="U126" s="31" t="s">
        <v>182</v>
      </c>
      <c r="V126" s="31"/>
      <c r="W126" s="31" t="s">
        <v>63</v>
      </c>
      <c r="X126" s="31" t="s">
        <v>105</v>
      </c>
      <c r="Y126" s="31" t="s">
        <v>82</v>
      </c>
      <c r="Z126" s="33">
        <v>42271</v>
      </c>
      <c r="AA126" s="31" t="s">
        <v>64</v>
      </c>
      <c r="AB126" s="33">
        <v>42264</v>
      </c>
      <c r="AC126" s="31"/>
      <c r="AD126" s="31"/>
      <c r="AE126" s="31"/>
      <c r="AF126" s="31" t="s">
        <v>183</v>
      </c>
      <c r="AG126" s="31"/>
      <c r="AH126" s="31">
        <v>0</v>
      </c>
      <c r="AI126" s="31"/>
      <c r="AJ126" s="31"/>
      <c r="AK126" s="31">
        <v>0</v>
      </c>
      <c r="AL126" s="31">
        <v>0</v>
      </c>
      <c r="AM126" s="31">
        <v>0</v>
      </c>
      <c r="AN126" s="31">
        <v>2795188933</v>
      </c>
      <c r="AO126" s="31" t="s">
        <v>106</v>
      </c>
      <c r="AP126" s="31" t="s">
        <v>705</v>
      </c>
    </row>
    <row r="127" spans="1:42" x14ac:dyDescent="0.2">
      <c r="A127" s="31">
        <v>10019252</v>
      </c>
      <c r="B127" s="31" t="s">
        <v>26</v>
      </c>
      <c r="C127" s="31" t="s">
        <v>78</v>
      </c>
      <c r="D127" s="33">
        <v>42264</v>
      </c>
      <c r="E127" s="31">
        <v>93517025</v>
      </c>
      <c r="F127" s="33">
        <v>42257</v>
      </c>
      <c r="G127" s="31"/>
      <c r="H127" s="31">
        <v>1336948</v>
      </c>
      <c r="I127" s="31" t="s">
        <v>706</v>
      </c>
      <c r="J127" s="31">
        <v>1337561</v>
      </c>
      <c r="K127" s="31" t="s">
        <v>706</v>
      </c>
      <c r="L127" s="31">
        <v>1336948</v>
      </c>
      <c r="M127" s="31" t="s">
        <v>706</v>
      </c>
      <c r="N127" s="31">
        <v>98758</v>
      </c>
      <c r="O127" s="31"/>
      <c r="P127" s="31"/>
      <c r="Q127" s="31" t="s">
        <v>181</v>
      </c>
      <c r="R127" s="31" t="s">
        <v>102</v>
      </c>
      <c r="S127" s="31" t="s">
        <v>103</v>
      </c>
      <c r="T127" s="31">
        <v>12203.04</v>
      </c>
      <c r="U127" s="31" t="s">
        <v>182</v>
      </c>
      <c r="V127" s="31"/>
      <c r="W127" s="31" t="s">
        <v>69</v>
      </c>
      <c r="X127" s="31" t="s">
        <v>94</v>
      </c>
      <c r="Y127" s="31" t="s">
        <v>71</v>
      </c>
      <c r="Z127" s="33">
        <v>42265</v>
      </c>
      <c r="AA127" s="31" t="s">
        <v>83</v>
      </c>
      <c r="AB127" s="33">
        <v>42272</v>
      </c>
      <c r="AC127" s="31" t="s">
        <v>72</v>
      </c>
      <c r="AD127" s="31">
        <v>61989308</v>
      </c>
      <c r="AE127" s="33">
        <v>42272</v>
      </c>
      <c r="AF127" s="31" t="s">
        <v>183</v>
      </c>
      <c r="AG127" s="31"/>
      <c r="AH127" s="31">
        <v>0</v>
      </c>
      <c r="AI127" s="31"/>
      <c r="AJ127" s="31"/>
      <c r="AK127" s="31">
        <v>0</v>
      </c>
      <c r="AL127" s="31">
        <v>0</v>
      </c>
      <c r="AM127" s="31">
        <v>0</v>
      </c>
      <c r="AN127" s="31">
        <v>649275026950</v>
      </c>
      <c r="AO127" s="31" t="s">
        <v>96</v>
      </c>
      <c r="AP127" s="31" t="s">
        <v>707</v>
      </c>
    </row>
    <row r="128" spans="1:42" x14ac:dyDescent="0.2">
      <c r="A128" s="31">
        <v>10019253</v>
      </c>
      <c r="B128" s="31" t="s">
        <v>26</v>
      </c>
      <c r="C128" s="31" t="s">
        <v>78</v>
      </c>
      <c r="D128" s="33">
        <v>42264</v>
      </c>
      <c r="E128" s="31">
        <v>93495272</v>
      </c>
      <c r="F128" s="33">
        <v>42241</v>
      </c>
      <c r="G128" s="33">
        <v>42243</v>
      </c>
      <c r="H128" s="31">
        <v>1201605</v>
      </c>
      <c r="I128" s="31" t="s">
        <v>155</v>
      </c>
      <c r="J128" s="31">
        <v>1023292</v>
      </c>
      <c r="K128" s="31" t="s">
        <v>155</v>
      </c>
      <c r="L128" s="31">
        <v>1172017</v>
      </c>
      <c r="M128" s="31" t="s">
        <v>155</v>
      </c>
      <c r="N128" s="31">
        <v>529824</v>
      </c>
      <c r="O128" s="31"/>
      <c r="P128" s="31"/>
      <c r="Q128" s="31" t="s">
        <v>181</v>
      </c>
      <c r="R128" s="31" t="s">
        <v>67</v>
      </c>
      <c r="S128" s="31" t="s">
        <v>68</v>
      </c>
      <c r="T128" s="31">
        <v>44</v>
      </c>
      <c r="U128" s="31" t="s">
        <v>182</v>
      </c>
      <c r="V128" s="31"/>
      <c r="W128" s="31" t="s">
        <v>63</v>
      </c>
      <c r="X128" s="31" t="s">
        <v>81</v>
      </c>
      <c r="Y128" s="31" t="s">
        <v>88</v>
      </c>
      <c r="Z128" s="33">
        <v>42275</v>
      </c>
      <c r="AA128" s="31" t="s">
        <v>64</v>
      </c>
      <c r="AB128" s="33">
        <v>42264</v>
      </c>
      <c r="AC128" s="31"/>
      <c r="AD128" s="31"/>
      <c r="AE128" s="31"/>
      <c r="AF128" s="31" t="s">
        <v>183</v>
      </c>
      <c r="AG128" s="31"/>
      <c r="AH128" s="31">
        <v>0</v>
      </c>
      <c r="AI128" s="31"/>
      <c r="AJ128" s="31"/>
      <c r="AK128" s="31">
        <v>0</v>
      </c>
      <c r="AL128" s="31">
        <v>0</v>
      </c>
      <c r="AM128" s="31">
        <v>0</v>
      </c>
      <c r="AN128" s="31">
        <v>2795191383</v>
      </c>
      <c r="AO128" s="31" t="s">
        <v>89</v>
      </c>
      <c r="AP128" s="31" t="s">
        <v>708</v>
      </c>
    </row>
    <row r="129" spans="1:42" x14ac:dyDescent="0.2">
      <c r="A129" s="31">
        <v>10019254</v>
      </c>
      <c r="B129" s="31" t="s">
        <v>18</v>
      </c>
      <c r="C129" s="31" t="s">
        <v>78</v>
      </c>
      <c r="D129" s="33">
        <v>42264</v>
      </c>
      <c r="E129" s="31">
        <v>93513706</v>
      </c>
      <c r="F129" s="33">
        <v>42255</v>
      </c>
      <c r="G129" s="33">
        <v>42261</v>
      </c>
      <c r="H129" s="31">
        <v>1201047</v>
      </c>
      <c r="I129" s="31" t="s">
        <v>79</v>
      </c>
      <c r="J129" s="31">
        <v>1003696</v>
      </c>
      <c r="K129" s="31" t="s">
        <v>80</v>
      </c>
      <c r="L129" s="31">
        <v>1171089</v>
      </c>
      <c r="M129" s="31" t="s">
        <v>75</v>
      </c>
      <c r="N129" s="31">
        <v>24504752</v>
      </c>
      <c r="O129" s="31"/>
      <c r="P129" s="31"/>
      <c r="Q129" s="31" t="s">
        <v>181</v>
      </c>
      <c r="R129" s="31" t="s">
        <v>67</v>
      </c>
      <c r="S129" s="31" t="s">
        <v>68</v>
      </c>
      <c r="T129" s="31">
        <v>4752</v>
      </c>
      <c r="U129" s="31" t="s">
        <v>182</v>
      </c>
      <c r="V129" s="31"/>
      <c r="W129" s="31" t="s">
        <v>63</v>
      </c>
      <c r="X129" s="31" t="s">
        <v>70</v>
      </c>
      <c r="Y129" s="31" t="s">
        <v>71</v>
      </c>
      <c r="Z129" s="33">
        <v>42273</v>
      </c>
      <c r="AA129" s="31" t="s">
        <v>83</v>
      </c>
      <c r="AB129" s="33">
        <v>42265</v>
      </c>
      <c r="AC129" s="31"/>
      <c r="AD129" s="31"/>
      <c r="AE129" s="31"/>
      <c r="AF129" s="31" t="s">
        <v>183</v>
      </c>
      <c r="AG129" s="31"/>
      <c r="AH129" s="31">
        <v>0</v>
      </c>
      <c r="AI129" s="31"/>
      <c r="AJ129" s="31"/>
      <c r="AK129" s="31">
        <v>0</v>
      </c>
      <c r="AL129" s="31">
        <v>0</v>
      </c>
      <c r="AM129" s="31">
        <v>0</v>
      </c>
      <c r="AN129" s="31">
        <v>2795190893</v>
      </c>
      <c r="AO129" s="31" t="s">
        <v>73</v>
      </c>
      <c r="AP129" s="31" t="s">
        <v>709</v>
      </c>
    </row>
    <row r="130" spans="1:42" x14ac:dyDescent="0.2">
      <c r="A130" s="31">
        <v>10019259</v>
      </c>
      <c r="B130" s="31"/>
      <c r="C130" s="31" t="s">
        <v>573</v>
      </c>
      <c r="D130" s="33">
        <v>42264</v>
      </c>
      <c r="E130" s="31">
        <v>93515025</v>
      </c>
      <c r="F130" s="33">
        <v>42256</v>
      </c>
      <c r="G130" s="31"/>
      <c r="H130" s="31">
        <v>1201047</v>
      </c>
      <c r="I130" s="31" t="s">
        <v>79</v>
      </c>
      <c r="J130" s="31">
        <v>1022214</v>
      </c>
      <c r="K130" s="31" t="s">
        <v>80</v>
      </c>
      <c r="L130" s="31">
        <v>1171089</v>
      </c>
      <c r="M130" s="31" t="s">
        <v>75</v>
      </c>
      <c r="N130" s="31">
        <v>4739584</v>
      </c>
      <c r="O130" s="31"/>
      <c r="P130" s="31"/>
      <c r="Q130" s="31" t="s">
        <v>181</v>
      </c>
      <c r="R130" s="31" t="s">
        <v>91</v>
      </c>
      <c r="S130" s="31" t="s">
        <v>92</v>
      </c>
      <c r="T130" s="31">
        <v>1374</v>
      </c>
      <c r="U130" s="31" t="s">
        <v>182</v>
      </c>
      <c r="V130" s="31"/>
      <c r="W130" s="31" t="s">
        <v>120</v>
      </c>
      <c r="X130" s="31"/>
      <c r="Y130" s="31"/>
      <c r="Z130" s="31"/>
      <c r="AA130" s="31"/>
      <c r="AB130" s="31"/>
      <c r="AC130" s="31"/>
      <c r="AD130" s="31"/>
      <c r="AE130" s="31"/>
      <c r="AF130" s="31" t="s">
        <v>183</v>
      </c>
      <c r="AG130" s="31"/>
      <c r="AH130" s="31">
        <v>0</v>
      </c>
      <c r="AI130" s="31"/>
      <c r="AJ130" s="31"/>
      <c r="AK130" s="31">
        <v>0</v>
      </c>
      <c r="AL130" s="31">
        <v>0</v>
      </c>
      <c r="AM130" s="31">
        <v>0</v>
      </c>
      <c r="AN130" s="31" t="s">
        <v>710</v>
      </c>
      <c r="AO130" s="31"/>
      <c r="AP130" s="31"/>
    </row>
    <row r="131" spans="1:42" x14ac:dyDescent="0.2">
      <c r="A131" s="31">
        <v>10019260</v>
      </c>
      <c r="B131" s="31"/>
      <c r="C131" s="31" t="s">
        <v>573</v>
      </c>
      <c r="D131" s="33">
        <v>42264</v>
      </c>
      <c r="E131" s="31">
        <v>93521323</v>
      </c>
      <c r="F131" s="33">
        <v>42261</v>
      </c>
      <c r="G131" s="33">
        <v>42264</v>
      </c>
      <c r="H131" s="31">
        <v>1201646</v>
      </c>
      <c r="I131" s="31" t="s">
        <v>164</v>
      </c>
      <c r="J131" s="31">
        <v>1201646</v>
      </c>
      <c r="K131" s="31" t="s">
        <v>164</v>
      </c>
      <c r="L131" s="31">
        <v>1201646</v>
      </c>
      <c r="M131" s="31" t="s">
        <v>164</v>
      </c>
      <c r="N131" s="31">
        <v>8045153</v>
      </c>
      <c r="O131" s="31"/>
      <c r="P131" s="31"/>
      <c r="Q131" s="31" t="s">
        <v>181</v>
      </c>
      <c r="R131" s="31" t="s">
        <v>67</v>
      </c>
      <c r="S131" s="31" t="s">
        <v>68</v>
      </c>
      <c r="T131" s="31">
        <v>51.74</v>
      </c>
      <c r="U131" s="31" t="s">
        <v>182</v>
      </c>
      <c r="V131" s="31"/>
      <c r="W131" s="31" t="s">
        <v>120</v>
      </c>
      <c r="X131" s="31"/>
      <c r="Y131" s="31"/>
      <c r="Z131" s="31"/>
      <c r="AA131" s="31"/>
      <c r="AB131" s="31"/>
      <c r="AC131" s="31"/>
      <c r="AD131" s="31"/>
      <c r="AE131" s="31"/>
      <c r="AF131" s="31" t="s">
        <v>183</v>
      </c>
      <c r="AG131" s="31"/>
      <c r="AH131" s="31">
        <v>0</v>
      </c>
      <c r="AI131" s="31"/>
      <c r="AJ131" s="31"/>
      <c r="AK131" s="31">
        <v>0</v>
      </c>
      <c r="AL131" s="31">
        <v>0</v>
      </c>
      <c r="AM131" s="31">
        <v>0</v>
      </c>
      <c r="AN131" s="31">
        <v>3527005145</v>
      </c>
      <c r="AO131" s="31"/>
      <c r="AP131" s="31"/>
    </row>
    <row r="132" spans="1:42" x14ac:dyDescent="0.2">
      <c r="A132" s="31">
        <v>10019261</v>
      </c>
      <c r="B132" s="31" t="s">
        <v>26</v>
      </c>
      <c r="C132" s="31" t="s">
        <v>78</v>
      </c>
      <c r="D132" s="33">
        <v>42264</v>
      </c>
      <c r="E132" s="31">
        <v>93515188</v>
      </c>
      <c r="F132" s="33">
        <v>42256</v>
      </c>
      <c r="G132" s="33">
        <v>42258</v>
      </c>
      <c r="H132" s="31">
        <v>1201156</v>
      </c>
      <c r="I132" s="31" t="s">
        <v>131</v>
      </c>
      <c r="J132" s="31">
        <v>1039283</v>
      </c>
      <c r="K132" s="31" t="s">
        <v>711</v>
      </c>
      <c r="L132" s="31">
        <v>1201156</v>
      </c>
      <c r="M132" s="31" t="s">
        <v>131</v>
      </c>
      <c r="N132" s="31">
        <v>6560149</v>
      </c>
      <c r="O132" s="31"/>
      <c r="P132" s="31"/>
      <c r="Q132" s="31" t="s">
        <v>181</v>
      </c>
      <c r="R132" s="31" t="s">
        <v>61</v>
      </c>
      <c r="S132" s="31" t="s">
        <v>62</v>
      </c>
      <c r="T132" s="31">
        <v>134.88</v>
      </c>
      <c r="U132" s="31" t="s">
        <v>182</v>
      </c>
      <c r="V132" s="31"/>
      <c r="W132" s="31" t="s">
        <v>63</v>
      </c>
      <c r="X132" s="31" t="s">
        <v>94</v>
      </c>
      <c r="Y132" s="31" t="s">
        <v>95</v>
      </c>
      <c r="Z132" s="33">
        <v>42269</v>
      </c>
      <c r="AA132" s="31" t="s">
        <v>64</v>
      </c>
      <c r="AB132" s="33">
        <v>42264</v>
      </c>
      <c r="AC132" s="31"/>
      <c r="AD132" s="31"/>
      <c r="AE132" s="31"/>
      <c r="AF132" s="31" t="s">
        <v>183</v>
      </c>
      <c r="AG132" s="31"/>
      <c r="AH132" s="31">
        <v>0</v>
      </c>
      <c r="AI132" s="31"/>
      <c r="AJ132" s="31"/>
      <c r="AK132" s="31">
        <v>0</v>
      </c>
      <c r="AL132" s="31">
        <v>0</v>
      </c>
      <c r="AM132" s="31">
        <v>0</v>
      </c>
      <c r="AN132" s="31">
        <v>327755353</v>
      </c>
      <c r="AO132" s="31" t="s">
        <v>96</v>
      </c>
      <c r="AP132" s="31" t="s">
        <v>712</v>
      </c>
    </row>
    <row r="133" spans="1:42" x14ac:dyDescent="0.2">
      <c r="A133" s="31">
        <v>10019262</v>
      </c>
      <c r="B133" s="31" t="s">
        <v>26</v>
      </c>
      <c r="C133" s="31" t="s">
        <v>573</v>
      </c>
      <c r="D133" s="33">
        <v>42265</v>
      </c>
      <c r="E133" s="31">
        <v>93510596</v>
      </c>
      <c r="F133" s="33">
        <v>42250</v>
      </c>
      <c r="G133" s="31"/>
      <c r="H133" s="31">
        <v>1201675</v>
      </c>
      <c r="I133" s="31" t="s">
        <v>165</v>
      </c>
      <c r="J133" s="31">
        <v>1201675</v>
      </c>
      <c r="K133" s="31" t="s">
        <v>165</v>
      </c>
      <c r="L133" s="31">
        <v>1172015</v>
      </c>
      <c r="M133" s="31" t="s">
        <v>165</v>
      </c>
      <c r="N133" s="31">
        <v>75496</v>
      </c>
      <c r="O133" s="31"/>
      <c r="P133" s="31"/>
      <c r="Q133" s="31" t="s">
        <v>181</v>
      </c>
      <c r="R133" s="31" t="s">
        <v>102</v>
      </c>
      <c r="S133" s="31" t="s">
        <v>103</v>
      </c>
      <c r="T133" s="31">
        <v>262.5</v>
      </c>
      <c r="U133" s="31" t="s">
        <v>182</v>
      </c>
      <c r="V133" s="31"/>
      <c r="W133" s="31" t="s">
        <v>63</v>
      </c>
      <c r="X133" s="31" t="s">
        <v>94</v>
      </c>
      <c r="Y133" s="31" t="s">
        <v>95</v>
      </c>
      <c r="Z133" s="33">
        <v>42265</v>
      </c>
      <c r="AA133" s="31" t="s">
        <v>64</v>
      </c>
      <c r="AB133" s="33">
        <v>42265</v>
      </c>
      <c r="AC133" s="31"/>
      <c r="AD133" s="31"/>
      <c r="AE133" s="31"/>
      <c r="AF133" s="31" t="s">
        <v>183</v>
      </c>
      <c r="AG133" s="31"/>
      <c r="AH133" s="31">
        <v>0</v>
      </c>
      <c r="AI133" s="31"/>
      <c r="AJ133" s="31"/>
      <c r="AK133" s="31">
        <v>0</v>
      </c>
      <c r="AL133" s="31">
        <v>0</v>
      </c>
      <c r="AM133" s="31">
        <v>0</v>
      </c>
      <c r="AN133" s="31">
        <v>636808627390</v>
      </c>
      <c r="AO133" s="31" t="s">
        <v>96</v>
      </c>
      <c r="AP133" s="31" t="s">
        <v>713</v>
      </c>
    </row>
    <row r="134" spans="1:42" x14ac:dyDescent="0.2">
      <c r="A134" s="31">
        <v>10019263</v>
      </c>
      <c r="B134" s="31" t="s">
        <v>26</v>
      </c>
      <c r="C134" s="31" t="s">
        <v>573</v>
      </c>
      <c r="D134" s="33">
        <v>42265</v>
      </c>
      <c r="E134" s="31">
        <v>93522874</v>
      </c>
      <c r="F134" s="33">
        <v>42262</v>
      </c>
      <c r="G134" s="31"/>
      <c r="H134" s="31">
        <v>1201047</v>
      </c>
      <c r="I134" s="31" t="s">
        <v>79</v>
      </c>
      <c r="J134" s="31">
        <v>1034532</v>
      </c>
      <c r="K134" s="31" t="s">
        <v>301</v>
      </c>
      <c r="L134" s="31">
        <v>1171089</v>
      </c>
      <c r="M134" s="31" t="s">
        <v>75</v>
      </c>
      <c r="N134" s="31">
        <v>25429933</v>
      </c>
      <c r="O134" s="31"/>
      <c r="P134" s="31"/>
      <c r="Q134" s="31" t="s">
        <v>181</v>
      </c>
      <c r="R134" s="31" t="s">
        <v>91</v>
      </c>
      <c r="S134" s="31" t="s">
        <v>92</v>
      </c>
      <c r="T134" s="31">
        <v>1650.72</v>
      </c>
      <c r="U134" s="31" t="s">
        <v>182</v>
      </c>
      <c r="V134" s="31"/>
      <c r="W134" s="31" t="s">
        <v>63</v>
      </c>
      <c r="X134" s="31" t="s">
        <v>94</v>
      </c>
      <c r="Y134" s="31" t="s">
        <v>95</v>
      </c>
      <c r="Z134" s="33">
        <v>42269</v>
      </c>
      <c r="AA134" s="31" t="s">
        <v>83</v>
      </c>
      <c r="AB134" s="33">
        <v>42268</v>
      </c>
      <c r="AC134" s="31"/>
      <c r="AD134" s="31"/>
      <c r="AE134" s="31"/>
      <c r="AF134" s="31" t="s">
        <v>183</v>
      </c>
      <c r="AG134" s="31"/>
      <c r="AH134" s="31">
        <v>0</v>
      </c>
      <c r="AI134" s="31"/>
      <c r="AJ134" s="31"/>
      <c r="AK134" s="31">
        <v>0</v>
      </c>
      <c r="AL134" s="31">
        <v>0</v>
      </c>
      <c r="AM134" s="31">
        <v>0</v>
      </c>
      <c r="AN134" s="31" t="s">
        <v>714</v>
      </c>
      <c r="AO134" s="31" t="s">
        <v>96</v>
      </c>
      <c r="AP134" s="31" t="s">
        <v>715</v>
      </c>
    </row>
    <row r="135" spans="1:42" x14ac:dyDescent="0.2">
      <c r="A135" s="31">
        <v>10019264</v>
      </c>
      <c r="B135" s="31" t="s">
        <v>26</v>
      </c>
      <c r="C135" s="31" t="s">
        <v>573</v>
      </c>
      <c r="D135" s="33">
        <v>42265</v>
      </c>
      <c r="E135" s="31">
        <v>93520958</v>
      </c>
      <c r="F135" s="33">
        <v>42261</v>
      </c>
      <c r="G135" s="31"/>
      <c r="H135" s="31">
        <v>1201120</v>
      </c>
      <c r="I135" s="31" t="s">
        <v>117</v>
      </c>
      <c r="J135" s="31">
        <v>1307782</v>
      </c>
      <c r="K135" s="31" t="s">
        <v>119</v>
      </c>
      <c r="L135" s="31">
        <v>1171090</v>
      </c>
      <c r="M135" s="31" t="s">
        <v>118</v>
      </c>
      <c r="N135" s="31" t="s">
        <v>645</v>
      </c>
      <c r="O135" s="31"/>
      <c r="P135" s="31"/>
      <c r="Q135" s="31" t="s">
        <v>181</v>
      </c>
      <c r="R135" s="31" t="s">
        <v>121</v>
      </c>
      <c r="S135" s="31" t="s">
        <v>122</v>
      </c>
      <c r="T135" s="31">
        <v>1648.32</v>
      </c>
      <c r="U135" s="31" t="s">
        <v>182</v>
      </c>
      <c r="V135" s="31"/>
      <c r="W135" s="31" t="s">
        <v>63</v>
      </c>
      <c r="X135" s="31" t="s">
        <v>94</v>
      </c>
      <c r="Y135" s="31" t="s">
        <v>95</v>
      </c>
      <c r="Z135" s="33">
        <v>42265</v>
      </c>
      <c r="AA135" s="31" t="s">
        <v>83</v>
      </c>
      <c r="AB135" s="33">
        <v>42268</v>
      </c>
      <c r="AC135" s="31"/>
      <c r="AD135" s="31"/>
      <c r="AE135" s="31"/>
      <c r="AF135" s="31" t="s">
        <v>183</v>
      </c>
      <c r="AG135" s="31"/>
      <c r="AH135" s="31">
        <v>0</v>
      </c>
      <c r="AI135" s="31"/>
      <c r="AJ135" s="31"/>
      <c r="AK135" s="31">
        <v>0</v>
      </c>
      <c r="AL135" s="31">
        <v>0</v>
      </c>
      <c r="AM135" s="31">
        <v>0</v>
      </c>
      <c r="AN135" s="31" t="s">
        <v>691</v>
      </c>
      <c r="AO135" s="31" t="s">
        <v>96</v>
      </c>
      <c r="AP135" s="31" t="s">
        <v>716</v>
      </c>
    </row>
    <row r="136" spans="1:42" x14ac:dyDescent="0.2">
      <c r="A136" s="31">
        <v>10019266</v>
      </c>
      <c r="B136" s="31" t="s">
        <v>18</v>
      </c>
      <c r="C136" s="31" t="s">
        <v>573</v>
      </c>
      <c r="D136" s="33">
        <v>42265</v>
      </c>
      <c r="E136" s="31">
        <v>93518439</v>
      </c>
      <c r="F136" s="33">
        <v>42258</v>
      </c>
      <c r="G136" s="33">
        <v>42262</v>
      </c>
      <c r="H136" s="31">
        <v>1022013</v>
      </c>
      <c r="I136" s="31" t="s">
        <v>114</v>
      </c>
      <c r="J136" s="31">
        <v>1022013</v>
      </c>
      <c r="K136" s="31" t="s">
        <v>114</v>
      </c>
      <c r="L136" s="31">
        <v>1022013</v>
      </c>
      <c r="M136" s="31" t="s">
        <v>114</v>
      </c>
      <c r="N136" s="31">
        <v>75066</v>
      </c>
      <c r="O136" s="31"/>
      <c r="P136" s="31"/>
      <c r="Q136" s="31" t="s">
        <v>181</v>
      </c>
      <c r="R136" s="31" t="s">
        <v>67</v>
      </c>
      <c r="S136" s="31" t="s">
        <v>68</v>
      </c>
      <c r="T136" s="31">
        <v>40.299999999999997</v>
      </c>
      <c r="U136" s="31" t="s">
        <v>182</v>
      </c>
      <c r="V136" s="31"/>
      <c r="W136" s="31" t="s">
        <v>69</v>
      </c>
      <c r="X136" s="31" t="s">
        <v>70</v>
      </c>
      <c r="Y136" s="31" t="s">
        <v>76</v>
      </c>
      <c r="Z136" s="33">
        <v>42271</v>
      </c>
      <c r="AA136" s="31" t="s">
        <v>64</v>
      </c>
      <c r="AB136" s="33">
        <v>42265</v>
      </c>
      <c r="AC136" s="31" t="s">
        <v>100</v>
      </c>
      <c r="AD136" s="31">
        <v>61994015</v>
      </c>
      <c r="AE136" s="33">
        <v>42279</v>
      </c>
      <c r="AF136" s="31" t="s">
        <v>183</v>
      </c>
      <c r="AG136" s="31"/>
      <c r="AH136" s="31">
        <v>0</v>
      </c>
      <c r="AI136" s="31"/>
      <c r="AJ136" s="31"/>
      <c r="AK136" s="31">
        <v>0</v>
      </c>
      <c r="AL136" s="31">
        <v>0</v>
      </c>
      <c r="AM136" s="31">
        <v>0</v>
      </c>
      <c r="AN136" s="31">
        <v>3527004902</v>
      </c>
      <c r="AO136" s="31" t="s">
        <v>77</v>
      </c>
      <c r="AP136" s="31" t="s">
        <v>717</v>
      </c>
    </row>
    <row r="137" spans="1:42" x14ac:dyDescent="0.2">
      <c r="A137" s="31">
        <v>10019267</v>
      </c>
      <c r="B137" s="31" t="s">
        <v>26</v>
      </c>
      <c r="C137" s="31" t="s">
        <v>78</v>
      </c>
      <c r="D137" s="33">
        <v>42265</v>
      </c>
      <c r="E137" s="31">
        <v>93511752</v>
      </c>
      <c r="F137" s="33">
        <v>42251</v>
      </c>
      <c r="G137" s="31"/>
      <c r="H137" s="31">
        <v>1201047</v>
      </c>
      <c r="I137" s="31" t="s">
        <v>79</v>
      </c>
      <c r="J137" s="31">
        <v>1300235</v>
      </c>
      <c r="K137" s="31" t="s">
        <v>109</v>
      </c>
      <c r="L137" s="31">
        <v>1171089</v>
      </c>
      <c r="M137" s="31" t="s">
        <v>75</v>
      </c>
      <c r="N137" s="31">
        <v>8367614</v>
      </c>
      <c r="O137" s="31"/>
      <c r="P137" s="31"/>
      <c r="Q137" s="31" t="s">
        <v>181</v>
      </c>
      <c r="R137" s="31" t="s">
        <v>91</v>
      </c>
      <c r="S137" s="31" t="s">
        <v>92</v>
      </c>
      <c r="T137" s="31">
        <v>25925.4</v>
      </c>
      <c r="U137" s="31" t="s">
        <v>182</v>
      </c>
      <c r="V137" s="31"/>
      <c r="W137" s="31" t="s">
        <v>63</v>
      </c>
      <c r="X137" s="31" t="s">
        <v>81</v>
      </c>
      <c r="Y137" s="31" t="s">
        <v>88</v>
      </c>
      <c r="Z137" s="33">
        <v>42276</v>
      </c>
      <c r="AA137" s="31" t="s">
        <v>166</v>
      </c>
      <c r="AB137" s="33">
        <v>42276</v>
      </c>
      <c r="AC137" s="31"/>
      <c r="AD137" s="31"/>
      <c r="AE137" s="31"/>
      <c r="AF137" s="31" t="s">
        <v>183</v>
      </c>
      <c r="AG137" s="31"/>
      <c r="AH137" s="31">
        <v>0</v>
      </c>
      <c r="AI137" s="31"/>
      <c r="AJ137" s="31"/>
      <c r="AK137" s="31">
        <v>0</v>
      </c>
      <c r="AL137" s="31">
        <v>0</v>
      </c>
      <c r="AM137" s="31">
        <v>0</v>
      </c>
      <c r="AN137" s="31" t="s">
        <v>718</v>
      </c>
      <c r="AO137" s="31" t="s">
        <v>89</v>
      </c>
      <c r="AP137" s="31" t="s">
        <v>719</v>
      </c>
    </row>
    <row r="138" spans="1:42" x14ac:dyDescent="0.2">
      <c r="A138" s="31">
        <v>10019268</v>
      </c>
      <c r="B138" s="31" t="s">
        <v>18</v>
      </c>
      <c r="C138" s="31" t="s">
        <v>573</v>
      </c>
      <c r="D138" s="33">
        <v>42265</v>
      </c>
      <c r="E138" s="31">
        <v>93521447</v>
      </c>
      <c r="F138" s="33">
        <v>42261</v>
      </c>
      <c r="G138" s="31"/>
      <c r="H138" s="31">
        <v>1322827</v>
      </c>
      <c r="I138" s="31" t="s">
        <v>253</v>
      </c>
      <c r="J138" s="31">
        <v>1322879</v>
      </c>
      <c r="K138" s="31" t="s">
        <v>253</v>
      </c>
      <c r="L138" s="31">
        <v>1322827</v>
      </c>
      <c r="M138" s="31" t="s">
        <v>253</v>
      </c>
      <c r="N138" s="31">
        <v>1257824</v>
      </c>
      <c r="O138" s="31"/>
      <c r="P138" s="31"/>
      <c r="Q138" s="31" t="s">
        <v>181</v>
      </c>
      <c r="R138" s="31" t="s">
        <v>97</v>
      </c>
      <c r="S138" s="31" t="s">
        <v>98</v>
      </c>
      <c r="T138" s="31">
        <v>73.8</v>
      </c>
      <c r="U138" s="31" t="s">
        <v>182</v>
      </c>
      <c r="V138" s="31"/>
      <c r="W138" s="31" t="s">
        <v>63</v>
      </c>
      <c r="X138" s="31" t="s">
        <v>81</v>
      </c>
      <c r="Y138" s="31" t="s">
        <v>88</v>
      </c>
      <c r="Z138" s="33">
        <v>42275</v>
      </c>
      <c r="AA138" s="31" t="s">
        <v>64</v>
      </c>
      <c r="AB138" s="33">
        <v>42265</v>
      </c>
      <c r="AC138" s="31"/>
      <c r="AD138" s="31"/>
      <c r="AE138" s="31"/>
      <c r="AF138" s="31" t="s">
        <v>183</v>
      </c>
      <c r="AG138" s="31"/>
      <c r="AH138" s="31">
        <v>0</v>
      </c>
      <c r="AI138" s="31"/>
      <c r="AJ138" s="31"/>
      <c r="AK138" s="31">
        <v>0</v>
      </c>
      <c r="AL138" s="31">
        <v>0</v>
      </c>
      <c r="AM138" s="31">
        <v>0</v>
      </c>
      <c r="AN138" s="31">
        <v>87944972498603</v>
      </c>
      <c r="AO138" s="31" t="s">
        <v>89</v>
      </c>
      <c r="AP138" s="31" t="s">
        <v>720</v>
      </c>
    </row>
    <row r="139" spans="1:42" x14ac:dyDescent="0.2">
      <c r="A139" s="31">
        <v>10019269</v>
      </c>
      <c r="B139" s="31" t="s">
        <v>26</v>
      </c>
      <c r="C139" s="31" t="s">
        <v>78</v>
      </c>
      <c r="D139" s="33">
        <v>42265</v>
      </c>
      <c r="E139" s="31">
        <v>93518650</v>
      </c>
      <c r="F139" s="33">
        <v>42258</v>
      </c>
      <c r="G139" s="33">
        <v>42262</v>
      </c>
      <c r="H139" s="31">
        <v>1201086</v>
      </c>
      <c r="I139" s="31" t="s">
        <v>116</v>
      </c>
      <c r="J139" s="31">
        <v>1201086</v>
      </c>
      <c r="K139" s="31" t="s">
        <v>116</v>
      </c>
      <c r="L139" s="31">
        <v>1201086</v>
      </c>
      <c r="M139" s="31" t="s">
        <v>116</v>
      </c>
      <c r="N139" s="31">
        <v>1055967</v>
      </c>
      <c r="O139" s="31"/>
      <c r="P139" s="31"/>
      <c r="Q139" s="31" t="s">
        <v>181</v>
      </c>
      <c r="R139" s="31" t="s">
        <v>67</v>
      </c>
      <c r="S139" s="31" t="s">
        <v>68</v>
      </c>
      <c r="T139" s="31">
        <v>101.1</v>
      </c>
      <c r="U139" s="31" t="s">
        <v>182</v>
      </c>
      <c r="V139" s="31"/>
      <c r="W139" s="31" t="s">
        <v>69</v>
      </c>
      <c r="X139" s="31" t="s">
        <v>94</v>
      </c>
      <c r="Y139" s="31" t="s">
        <v>95</v>
      </c>
      <c r="Z139" s="33">
        <v>42265</v>
      </c>
      <c r="AA139" s="31" t="s">
        <v>64</v>
      </c>
      <c r="AB139" s="33">
        <v>42265</v>
      </c>
      <c r="AC139" s="31" t="s">
        <v>100</v>
      </c>
      <c r="AD139" s="31">
        <v>61993050</v>
      </c>
      <c r="AE139" s="33">
        <v>42278</v>
      </c>
      <c r="AF139" s="31" t="s">
        <v>183</v>
      </c>
      <c r="AG139" s="31"/>
      <c r="AH139" s="31">
        <v>0</v>
      </c>
      <c r="AI139" s="31"/>
      <c r="AJ139" s="31"/>
      <c r="AK139" s="31">
        <v>0</v>
      </c>
      <c r="AL139" s="31">
        <v>0</v>
      </c>
      <c r="AM139" s="31">
        <v>0</v>
      </c>
      <c r="AN139" s="31">
        <v>3527005005</v>
      </c>
      <c r="AO139" s="31" t="s">
        <v>96</v>
      </c>
      <c r="AP139" s="31" t="s">
        <v>713</v>
      </c>
    </row>
    <row r="140" spans="1:42" x14ac:dyDescent="0.2">
      <c r="A140" s="31">
        <v>10019270</v>
      </c>
      <c r="B140" s="31" t="s">
        <v>26</v>
      </c>
      <c r="C140" s="31" t="s">
        <v>381</v>
      </c>
      <c r="D140" s="33">
        <v>42265</v>
      </c>
      <c r="E140" s="31">
        <v>93462314</v>
      </c>
      <c r="F140" s="33">
        <v>42215</v>
      </c>
      <c r="G140" s="33">
        <v>42219</v>
      </c>
      <c r="H140" s="31">
        <v>1201133</v>
      </c>
      <c r="I140" s="31" t="s">
        <v>128</v>
      </c>
      <c r="J140" s="31">
        <v>1325387</v>
      </c>
      <c r="K140" s="31" t="s">
        <v>129</v>
      </c>
      <c r="L140" s="31">
        <v>1171102</v>
      </c>
      <c r="M140" s="31" t="s">
        <v>130</v>
      </c>
      <c r="N140" s="31" t="s">
        <v>721</v>
      </c>
      <c r="O140" s="31"/>
      <c r="P140" s="31"/>
      <c r="Q140" s="31" t="s">
        <v>181</v>
      </c>
      <c r="R140" s="31" t="s">
        <v>67</v>
      </c>
      <c r="S140" s="31" t="s">
        <v>68</v>
      </c>
      <c r="T140" s="31">
        <v>44.7</v>
      </c>
      <c r="U140" s="31" t="s">
        <v>182</v>
      </c>
      <c r="V140" s="31"/>
      <c r="W140" s="31" t="s">
        <v>63</v>
      </c>
      <c r="X140" s="31" t="s">
        <v>105</v>
      </c>
      <c r="Y140" s="31" t="s">
        <v>82</v>
      </c>
      <c r="Z140" s="33">
        <v>42265</v>
      </c>
      <c r="AA140" s="31" t="s">
        <v>64</v>
      </c>
      <c r="AB140" s="33">
        <v>42265</v>
      </c>
      <c r="AC140" s="31"/>
      <c r="AD140" s="31"/>
      <c r="AE140" s="31"/>
      <c r="AF140" s="31" t="s">
        <v>183</v>
      </c>
      <c r="AG140" s="31"/>
      <c r="AH140" s="31">
        <v>0</v>
      </c>
      <c r="AI140" s="31"/>
      <c r="AJ140" s="31"/>
      <c r="AK140" s="31">
        <v>0</v>
      </c>
      <c r="AL140" s="31">
        <v>0</v>
      </c>
      <c r="AM140" s="31">
        <v>0</v>
      </c>
      <c r="AN140" s="31">
        <v>3511782271</v>
      </c>
      <c r="AO140" s="31" t="s">
        <v>106</v>
      </c>
      <c r="AP140" s="31" t="s">
        <v>722</v>
      </c>
    </row>
    <row r="141" spans="1:42" x14ac:dyDescent="0.2">
      <c r="A141" s="31">
        <v>10019271</v>
      </c>
      <c r="B141" s="31" t="s">
        <v>22</v>
      </c>
      <c r="C141" s="31" t="s">
        <v>573</v>
      </c>
      <c r="D141" s="33">
        <v>42265</v>
      </c>
      <c r="E141" s="31">
        <v>93511995</v>
      </c>
      <c r="F141" s="33">
        <v>42251</v>
      </c>
      <c r="G141" s="31"/>
      <c r="H141" s="31">
        <v>1201675</v>
      </c>
      <c r="I141" s="31" t="s">
        <v>165</v>
      </c>
      <c r="J141" s="31">
        <v>1201675</v>
      </c>
      <c r="K141" s="31" t="s">
        <v>165</v>
      </c>
      <c r="L141" s="31">
        <v>1172015</v>
      </c>
      <c r="M141" s="31" t="s">
        <v>165</v>
      </c>
      <c r="N141" s="31" t="s">
        <v>723</v>
      </c>
      <c r="O141" s="31"/>
      <c r="P141" s="31"/>
      <c r="Q141" s="31" t="s">
        <v>181</v>
      </c>
      <c r="R141" s="31" t="s">
        <v>102</v>
      </c>
      <c r="S141" s="31" t="s">
        <v>103</v>
      </c>
      <c r="T141" s="31">
        <v>50.63</v>
      </c>
      <c r="U141" s="31" t="s">
        <v>182</v>
      </c>
      <c r="V141" s="31"/>
      <c r="W141" s="31" t="s">
        <v>63</v>
      </c>
      <c r="X141" s="31" t="s">
        <v>94</v>
      </c>
      <c r="Y141" s="31" t="s">
        <v>141</v>
      </c>
      <c r="Z141" s="33">
        <v>42268</v>
      </c>
      <c r="AA141" s="31" t="s">
        <v>64</v>
      </c>
      <c r="AB141" s="33">
        <v>42265</v>
      </c>
      <c r="AC141" s="31"/>
      <c r="AD141" s="31"/>
      <c r="AE141" s="31"/>
      <c r="AF141" s="31" t="s">
        <v>183</v>
      </c>
      <c r="AG141" s="31"/>
      <c r="AH141" s="31">
        <v>0</v>
      </c>
      <c r="AI141" s="31"/>
      <c r="AJ141" s="31"/>
      <c r="AK141" s="31">
        <v>0</v>
      </c>
      <c r="AL141" s="31">
        <v>0</v>
      </c>
      <c r="AM141" s="31">
        <v>0</v>
      </c>
      <c r="AN141" s="31">
        <v>636808628021</v>
      </c>
      <c r="AO141" s="31" t="s">
        <v>142</v>
      </c>
      <c r="AP141" s="31" t="s">
        <v>724</v>
      </c>
    </row>
    <row r="142" spans="1:42" x14ac:dyDescent="0.2">
      <c r="A142" s="31">
        <v>10019272</v>
      </c>
      <c r="B142" s="31" t="s">
        <v>26</v>
      </c>
      <c r="C142" s="31" t="s">
        <v>573</v>
      </c>
      <c r="D142" s="33">
        <v>42265</v>
      </c>
      <c r="E142" s="31">
        <v>93520828</v>
      </c>
      <c r="F142" s="33">
        <v>42261</v>
      </c>
      <c r="G142" s="31"/>
      <c r="H142" s="31">
        <v>1201047</v>
      </c>
      <c r="I142" s="31" t="s">
        <v>79</v>
      </c>
      <c r="J142" s="31">
        <v>1338648</v>
      </c>
      <c r="K142" s="31" t="s">
        <v>93</v>
      </c>
      <c r="L142" s="31">
        <v>1171089</v>
      </c>
      <c r="M142" s="31" t="s">
        <v>75</v>
      </c>
      <c r="N142" s="31">
        <v>63138341</v>
      </c>
      <c r="O142" s="31"/>
      <c r="P142" s="31"/>
      <c r="Q142" s="31" t="s">
        <v>181</v>
      </c>
      <c r="R142" s="31" t="s">
        <v>86</v>
      </c>
      <c r="S142" s="31" t="s">
        <v>87</v>
      </c>
      <c r="T142" s="31">
        <v>1660</v>
      </c>
      <c r="U142" s="31" t="s">
        <v>182</v>
      </c>
      <c r="V142" s="31"/>
      <c r="W142" s="31" t="s">
        <v>63</v>
      </c>
      <c r="X142" s="31" t="s">
        <v>94</v>
      </c>
      <c r="Y142" s="31" t="s">
        <v>95</v>
      </c>
      <c r="Z142" s="33">
        <v>42269</v>
      </c>
      <c r="AA142" s="31" t="s">
        <v>83</v>
      </c>
      <c r="AB142" s="33">
        <v>42269</v>
      </c>
      <c r="AC142" s="31"/>
      <c r="AD142" s="31"/>
      <c r="AE142" s="31"/>
      <c r="AF142" s="31" t="s">
        <v>183</v>
      </c>
      <c r="AG142" s="31"/>
      <c r="AH142" s="31">
        <v>0</v>
      </c>
      <c r="AI142" s="31"/>
      <c r="AJ142" s="31"/>
      <c r="AK142" s="31">
        <v>0</v>
      </c>
      <c r="AL142" s="31">
        <v>0</v>
      </c>
      <c r="AM142" s="31">
        <v>0</v>
      </c>
      <c r="AN142" s="31" t="s">
        <v>725</v>
      </c>
      <c r="AO142" s="31" t="s">
        <v>96</v>
      </c>
      <c r="AP142" s="31" t="s">
        <v>726</v>
      </c>
    </row>
    <row r="143" spans="1:42" x14ac:dyDescent="0.2">
      <c r="A143" s="31">
        <v>10019273</v>
      </c>
      <c r="B143" s="31" t="s">
        <v>18</v>
      </c>
      <c r="C143" s="31" t="s">
        <v>573</v>
      </c>
      <c r="D143" s="33">
        <v>42265</v>
      </c>
      <c r="E143" s="31">
        <v>93488918</v>
      </c>
      <c r="F143" s="33">
        <v>42236</v>
      </c>
      <c r="G143" s="33">
        <v>42241</v>
      </c>
      <c r="H143" s="31">
        <v>1201156</v>
      </c>
      <c r="I143" s="31" t="s">
        <v>131</v>
      </c>
      <c r="J143" s="31">
        <v>1335316</v>
      </c>
      <c r="K143" s="31" t="s">
        <v>132</v>
      </c>
      <c r="L143" s="31">
        <v>1201156</v>
      </c>
      <c r="M143" s="31" t="s">
        <v>131</v>
      </c>
      <c r="N143" s="31">
        <v>7477184</v>
      </c>
      <c r="O143" s="31"/>
      <c r="P143" s="31"/>
      <c r="Q143" s="31" t="s">
        <v>181</v>
      </c>
      <c r="R143" s="31" t="s">
        <v>61</v>
      </c>
      <c r="S143" s="31" t="s">
        <v>62</v>
      </c>
      <c r="T143" s="31">
        <v>81.5</v>
      </c>
      <c r="U143" s="31" t="s">
        <v>182</v>
      </c>
      <c r="V143" s="31"/>
      <c r="W143" s="31" t="s">
        <v>63</v>
      </c>
      <c r="X143" s="31" t="s">
        <v>70</v>
      </c>
      <c r="Y143" s="31" t="s">
        <v>76</v>
      </c>
      <c r="Z143" s="33">
        <v>42271</v>
      </c>
      <c r="AA143" s="31" t="s">
        <v>64</v>
      </c>
      <c r="AB143" s="33">
        <v>42265</v>
      </c>
      <c r="AC143" s="31"/>
      <c r="AD143" s="31"/>
      <c r="AE143" s="31"/>
      <c r="AF143" s="31" t="s">
        <v>183</v>
      </c>
      <c r="AG143" s="31"/>
      <c r="AH143" s="31">
        <v>0</v>
      </c>
      <c r="AI143" s="31"/>
      <c r="AJ143" s="31"/>
      <c r="AK143" s="31">
        <v>0</v>
      </c>
      <c r="AL143" s="31">
        <v>0</v>
      </c>
      <c r="AM143" s="31">
        <v>0</v>
      </c>
      <c r="AN143" s="31">
        <v>327755293</v>
      </c>
      <c r="AO143" s="31" t="s">
        <v>77</v>
      </c>
      <c r="AP143" s="31" t="s">
        <v>717</v>
      </c>
    </row>
    <row r="144" spans="1:42" x14ac:dyDescent="0.2">
      <c r="A144" s="31">
        <v>10019274</v>
      </c>
      <c r="B144" s="31" t="s">
        <v>18</v>
      </c>
      <c r="C144" s="31" t="s">
        <v>78</v>
      </c>
      <c r="D144" s="33">
        <v>42265</v>
      </c>
      <c r="E144" s="31">
        <v>93514983</v>
      </c>
      <c r="F144" s="33">
        <v>42256</v>
      </c>
      <c r="G144" s="31"/>
      <c r="H144" s="31">
        <v>1057544</v>
      </c>
      <c r="I144" s="31" t="s">
        <v>363</v>
      </c>
      <c r="J144" s="31">
        <v>1327308</v>
      </c>
      <c r="K144" s="31" t="s">
        <v>363</v>
      </c>
      <c r="L144" s="31">
        <v>1057544</v>
      </c>
      <c r="M144" s="31" t="s">
        <v>363</v>
      </c>
      <c r="N144" s="31">
        <v>8118705</v>
      </c>
      <c r="O144" s="31"/>
      <c r="P144" s="31"/>
      <c r="Q144" s="31" t="s">
        <v>181</v>
      </c>
      <c r="R144" s="31" t="s">
        <v>102</v>
      </c>
      <c r="S144" s="31" t="s">
        <v>103</v>
      </c>
      <c r="T144" s="31">
        <v>4.3600000000000003</v>
      </c>
      <c r="U144" s="31" t="s">
        <v>182</v>
      </c>
      <c r="V144" s="31"/>
      <c r="W144" s="31" t="s">
        <v>69</v>
      </c>
      <c r="X144" s="31" t="s">
        <v>70</v>
      </c>
      <c r="Y144" s="31" t="s">
        <v>71</v>
      </c>
      <c r="Z144" s="33">
        <v>42271</v>
      </c>
      <c r="AA144" s="31" t="s">
        <v>83</v>
      </c>
      <c r="AB144" s="33">
        <v>42269</v>
      </c>
      <c r="AC144" s="31" t="s">
        <v>72</v>
      </c>
      <c r="AD144" s="31">
        <v>61989302</v>
      </c>
      <c r="AE144" s="33">
        <v>42272</v>
      </c>
      <c r="AF144" s="31" t="s">
        <v>183</v>
      </c>
      <c r="AG144" s="31"/>
      <c r="AH144" s="31">
        <v>0</v>
      </c>
      <c r="AI144" s="31"/>
      <c r="AJ144" s="31"/>
      <c r="AK144" s="31">
        <v>0</v>
      </c>
      <c r="AL144" s="31">
        <v>0</v>
      </c>
      <c r="AM144" s="31">
        <v>0</v>
      </c>
      <c r="AN144" s="31" t="s">
        <v>727</v>
      </c>
      <c r="AO144" s="31" t="s">
        <v>77</v>
      </c>
      <c r="AP144" s="31" t="s">
        <v>728</v>
      </c>
    </row>
    <row r="145" spans="1:42" x14ac:dyDescent="0.2">
      <c r="A145" s="31">
        <v>10019275</v>
      </c>
      <c r="B145" s="31" t="s">
        <v>18</v>
      </c>
      <c r="C145" s="31" t="s">
        <v>573</v>
      </c>
      <c r="D145" s="33">
        <v>42265</v>
      </c>
      <c r="E145" s="31">
        <v>93518890</v>
      </c>
      <c r="F145" s="33">
        <v>42258</v>
      </c>
      <c r="G145" s="31"/>
      <c r="H145" s="31">
        <v>1201675</v>
      </c>
      <c r="I145" s="31" t="s">
        <v>165</v>
      </c>
      <c r="J145" s="31">
        <v>1201675</v>
      </c>
      <c r="K145" s="31" t="s">
        <v>165</v>
      </c>
      <c r="L145" s="31">
        <v>1172015</v>
      </c>
      <c r="M145" s="31" t="s">
        <v>165</v>
      </c>
      <c r="N145" s="31" t="s">
        <v>729</v>
      </c>
      <c r="O145" s="31"/>
      <c r="P145" s="31"/>
      <c r="Q145" s="31" t="s">
        <v>181</v>
      </c>
      <c r="R145" s="31" t="s">
        <v>102</v>
      </c>
      <c r="S145" s="31" t="s">
        <v>103</v>
      </c>
      <c r="T145" s="31">
        <v>12763.2</v>
      </c>
      <c r="U145" s="31" t="s">
        <v>182</v>
      </c>
      <c r="V145" s="31"/>
      <c r="W145" s="31" t="s">
        <v>63</v>
      </c>
      <c r="X145" s="31" t="s">
        <v>70</v>
      </c>
      <c r="Y145" s="31" t="s">
        <v>76</v>
      </c>
      <c r="Z145" s="33">
        <v>42271</v>
      </c>
      <c r="AA145" s="31" t="s">
        <v>83</v>
      </c>
      <c r="AB145" s="33">
        <v>42269</v>
      </c>
      <c r="AC145" s="31"/>
      <c r="AD145" s="31"/>
      <c r="AE145" s="31"/>
      <c r="AF145" s="31" t="s">
        <v>183</v>
      </c>
      <c r="AG145" s="31"/>
      <c r="AH145" s="31">
        <v>0</v>
      </c>
      <c r="AI145" s="31"/>
      <c r="AJ145" s="31"/>
      <c r="AK145" s="31">
        <v>0</v>
      </c>
      <c r="AL145" s="31">
        <v>0</v>
      </c>
      <c r="AM145" s="31">
        <v>0</v>
      </c>
      <c r="AN145" s="31">
        <v>649275027887</v>
      </c>
      <c r="AO145" s="31" t="s">
        <v>77</v>
      </c>
      <c r="AP145" s="31" t="s">
        <v>730</v>
      </c>
    </row>
    <row r="146" spans="1:42" x14ac:dyDescent="0.2">
      <c r="A146" s="31">
        <v>10019276</v>
      </c>
      <c r="B146" s="31" t="s">
        <v>18</v>
      </c>
      <c r="C146" s="31" t="s">
        <v>573</v>
      </c>
      <c r="D146" s="33">
        <v>42265</v>
      </c>
      <c r="E146" s="31">
        <v>93520944</v>
      </c>
      <c r="F146" s="33">
        <v>42261</v>
      </c>
      <c r="G146" s="31"/>
      <c r="H146" s="31">
        <v>1201120</v>
      </c>
      <c r="I146" s="31" t="s">
        <v>117</v>
      </c>
      <c r="J146" s="31">
        <v>1307782</v>
      </c>
      <c r="K146" s="31" t="s">
        <v>119</v>
      </c>
      <c r="L146" s="31">
        <v>1171090</v>
      </c>
      <c r="M146" s="31" t="s">
        <v>118</v>
      </c>
      <c r="N146" s="31" t="s">
        <v>731</v>
      </c>
      <c r="O146" s="31"/>
      <c r="P146" s="31"/>
      <c r="Q146" s="31" t="s">
        <v>181</v>
      </c>
      <c r="R146" s="31" t="s">
        <v>97</v>
      </c>
      <c r="S146" s="31" t="s">
        <v>98</v>
      </c>
      <c r="T146" s="31">
        <v>288</v>
      </c>
      <c r="U146" s="31" t="s">
        <v>182</v>
      </c>
      <c r="V146" s="31"/>
      <c r="W146" s="31" t="s">
        <v>63</v>
      </c>
      <c r="X146" s="31" t="s">
        <v>70</v>
      </c>
      <c r="Y146" s="31" t="s">
        <v>76</v>
      </c>
      <c r="Z146" s="33">
        <v>42271</v>
      </c>
      <c r="AA146" s="31" t="s">
        <v>64</v>
      </c>
      <c r="AB146" s="33">
        <v>42265</v>
      </c>
      <c r="AC146" s="31"/>
      <c r="AD146" s="31"/>
      <c r="AE146" s="31"/>
      <c r="AF146" s="31" t="s">
        <v>183</v>
      </c>
      <c r="AG146" s="31"/>
      <c r="AH146" s="31">
        <v>0</v>
      </c>
      <c r="AI146" s="31"/>
      <c r="AJ146" s="31"/>
      <c r="AK146" s="31">
        <v>0</v>
      </c>
      <c r="AL146" s="31">
        <v>0</v>
      </c>
      <c r="AM146" s="31">
        <v>0</v>
      </c>
      <c r="AN146" s="31" t="s">
        <v>732</v>
      </c>
      <c r="AO146" s="31" t="s">
        <v>77</v>
      </c>
      <c r="AP146" s="31" t="s">
        <v>733</v>
      </c>
    </row>
    <row r="147" spans="1:42" x14ac:dyDescent="0.2">
      <c r="A147" s="31">
        <v>10019277</v>
      </c>
      <c r="B147" s="31" t="s">
        <v>26</v>
      </c>
      <c r="C147" s="31" t="s">
        <v>78</v>
      </c>
      <c r="D147" s="33">
        <v>42265</v>
      </c>
      <c r="E147" s="31">
        <v>93487723</v>
      </c>
      <c r="F147" s="33">
        <v>42235</v>
      </c>
      <c r="G147" s="31"/>
      <c r="H147" s="31">
        <v>1308875</v>
      </c>
      <c r="I147" s="31" t="s">
        <v>734</v>
      </c>
      <c r="J147" s="31">
        <v>1308875</v>
      </c>
      <c r="K147" s="31" t="s">
        <v>734</v>
      </c>
      <c r="L147" s="31">
        <v>1171089</v>
      </c>
      <c r="M147" s="31" t="s">
        <v>75</v>
      </c>
      <c r="N147" s="31">
        <v>39517</v>
      </c>
      <c r="O147" s="31"/>
      <c r="P147" s="31"/>
      <c r="Q147" s="31" t="s">
        <v>181</v>
      </c>
      <c r="R147" s="31" t="s">
        <v>102</v>
      </c>
      <c r="S147" s="31" t="s">
        <v>103</v>
      </c>
      <c r="T147" s="31">
        <v>330.12</v>
      </c>
      <c r="U147" s="31" t="s">
        <v>182</v>
      </c>
      <c r="V147" s="31"/>
      <c r="W147" s="31" t="s">
        <v>63</v>
      </c>
      <c r="X147" s="31"/>
      <c r="Y147" s="31"/>
      <c r="Z147" s="31"/>
      <c r="AA147" s="31" t="s">
        <v>64</v>
      </c>
      <c r="AB147" s="33">
        <v>42265</v>
      </c>
      <c r="AC147" s="31"/>
      <c r="AD147" s="31"/>
      <c r="AE147" s="31"/>
      <c r="AF147" s="31" t="s">
        <v>183</v>
      </c>
      <c r="AG147" s="31"/>
      <c r="AH147" s="31">
        <v>0</v>
      </c>
      <c r="AI147" s="31"/>
      <c r="AJ147" s="31"/>
      <c r="AK147" s="31">
        <v>0</v>
      </c>
      <c r="AL147" s="31">
        <v>0</v>
      </c>
      <c r="AM147" s="31">
        <v>0</v>
      </c>
      <c r="AN147" s="31">
        <v>636808609015</v>
      </c>
      <c r="AO147" s="31"/>
      <c r="AP147" s="31"/>
    </row>
    <row r="148" spans="1:42" x14ac:dyDescent="0.2">
      <c r="A148" s="31">
        <v>10019278</v>
      </c>
      <c r="B148" s="31" t="s">
        <v>26</v>
      </c>
      <c r="C148" s="31" t="s">
        <v>78</v>
      </c>
      <c r="D148" s="33">
        <v>42265</v>
      </c>
      <c r="E148" s="31">
        <v>93521261</v>
      </c>
      <c r="F148" s="33">
        <v>42261</v>
      </c>
      <c r="G148" s="31"/>
      <c r="H148" s="31">
        <v>1201483</v>
      </c>
      <c r="I148" s="31" t="s">
        <v>147</v>
      </c>
      <c r="J148" s="31">
        <v>1001169</v>
      </c>
      <c r="K148" s="31" t="s">
        <v>148</v>
      </c>
      <c r="L148" s="31">
        <v>1201483</v>
      </c>
      <c r="M148" s="31" t="s">
        <v>147</v>
      </c>
      <c r="N148" s="31">
        <v>93699</v>
      </c>
      <c r="O148" s="31"/>
      <c r="P148" s="31"/>
      <c r="Q148" s="31" t="s">
        <v>181</v>
      </c>
      <c r="R148" s="31" t="s">
        <v>97</v>
      </c>
      <c r="S148" s="31" t="s">
        <v>98</v>
      </c>
      <c r="T148" s="31">
        <v>70.319999999999993</v>
      </c>
      <c r="U148" s="31" t="s">
        <v>182</v>
      </c>
      <c r="V148" s="31"/>
      <c r="W148" s="31" t="s">
        <v>63</v>
      </c>
      <c r="X148" s="31" t="s">
        <v>94</v>
      </c>
      <c r="Y148" s="31" t="s">
        <v>95</v>
      </c>
      <c r="Z148" s="33">
        <v>42269</v>
      </c>
      <c r="AA148" s="31" t="s">
        <v>64</v>
      </c>
      <c r="AB148" s="33">
        <v>42265</v>
      </c>
      <c r="AC148" s="31"/>
      <c r="AD148" s="31"/>
      <c r="AE148" s="31"/>
      <c r="AF148" s="31" t="s">
        <v>183</v>
      </c>
      <c r="AG148" s="31"/>
      <c r="AH148" s="31">
        <v>0</v>
      </c>
      <c r="AI148" s="31"/>
      <c r="AJ148" s="31"/>
      <c r="AK148" s="31">
        <v>0</v>
      </c>
      <c r="AL148" s="31">
        <v>0</v>
      </c>
      <c r="AM148" s="31">
        <v>0</v>
      </c>
      <c r="AN148" s="31" t="s">
        <v>735</v>
      </c>
      <c r="AO148" s="31" t="s">
        <v>96</v>
      </c>
      <c r="AP148" s="31" t="s">
        <v>716</v>
      </c>
    </row>
    <row r="149" spans="1:42" x14ac:dyDescent="0.2">
      <c r="A149" s="31">
        <v>10019279</v>
      </c>
      <c r="B149" s="31" t="s">
        <v>22</v>
      </c>
      <c r="C149" s="31" t="s">
        <v>78</v>
      </c>
      <c r="D149" s="33">
        <v>42265</v>
      </c>
      <c r="E149" s="31">
        <v>93521261</v>
      </c>
      <c r="F149" s="33">
        <v>42261</v>
      </c>
      <c r="G149" s="31"/>
      <c r="H149" s="31">
        <v>1201483</v>
      </c>
      <c r="I149" s="31" t="s">
        <v>147</v>
      </c>
      <c r="J149" s="31">
        <v>1001169</v>
      </c>
      <c r="K149" s="31" t="s">
        <v>148</v>
      </c>
      <c r="L149" s="31">
        <v>1201483</v>
      </c>
      <c r="M149" s="31" t="s">
        <v>147</v>
      </c>
      <c r="N149" s="31">
        <v>93699</v>
      </c>
      <c r="O149" s="31"/>
      <c r="P149" s="31"/>
      <c r="Q149" s="31" t="s">
        <v>181</v>
      </c>
      <c r="R149" s="31" t="s">
        <v>97</v>
      </c>
      <c r="S149" s="31" t="s">
        <v>98</v>
      </c>
      <c r="T149" s="31">
        <v>55.2</v>
      </c>
      <c r="U149" s="31" t="s">
        <v>182</v>
      </c>
      <c r="V149" s="31"/>
      <c r="W149" s="31" t="s">
        <v>63</v>
      </c>
      <c r="X149" s="31" t="s">
        <v>94</v>
      </c>
      <c r="Y149" s="31" t="s">
        <v>141</v>
      </c>
      <c r="Z149" s="33">
        <v>42276</v>
      </c>
      <c r="AA149" s="31" t="s">
        <v>64</v>
      </c>
      <c r="AB149" s="33">
        <v>42265</v>
      </c>
      <c r="AC149" s="31"/>
      <c r="AD149" s="31"/>
      <c r="AE149" s="31"/>
      <c r="AF149" s="31" t="s">
        <v>183</v>
      </c>
      <c r="AG149" s="31"/>
      <c r="AH149" s="31">
        <v>0</v>
      </c>
      <c r="AI149" s="31"/>
      <c r="AJ149" s="31"/>
      <c r="AK149" s="31">
        <v>0</v>
      </c>
      <c r="AL149" s="31">
        <v>0</v>
      </c>
      <c r="AM149" s="31">
        <v>0</v>
      </c>
      <c r="AN149" s="31" t="s">
        <v>736</v>
      </c>
      <c r="AO149" s="31" t="s">
        <v>142</v>
      </c>
      <c r="AP149" s="31" t="s">
        <v>737</v>
      </c>
    </row>
    <row r="150" spans="1:42" x14ac:dyDescent="0.2">
      <c r="A150" s="31">
        <v>10019280</v>
      </c>
      <c r="B150" s="31" t="s">
        <v>18</v>
      </c>
      <c r="C150" s="31" t="s">
        <v>78</v>
      </c>
      <c r="D150" s="33">
        <v>42265</v>
      </c>
      <c r="E150" s="31">
        <v>93521261</v>
      </c>
      <c r="F150" s="33">
        <v>42261</v>
      </c>
      <c r="G150" s="31"/>
      <c r="H150" s="31">
        <v>1201483</v>
      </c>
      <c r="I150" s="31" t="s">
        <v>147</v>
      </c>
      <c r="J150" s="31">
        <v>1001169</v>
      </c>
      <c r="K150" s="31" t="s">
        <v>148</v>
      </c>
      <c r="L150" s="31">
        <v>1201483</v>
      </c>
      <c r="M150" s="31" t="s">
        <v>147</v>
      </c>
      <c r="N150" s="31">
        <v>93699</v>
      </c>
      <c r="O150" s="31"/>
      <c r="P150" s="31"/>
      <c r="Q150" s="31" t="s">
        <v>181</v>
      </c>
      <c r="R150" s="31" t="s">
        <v>97</v>
      </c>
      <c r="S150" s="31" t="s">
        <v>98</v>
      </c>
      <c r="T150" s="31">
        <v>141.97999999999999</v>
      </c>
      <c r="U150" s="31" t="s">
        <v>182</v>
      </c>
      <c r="V150" s="31"/>
      <c r="W150" s="31" t="s">
        <v>63</v>
      </c>
      <c r="X150" s="31" t="s">
        <v>70</v>
      </c>
      <c r="Y150" s="31" t="s">
        <v>76</v>
      </c>
      <c r="Z150" s="33">
        <v>42271</v>
      </c>
      <c r="AA150" s="31" t="s">
        <v>64</v>
      </c>
      <c r="AB150" s="33">
        <v>42265</v>
      </c>
      <c r="AC150" s="31"/>
      <c r="AD150" s="31"/>
      <c r="AE150" s="31"/>
      <c r="AF150" s="31" t="s">
        <v>183</v>
      </c>
      <c r="AG150" s="31"/>
      <c r="AH150" s="31">
        <v>0</v>
      </c>
      <c r="AI150" s="31"/>
      <c r="AJ150" s="31"/>
      <c r="AK150" s="31">
        <v>0</v>
      </c>
      <c r="AL150" s="31">
        <v>0</v>
      </c>
      <c r="AM150" s="31">
        <v>0</v>
      </c>
      <c r="AN150" s="31">
        <v>87944972504137</v>
      </c>
      <c r="AO150" s="31" t="s">
        <v>77</v>
      </c>
      <c r="AP150" s="31" t="s">
        <v>191</v>
      </c>
    </row>
    <row r="151" spans="1:42" x14ac:dyDescent="0.2">
      <c r="A151" s="31">
        <v>10019281</v>
      </c>
      <c r="B151" s="31" t="s">
        <v>18</v>
      </c>
      <c r="C151" s="31" t="s">
        <v>573</v>
      </c>
      <c r="D151" s="33">
        <v>42268</v>
      </c>
      <c r="E151" s="31">
        <v>93520960</v>
      </c>
      <c r="F151" s="33">
        <v>42261</v>
      </c>
      <c r="G151" s="31"/>
      <c r="H151" s="31">
        <v>1201120</v>
      </c>
      <c r="I151" s="31" t="s">
        <v>117</v>
      </c>
      <c r="J151" s="31">
        <v>1307782</v>
      </c>
      <c r="K151" s="31" t="s">
        <v>119</v>
      </c>
      <c r="L151" s="31">
        <v>1171090</v>
      </c>
      <c r="M151" s="31" t="s">
        <v>118</v>
      </c>
      <c r="N151" s="31" t="s">
        <v>645</v>
      </c>
      <c r="O151" s="31"/>
      <c r="P151" s="31"/>
      <c r="Q151" s="31" t="s">
        <v>181</v>
      </c>
      <c r="R151" s="31" t="s">
        <v>97</v>
      </c>
      <c r="S151" s="31" t="s">
        <v>98</v>
      </c>
      <c r="T151" s="31">
        <v>3583.44</v>
      </c>
      <c r="U151" s="31" t="s">
        <v>182</v>
      </c>
      <c r="V151" s="31"/>
      <c r="W151" s="31" t="s">
        <v>63</v>
      </c>
      <c r="X151" s="31" t="s">
        <v>70</v>
      </c>
      <c r="Y151" s="31" t="s">
        <v>76</v>
      </c>
      <c r="Z151" s="33">
        <v>42271</v>
      </c>
      <c r="AA151" s="31" t="s">
        <v>83</v>
      </c>
      <c r="AB151" s="33">
        <v>42269</v>
      </c>
      <c r="AC151" s="31"/>
      <c r="AD151" s="31"/>
      <c r="AE151" s="31"/>
      <c r="AF151" s="31" t="s">
        <v>183</v>
      </c>
      <c r="AG151" s="31"/>
      <c r="AH151" s="31">
        <v>0</v>
      </c>
      <c r="AI151" s="31"/>
      <c r="AJ151" s="31"/>
      <c r="AK151" s="31">
        <v>0</v>
      </c>
      <c r="AL151" s="31">
        <v>0</v>
      </c>
      <c r="AM151" s="31">
        <v>0</v>
      </c>
      <c r="AN151" s="31" t="s">
        <v>738</v>
      </c>
      <c r="AO151" s="31" t="s">
        <v>77</v>
      </c>
      <c r="AP151" s="31" t="s">
        <v>370</v>
      </c>
    </row>
    <row r="152" spans="1:42" x14ac:dyDescent="0.2">
      <c r="A152" s="31">
        <v>10019282</v>
      </c>
      <c r="B152" s="31" t="s">
        <v>18</v>
      </c>
      <c r="C152" s="31" t="s">
        <v>78</v>
      </c>
      <c r="D152" s="33">
        <v>42268</v>
      </c>
      <c r="E152" s="31">
        <v>93520944</v>
      </c>
      <c r="F152" s="33">
        <v>42261</v>
      </c>
      <c r="G152" s="31"/>
      <c r="H152" s="31">
        <v>1201120</v>
      </c>
      <c r="I152" s="31" t="s">
        <v>117</v>
      </c>
      <c r="J152" s="31">
        <v>1307782</v>
      </c>
      <c r="K152" s="31" t="s">
        <v>119</v>
      </c>
      <c r="L152" s="31">
        <v>1171090</v>
      </c>
      <c r="M152" s="31" t="s">
        <v>118</v>
      </c>
      <c r="N152" s="31" t="s">
        <v>731</v>
      </c>
      <c r="O152" s="31"/>
      <c r="P152" s="31"/>
      <c r="Q152" s="31" t="s">
        <v>181</v>
      </c>
      <c r="R152" s="31" t="s">
        <v>97</v>
      </c>
      <c r="S152" s="31" t="s">
        <v>98</v>
      </c>
      <c r="T152" s="31">
        <v>288</v>
      </c>
      <c r="U152" s="31" t="s">
        <v>182</v>
      </c>
      <c r="V152" s="31"/>
      <c r="W152" s="31" t="s">
        <v>63</v>
      </c>
      <c r="X152" s="31" t="s">
        <v>84</v>
      </c>
      <c r="Y152" s="31" t="s">
        <v>82</v>
      </c>
      <c r="Z152" s="33">
        <v>42271</v>
      </c>
      <c r="AA152" s="31" t="s">
        <v>64</v>
      </c>
      <c r="AB152" s="33">
        <v>42268</v>
      </c>
      <c r="AC152" s="31"/>
      <c r="AD152" s="31"/>
      <c r="AE152" s="31"/>
      <c r="AF152" s="31" t="s">
        <v>183</v>
      </c>
      <c r="AG152" s="31"/>
      <c r="AH152" s="31">
        <v>0</v>
      </c>
      <c r="AI152" s="31"/>
      <c r="AJ152" s="31"/>
      <c r="AK152" s="31">
        <v>0</v>
      </c>
      <c r="AL152" s="31">
        <v>0</v>
      </c>
      <c r="AM152" s="31">
        <v>0</v>
      </c>
      <c r="AN152" s="31" t="s">
        <v>732</v>
      </c>
      <c r="AO152" s="31" t="s">
        <v>84</v>
      </c>
      <c r="AP152" s="31" t="s">
        <v>739</v>
      </c>
    </row>
    <row r="153" spans="1:42" x14ac:dyDescent="0.2">
      <c r="A153" s="31">
        <v>10019283</v>
      </c>
      <c r="B153" s="31" t="s">
        <v>26</v>
      </c>
      <c r="C153" s="31" t="s">
        <v>78</v>
      </c>
      <c r="D153" s="33">
        <v>42268</v>
      </c>
      <c r="E153" s="31">
        <v>93515055</v>
      </c>
      <c r="F153" s="33">
        <v>42256</v>
      </c>
      <c r="G153" s="31"/>
      <c r="H153" s="31">
        <v>1201047</v>
      </c>
      <c r="I153" s="31" t="s">
        <v>79</v>
      </c>
      <c r="J153" s="31">
        <v>1022214</v>
      </c>
      <c r="K153" s="31" t="s">
        <v>80</v>
      </c>
      <c r="L153" s="31">
        <v>1171089</v>
      </c>
      <c r="M153" s="31" t="s">
        <v>75</v>
      </c>
      <c r="N153" s="31">
        <v>4739584</v>
      </c>
      <c r="O153" s="31"/>
      <c r="P153" s="31"/>
      <c r="Q153" s="31" t="s">
        <v>181</v>
      </c>
      <c r="R153" s="31" t="s">
        <v>91</v>
      </c>
      <c r="S153" s="31" t="s">
        <v>92</v>
      </c>
      <c r="T153" s="31">
        <v>4273.92</v>
      </c>
      <c r="U153" s="31" t="s">
        <v>182</v>
      </c>
      <c r="V153" s="31"/>
      <c r="W153" s="31" t="s">
        <v>63</v>
      </c>
      <c r="X153" s="31" t="s">
        <v>81</v>
      </c>
      <c r="Y153" s="31" t="s">
        <v>88</v>
      </c>
      <c r="Z153" s="33">
        <v>42270</v>
      </c>
      <c r="AA153" s="31"/>
      <c r="AB153" s="31"/>
      <c r="AC153" s="31"/>
      <c r="AD153" s="31"/>
      <c r="AE153" s="31"/>
      <c r="AF153" s="31" t="s">
        <v>183</v>
      </c>
      <c r="AG153" s="31"/>
      <c r="AH153" s="31">
        <v>0</v>
      </c>
      <c r="AI153" s="31"/>
      <c r="AJ153" s="31"/>
      <c r="AK153" s="31">
        <v>0</v>
      </c>
      <c r="AL153" s="31">
        <v>0</v>
      </c>
      <c r="AM153" s="31">
        <v>0</v>
      </c>
      <c r="AN153" s="31" t="s">
        <v>710</v>
      </c>
      <c r="AO153" s="31" t="s">
        <v>89</v>
      </c>
      <c r="AP153" s="31" t="s">
        <v>274</v>
      </c>
    </row>
    <row r="154" spans="1:42" x14ac:dyDescent="0.2">
      <c r="A154" s="31">
        <v>10019284</v>
      </c>
      <c r="B154" s="31" t="s">
        <v>26</v>
      </c>
      <c r="C154" s="31" t="s">
        <v>78</v>
      </c>
      <c r="D154" s="33">
        <v>42268</v>
      </c>
      <c r="E154" s="31">
        <v>93515025</v>
      </c>
      <c r="F154" s="33">
        <v>42256</v>
      </c>
      <c r="G154" s="31"/>
      <c r="H154" s="31">
        <v>1201047</v>
      </c>
      <c r="I154" s="31" t="s">
        <v>79</v>
      </c>
      <c r="J154" s="31">
        <v>1022214</v>
      </c>
      <c r="K154" s="31" t="s">
        <v>80</v>
      </c>
      <c r="L154" s="31">
        <v>1171089</v>
      </c>
      <c r="M154" s="31" t="s">
        <v>75</v>
      </c>
      <c r="N154" s="31">
        <v>4739584</v>
      </c>
      <c r="O154" s="31"/>
      <c r="P154" s="31"/>
      <c r="Q154" s="31" t="s">
        <v>181</v>
      </c>
      <c r="R154" s="31" t="s">
        <v>91</v>
      </c>
      <c r="S154" s="31" t="s">
        <v>92</v>
      </c>
      <c r="T154" s="31">
        <v>1374</v>
      </c>
      <c r="U154" s="31" t="s">
        <v>182</v>
      </c>
      <c r="V154" s="31"/>
      <c r="W154" s="31" t="s">
        <v>63</v>
      </c>
      <c r="X154" s="31" t="s">
        <v>81</v>
      </c>
      <c r="Y154" s="31" t="s">
        <v>88</v>
      </c>
      <c r="Z154" s="33">
        <v>42270</v>
      </c>
      <c r="AA154" s="31"/>
      <c r="AB154" s="31"/>
      <c r="AC154" s="31"/>
      <c r="AD154" s="31"/>
      <c r="AE154" s="31"/>
      <c r="AF154" s="31" t="s">
        <v>183</v>
      </c>
      <c r="AG154" s="31"/>
      <c r="AH154" s="31">
        <v>0</v>
      </c>
      <c r="AI154" s="31"/>
      <c r="AJ154" s="31"/>
      <c r="AK154" s="31">
        <v>0</v>
      </c>
      <c r="AL154" s="31">
        <v>0</v>
      </c>
      <c r="AM154" s="31">
        <v>0</v>
      </c>
      <c r="AN154" s="31" t="s">
        <v>710</v>
      </c>
      <c r="AO154" s="31" t="s">
        <v>89</v>
      </c>
      <c r="AP154" s="31" t="s">
        <v>274</v>
      </c>
    </row>
    <row r="155" spans="1:42" x14ac:dyDescent="0.2">
      <c r="A155" s="31">
        <v>10019285</v>
      </c>
      <c r="B155" s="31" t="s">
        <v>18</v>
      </c>
      <c r="C155" s="31" t="s">
        <v>573</v>
      </c>
      <c r="D155" s="33">
        <v>42268</v>
      </c>
      <c r="E155" s="31">
        <v>93522984</v>
      </c>
      <c r="F155" s="33">
        <v>42262</v>
      </c>
      <c r="G155" s="31"/>
      <c r="H155" s="31">
        <v>1201120</v>
      </c>
      <c r="I155" s="31" t="s">
        <v>117</v>
      </c>
      <c r="J155" s="31">
        <v>1307782</v>
      </c>
      <c r="K155" s="31" t="s">
        <v>119</v>
      </c>
      <c r="L155" s="31">
        <v>1171090</v>
      </c>
      <c r="M155" s="31" t="s">
        <v>118</v>
      </c>
      <c r="N155" s="31" t="s">
        <v>740</v>
      </c>
      <c r="O155" s="31"/>
      <c r="P155" s="31"/>
      <c r="Q155" s="31" t="s">
        <v>181</v>
      </c>
      <c r="R155" s="31" t="s">
        <v>97</v>
      </c>
      <c r="S155" s="31" t="s">
        <v>98</v>
      </c>
      <c r="T155" s="31">
        <v>181.53</v>
      </c>
      <c r="U155" s="31" t="s">
        <v>182</v>
      </c>
      <c r="V155" s="31"/>
      <c r="W155" s="31" t="s">
        <v>63</v>
      </c>
      <c r="X155" s="31" t="s">
        <v>70</v>
      </c>
      <c r="Y155" s="31" t="s">
        <v>76</v>
      </c>
      <c r="Z155" s="33">
        <v>42271</v>
      </c>
      <c r="AA155" s="31" t="s">
        <v>64</v>
      </c>
      <c r="AB155" s="33">
        <v>42268</v>
      </c>
      <c r="AC155" s="31"/>
      <c r="AD155" s="31"/>
      <c r="AE155" s="31"/>
      <c r="AF155" s="31" t="s">
        <v>183</v>
      </c>
      <c r="AG155" s="31"/>
      <c r="AH155" s="31">
        <v>0</v>
      </c>
      <c r="AI155" s="31"/>
      <c r="AJ155" s="31"/>
      <c r="AK155" s="31">
        <v>0</v>
      </c>
      <c r="AL155" s="31">
        <v>0</v>
      </c>
      <c r="AM155" s="31">
        <v>0</v>
      </c>
      <c r="AN155" s="31" t="s">
        <v>741</v>
      </c>
      <c r="AO155" s="31" t="s">
        <v>77</v>
      </c>
      <c r="AP155" s="31" t="s">
        <v>228</v>
      </c>
    </row>
    <row r="156" spans="1:42" x14ac:dyDescent="0.2">
      <c r="A156" s="31">
        <v>10019286</v>
      </c>
      <c r="B156" s="31" t="s">
        <v>18</v>
      </c>
      <c r="C156" s="31" t="s">
        <v>573</v>
      </c>
      <c r="D156" s="33">
        <v>42268</v>
      </c>
      <c r="E156" s="31">
        <v>93522980</v>
      </c>
      <c r="F156" s="33">
        <v>42262</v>
      </c>
      <c r="G156" s="31"/>
      <c r="H156" s="31">
        <v>1201120</v>
      </c>
      <c r="I156" s="31" t="s">
        <v>117</v>
      </c>
      <c r="J156" s="31">
        <v>1307782</v>
      </c>
      <c r="K156" s="31" t="s">
        <v>119</v>
      </c>
      <c r="L156" s="31">
        <v>1171090</v>
      </c>
      <c r="M156" s="31" t="s">
        <v>118</v>
      </c>
      <c r="N156" s="31" t="s">
        <v>742</v>
      </c>
      <c r="O156" s="31"/>
      <c r="P156" s="31"/>
      <c r="Q156" s="31" t="s">
        <v>181</v>
      </c>
      <c r="R156" s="31" t="s">
        <v>97</v>
      </c>
      <c r="S156" s="31" t="s">
        <v>98</v>
      </c>
      <c r="T156" s="31">
        <v>214.2</v>
      </c>
      <c r="U156" s="31" t="s">
        <v>182</v>
      </c>
      <c r="V156" s="31"/>
      <c r="W156" s="31" t="s">
        <v>63</v>
      </c>
      <c r="X156" s="31" t="s">
        <v>70</v>
      </c>
      <c r="Y156" s="31" t="s">
        <v>76</v>
      </c>
      <c r="Z156" s="33">
        <v>42271</v>
      </c>
      <c r="AA156" s="31" t="s">
        <v>64</v>
      </c>
      <c r="AB156" s="33">
        <v>42268</v>
      </c>
      <c r="AC156" s="31"/>
      <c r="AD156" s="31"/>
      <c r="AE156" s="31"/>
      <c r="AF156" s="31" t="s">
        <v>183</v>
      </c>
      <c r="AG156" s="31"/>
      <c r="AH156" s="31">
        <v>0</v>
      </c>
      <c r="AI156" s="31"/>
      <c r="AJ156" s="31"/>
      <c r="AK156" s="31">
        <v>0</v>
      </c>
      <c r="AL156" s="31">
        <v>0</v>
      </c>
      <c r="AM156" s="31">
        <v>0</v>
      </c>
      <c r="AN156" s="31" t="s">
        <v>743</v>
      </c>
      <c r="AO156" s="31" t="s">
        <v>77</v>
      </c>
      <c r="AP156" s="31" t="s">
        <v>241</v>
      </c>
    </row>
    <row r="157" spans="1:42" x14ac:dyDescent="0.2">
      <c r="A157" s="31">
        <v>10019287</v>
      </c>
      <c r="B157" s="31" t="s">
        <v>26</v>
      </c>
      <c r="C157" s="31" t="s">
        <v>573</v>
      </c>
      <c r="D157" s="33">
        <v>42268</v>
      </c>
      <c r="E157" s="31">
        <v>93526849</v>
      </c>
      <c r="F157" s="33">
        <v>42265</v>
      </c>
      <c r="G157" s="31"/>
      <c r="H157" s="31">
        <v>1201120</v>
      </c>
      <c r="I157" s="31" t="s">
        <v>117</v>
      </c>
      <c r="J157" s="31">
        <v>1307782</v>
      </c>
      <c r="K157" s="31" t="s">
        <v>119</v>
      </c>
      <c r="L157" s="31">
        <v>1171090</v>
      </c>
      <c r="M157" s="31" t="s">
        <v>118</v>
      </c>
      <c r="N157" s="31" t="s">
        <v>744</v>
      </c>
      <c r="O157" s="31"/>
      <c r="P157" s="31"/>
      <c r="Q157" s="31" t="s">
        <v>181</v>
      </c>
      <c r="R157" s="31" t="s">
        <v>91</v>
      </c>
      <c r="S157" s="31" t="s">
        <v>92</v>
      </c>
      <c r="T157" s="31">
        <v>144</v>
      </c>
      <c r="U157" s="31" t="s">
        <v>182</v>
      </c>
      <c r="V157" s="31"/>
      <c r="W157" s="31" t="s">
        <v>63</v>
      </c>
      <c r="X157" s="31" t="s">
        <v>94</v>
      </c>
      <c r="Y157" s="31" t="s">
        <v>95</v>
      </c>
      <c r="Z157" s="33">
        <v>42275</v>
      </c>
      <c r="AA157" s="31" t="s">
        <v>64</v>
      </c>
      <c r="AB157" s="33">
        <v>42268</v>
      </c>
      <c r="AC157" s="31"/>
      <c r="AD157" s="31"/>
      <c r="AE157" s="31"/>
      <c r="AF157" s="31" t="s">
        <v>183</v>
      </c>
      <c r="AG157" s="31"/>
      <c r="AH157" s="31">
        <v>0</v>
      </c>
      <c r="AI157" s="31"/>
      <c r="AJ157" s="31"/>
      <c r="AK157" s="31">
        <v>0</v>
      </c>
      <c r="AL157" s="31">
        <v>0</v>
      </c>
      <c r="AM157" s="31">
        <v>0</v>
      </c>
      <c r="AN157" s="31" t="s">
        <v>745</v>
      </c>
      <c r="AO157" s="31" t="s">
        <v>96</v>
      </c>
      <c r="AP157" s="31" t="s">
        <v>746</v>
      </c>
    </row>
    <row r="158" spans="1:42" x14ac:dyDescent="0.2">
      <c r="A158" s="31">
        <v>10019288</v>
      </c>
      <c r="B158" s="31" t="s">
        <v>18</v>
      </c>
      <c r="C158" s="31" t="s">
        <v>78</v>
      </c>
      <c r="D158" s="33">
        <v>42268</v>
      </c>
      <c r="E158" s="31">
        <v>93526856</v>
      </c>
      <c r="F158" s="33">
        <v>42265</v>
      </c>
      <c r="G158" s="31"/>
      <c r="H158" s="31">
        <v>1201120</v>
      </c>
      <c r="I158" s="31" t="s">
        <v>117</v>
      </c>
      <c r="J158" s="31">
        <v>1307782</v>
      </c>
      <c r="K158" s="31" t="s">
        <v>119</v>
      </c>
      <c r="L158" s="31">
        <v>1171090</v>
      </c>
      <c r="M158" s="31" t="s">
        <v>118</v>
      </c>
      <c r="N158" s="31" t="s">
        <v>747</v>
      </c>
      <c r="O158" s="31"/>
      <c r="P158" s="31"/>
      <c r="Q158" s="31" t="s">
        <v>181</v>
      </c>
      <c r="R158" s="31" t="s">
        <v>123</v>
      </c>
      <c r="S158" s="31" t="s">
        <v>124</v>
      </c>
      <c r="T158" s="31">
        <v>296.38</v>
      </c>
      <c r="U158" s="31" t="s">
        <v>182</v>
      </c>
      <c r="V158" s="31"/>
      <c r="W158" s="31" t="s">
        <v>63</v>
      </c>
      <c r="X158" s="31" t="s">
        <v>70</v>
      </c>
      <c r="Y158" s="31" t="s">
        <v>76</v>
      </c>
      <c r="Z158" s="33">
        <v>42268</v>
      </c>
      <c r="AA158" s="31" t="s">
        <v>64</v>
      </c>
      <c r="AB158" s="33">
        <v>42268</v>
      </c>
      <c r="AC158" s="31"/>
      <c r="AD158" s="31"/>
      <c r="AE158" s="31"/>
      <c r="AF158" s="31" t="s">
        <v>183</v>
      </c>
      <c r="AG158" s="31"/>
      <c r="AH158" s="31">
        <v>0</v>
      </c>
      <c r="AI158" s="31"/>
      <c r="AJ158" s="31"/>
      <c r="AK158" s="31">
        <v>0</v>
      </c>
      <c r="AL158" s="31">
        <v>0</v>
      </c>
      <c r="AM158" s="31">
        <v>0</v>
      </c>
      <c r="AN158" s="31" t="s">
        <v>748</v>
      </c>
      <c r="AO158" s="31" t="s">
        <v>77</v>
      </c>
      <c r="AP158" s="31" t="s">
        <v>196</v>
      </c>
    </row>
    <row r="159" spans="1:42" x14ac:dyDescent="0.2">
      <c r="A159" s="31">
        <v>10019289</v>
      </c>
      <c r="B159" s="31" t="s">
        <v>18</v>
      </c>
      <c r="C159" s="31" t="s">
        <v>78</v>
      </c>
      <c r="D159" s="33">
        <v>42268</v>
      </c>
      <c r="E159" s="31">
        <v>93511857</v>
      </c>
      <c r="F159" s="33">
        <v>42251</v>
      </c>
      <c r="G159" s="33">
        <v>42255</v>
      </c>
      <c r="H159" s="31">
        <v>1201215</v>
      </c>
      <c r="I159" s="31" t="s">
        <v>138</v>
      </c>
      <c r="J159" s="31">
        <v>1324492</v>
      </c>
      <c r="K159" s="31" t="s">
        <v>138</v>
      </c>
      <c r="L159" s="31">
        <v>1201215</v>
      </c>
      <c r="M159" s="31" t="s">
        <v>138</v>
      </c>
      <c r="N159" s="31" t="s">
        <v>588</v>
      </c>
      <c r="O159" s="31"/>
      <c r="P159" s="31"/>
      <c r="Q159" s="31" t="s">
        <v>181</v>
      </c>
      <c r="R159" s="31" t="s">
        <v>67</v>
      </c>
      <c r="S159" s="31" t="s">
        <v>68</v>
      </c>
      <c r="T159" s="31">
        <v>890.64</v>
      </c>
      <c r="U159" s="31" t="s">
        <v>182</v>
      </c>
      <c r="V159" s="31"/>
      <c r="W159" s="31" t="s">
        <v>63</v>
      </c>
      <c r="X159" s="31" t="s">
        <v>70</v>
      </c>
      <c r="Y159" s="31" t="s">
        <v>76</v>
      </c>
      <c r="Z159" s="33">
        <v>42268</v>
      </c>
      <c r="AA159" s="31" t="s">
        <v>64</v>
      </c>
      <c r="AB159" s="33">
        <v>42268</v>
      </c>
      <c r="AC159" s="31"/>
      <c r="AD159" s="31"/>
      <c r="AE159" s="31"/>
      <c r="AF159" s="31" t="s">
        <v>183</v>
      </c>
      <c r="AG159" s="31"/>
      <c r="AH159" s="31">
        <v>0</v>
      </c>
      <c r="AI159" s="31"/>
      <c r="AJ159" s="31"/>
      <c r="AK159" s="31">
        <v>0</v>
      </c>
      <c r="AL159" s="31">
        <v>0</v>
      </c>
      <c r="AM159" s="31">
        <v>0</v>
      </c>
      <c r="AN159" s="31">
        <v>2795190834</v>
      </c>
      <c r="AO159" s="31" t="s">
        <v>77</v>
      </c>
      <c r="AP159" s="31" t="s">
        <v>370</v>
      </c>
    </row>
    <row r="160" spans="1:42" x14ac:dyDescent="0.2">
      <c r="A160" s="31">
        <v>10019290</v>
      </c>
      <c r="B160" s="31" t="s">
        <v>18</v>
      </c>
      <c r="C160" s="31" t="s">
        <v>78</v>
      </c>
      <c r="D160" s="33">
        <v>42268</v>
      </c>
      <c r="E160" s="31">
        <v>93525427</v>
      </c>
      <c r="F160" s="33">
        <v>42264</v>
      </c>
      <c r="G160" s="31"/>
      <c r="H160" s="31">
        <v>1057544</v>
      </c>
      <c r="I160" s="31" t="s">
        <v>363</v>
      </c>
      <c r="J160" s="31">
        <v>1327308</v>
      </c>
      <c r="K160" s="31" t="s">
        <v>363</v>
      </c>
      <c r="L160" s="31">
        <v>1057544</v>
      </c>
      <c r="M160" s="31" t="s">
        <v>363</v>
      </c>
      <c r="N160" s="31">
        <v>8119181</v>
      </c>
      <c r="O160" s="31"/>
      <c r="P160" s="31"/>
      <c r="Q160" s="31" t="s">
        <v>181</v>
      </c>
      <c r="R160" s="31" t="s">
        <v>102</v>
      </c>
      <c r="S160" s="31" t="s">
        <v>103</v>
      </c>
      <c r="T160" s="31">
        <v>115.48</v>
      </c>
      <c r="U160" s="31" t="s">
        <v>182</v>
      </c>
      <c r="V160" s="31"/>
      <c r="W160" s="31" t="s">
        <v>63</v>
      </c>
      <c r="X160" s="31" t="s">
        <v>70</v>
      </c>
      <c r="Y160" s="31" t="s">
        <v>76</v>
      </c>
      <c r="Z160" s="33">
        <v>42268</v>
      </c>
      <c r="AA160" s="31" t="s">
        <v>64</v>
      </c>
      <c r="AB160" s="33">
        <v>42268</v>
      </c>
      <c r="AC160" s="31"/>
      <c r="AD160" s="31"/>
      <c r="AE160" s="31"/>
      <c r="AF160" s="31" t="s">
        <v>183</v>
      </c>
      <c r="AG160" s="31"/>
      <c r="AH160" s="31">
        <v>0</v>
      </c>
      <c r="AI160" s="31"/>
      <c r="AJ160" s="31"/>
      <c r="AK160" s="31">
        <v>0</v>
      </c>
      <c r="AL160" s="31">
        <v>0</v>
      </c>
      <c r="AM160" s="31">
        <v>0</v>
      </c>
      <c r="AN160" s="31">
        <v>649275034889</v>
      </c>
      <c r="AO160" s="31" t="s">
        <v>77</v>
      </c>
      <c r="AP160" s="31" t="s">
        <v>749</v>
      </c>
    </row>
    <row r="161" spans="1:42" x14ac:dyDescent="0.2">
      <c r="A161" s="31">
        <v>10019291</v>
      </c>
      <c r="B161" s="31" t="s">
        <v>26</v>
      </c>
      <c r="C161" s="31" t="s">
        <v>78</v>
      </c>
      <c r="D161" s="33">
        <v>42268</v>
      </c>
      <c r="E161" s="31">
        <v>93524750</v>
      </c>
      <c r="F161" s="33">
        <v>42263</v>
      </c>
      <c r="G161" s="31"/>
      <c r="H161" s="31">
        <v>1322771</v>
      </c>
      <c r="I161" s="31" t="s">
        <v>750</v>
      </c>
      <c r="J161" s="31">
        <v>1322771</v>
      </c>
      <c r="K161" s="31" t="s">
        <v>750</v>
      </c>
      <c r="L161" s="31">
        <v>1322771</v>
      </c>
      <c r="M161" s="31" t="s">
        <v>750</v>
      </c>
      <c r="N161" s="31">
        <v>78766</v>
      </c>
      <c r="O161" s="31"/>
      <c r="P161" s="31"/>
      <c r="Q161" s="31" t="s">
        <v>181</v>
      </c>
      <c r="R161" s="31" t="s">
        <v>97</v>
      </c>
      <c r="S161" s="31" t="s">
        <v>98</v>
      </c>
      <c r="T161" s="31">
        <v>86.46</v>
      </c>
      <c r="U161" s="31" t="s">
        <v>182</v>
      </c>
      <c r="V161" s="31"/>
      <c r="W161" s="31" t="s">
        <v>63</v>
      </c>
      <c r="X161" s="31" t="s">
        <v>94</v>
      </c>
      <c r="Y161" s="31" t="s">
        <v>95</v>
      </c>
      <c r="Z161" s="33">
        <v>42275</v>
      </c>
      <c r="AA161" s="31" t="s">
        <v>64</v>
      </c>
      <c r="AB161" s="33">
        <v>42268</v>
      </c>
      <c r="AC161" s="31"/>
      <c r="AD161" s="31"/>
      <c r="AE161" s="31"/>
      <c r="AF161" s="31" t="s">
        <v>183</v>
      </c>
      <c r="AG161" s="31"/>
      <c r="AH161" s="31">
        <v>0</v>
      </c>
      <c r="AI161" s="31"/>
      <c r="AJ161" s="31"/>
      <c r="AK161" s="31">
        <v>0</v>
      </c>
      <c r="AL161" s="31">
        <v>0</v>
      </c>
      <c r="AM161" s="31">
        <v>0</v>
      </c>
      <c r="AN161" s="31" t="s">
        <v>751</v>
      </c>
      <c r="AO161" s="31" t="s">
        <v>96</v>
      </c>
      <c r="AP161" s="31" t="s">
        <v>752</v>
      </c>
    </row>
    <row r="162" spans="1:42" x14ac:dyDescent="0.2">
      <c r="A162" s="31">
        <v>10019292</v>
      </c>
      <c r="B162" s="31" t="s">
        <v>26</v>
      </c>
      <c r="C162" s="31" t="s">
        <v>573</v>
      </c>
      <c r="D162" s="33">
        <v>42269</v>
      </c>
      <c r="E162" s="31">
        <v>93516513</v>
      </c>
      <c r="F162" s="33">
        <v>42257</v>
      </c>
      <c r="G162" s="31"/>
      <c r="H162" s="31">
        <v>1201047</v>
      </c>
      <c r="I162" s="31" t="s">
        <v>79</v>
      </c>
      <c r="J162" s="31">
        <v>1309880</v>
      </c>
      <c r="K162" s="31" t="s">
        <v>108</v>
      </c>
      <c r="L162" s="31">
        <v>1171089</v>
      </c>
      <c r="M162" s="31" t="s">
        <v>75</v>
      </c>
      <c r="N162" s="31">
        <v>18748523</v>
      </c>
      <c r="O162" s="31"/>
      <c r="P162" s="31"/>
      <c r="Q162" s="31" t="s">
        <v>181</v>
      </c>
      <c r="R162" s="31" t="s">
        <v>91</v>
      </c>
      <c r="S162" s="31" t="s">
        <v>92</v>
      </c>
      <c r="T162" s="31">
        <v>1134.92</v>
      </c>
      <c r="U162" s="31" t="s">
        <v>182</v>
      </c>
      <c r="V162" s="31"/>
      <c r="W162" s="31" t="s">
        <v>63</v>
      </c>
      <c r="X162" s="31" t="s">
        <v>81</v>
      </c>
      <c r="Y162" s="31" t="s">
        <v>88</v>
      </c>
      <c r="Z162" s="33">
        <v>42270</v>
      </c>
      <c r="AA162" s="31"/>
      <c r="AB162" s="31"/>
      <c r="AC162" s="31"/>
      <c r="AD162" s="31"/>
      <c r="AE162" s="31"/>
      <c r="AF162" s="31" t="s">
        <v>183</v>
      </c>
      <c r="AG162" s="31"/>
      <c r="AH162" s="31">
        <v>0</v>
      </c>
      <c r="AI162" s="31"/>
      <c r="AJ162" s="31"/>
      <c r="AK162" s="31">
        <v>0</v>
      </c>
      <c r="AL162" s="31">
        <v>0</v>
      </c>
      <c r="AM162" s="31">
        <v>0</v>
      </c>
      <c r="AN162" s="31" t="s">
        <v>753</v>
      </c>
      <c r="AO162" s="31" t="s">
        <v>89</v>
      </c>
      <c r="AP162" s="31" t="s">
        <v>274</v>
      </c>
    </row>
    <row r="163" spans="1:42" x14ac:dyDescent="0.2">
      <c r="A163" s="31">
        <v>10019293</v>
      </c>
      <c r="B163" s="31" t="s">
        <v>18</v>
      </c>
      <c r="C163" s="31" t="s">
        <v>573</v>
      </c>
      <c r="D163" s="33">
        <v>42269</v>
      </c>
      <c r="E163" s="31">
        <v>93521018</v>
      </c>
      <c r="F163" s="33">
        <v>42261</v>
      </c>
      <c r="G163" s="31"/>
      <c r="H163" s="31">
        <v>1201162</v>
      </c>
      <c r="I163" s="31" t="s">
        <v>137</v>
      </c>
      <c r="J163" s="31">
        <v>1320192</v>
      </c>
      <c r="K163" s="31" t="s">
        <v>450</v>
      </c>
      <c r="L163" s="31">
        <v>1201162</v>
      </c>
      <c r="M163" s="31" t="s">
        <v>137</v>
      </c>
      <c r="N163" s="31" t="s">
        <v>754</v>
      </c>
      <c r="O163" s="31"/>
      <c r="P163" s="31"/>
      <c r="Q163" s="31" t="s">
        <v>181</v>
      </c>
      <c r="R163" s="31" t="s">
        <v>102</v>
      </c>
      <c r="S163" s="31" t="s">
        <v>103</v>
      </c>
      <c r="T163" s="31">
        <v>609.4</v>
      </c>
      <c r="U163" s="31" t="s">
        <v>182</v>
      </c>
      <c r="V163" s="31"/>
      <c r="W163" s="31" t="s">
        <v>63</v>
      </c>
      <c r="X163" s="31" t="s">
        <v>70</v>
      </c>
      <c r="Y163" s="31" t="s">
        <v>76</v>
      </c>
      <c r="Z163" s="33">
        <v>42271</v>
      </c>
      <c r="AA163" s="31" t="s">
        <v>64</v>
      </c>
      <c r="AB163" s="33">
        <v>42269</v>
      </c>
      <c r="AC163" s="31"/>
      <c r="AD163" s="31"/>
      <c r="AE163" s="31"/>
      <c r="AF163" s="31" t="s">
        <v>183</v>
      </c>
      <c r="AG163" s="31"/>
      <c r="AH163" s="31">
        <v>0</v>
      </c>
      <c r="AI163" s="31"/>
      <c r="AJ163" s="31"/>
      <c r="AK163" s="31">
        <v>0</v>
      </c>
      <c r="AL163" s="31">
        <v>0</v>
      </c>
      <c r="AM163" s="31">
        <v>0</v>
      </c>
      <c r="AN163" s="31">
        <v>649275028254</v>
      </c>
      <c r="AO163" s="31" t="s">
        <v>77</v>
      </c>
      <c r="AP163" s="31" t="s">
        <v>323</v>
      </c>
    </row>
    <row r="164" spans="1:42" x14ac:dyDescent="0.2">
      <c r="A164" s="31">
        <v>10019294</v>
      </c>
      <c r="B164" s="31" t="s">
        <v>24</v>
      </c>
      <c r="C164" s="31" t="s">
        <v>78</v>
      </c>
      <c r="D164" s="33">
        <v>42269</v>
      </c>
      <c r="E164" s="31">
        <v>93525410</v>
      </c>
      <c r="F164" s="33">
        <v>42264</v>
      </c>
      <c r="G164" s="33">
        <v>42265</v>
      </c>
      <c r="H164" s="31">
        <v>1016311</v>
      </c>
      <c r="I164" s="31" t="s">
        <v>152</v>
      </c>
      <c r="J164" s="31">
        <v>1132034</v>
      </c>
      <c r="K164" s="31" t="s">
        <v>152</v>
      </c>
      <c r="L164" s="31">
        <v>1016311</v>
      </c>
      <c r="M164" s="31" t="s">
        <v>152</v>
      </c>
      <c r="N164" s="31">
        <v>232516</v>
      </c>
      <c r="O164" s="31"/>
      <c r="P164" s="31"/>
      <c r="Q164" s="31" t="s">
        <v>181</v>
      </c>
      <c r="R164" s="31" t="s">
        <v>67</v>
      </c>
      <c r="S164" s="31" t="s">
        <v>68</v>
      </c>
      <c r="T164" s="31">
        <v>198.24</v>
      </c>
      <c r="U164" s="31" t="s">
        <v>182</v>
      </c>
      <c r="V164" s="31"/>
      <c r="W164" s="31" t="s">
        <v>69</v>
      </c>
      <c r="X164" s="31" t="s">
        <v>70</v>
      </c>
      <c r="Y164" s="31" t="s">
        <v>71</v>
      </c>
      <c r="Z164" s="33">
        <v>42270</v>
      </c>
      <c r="AA164" s="31" t="s">
        <v>64</v>
      </c>
      <c r="AB164" s="33">
        <v>42269</v>
      </c>
      <c r="AC164" s="31" t="s">
        <v>72</v>
      </c>
      <c r="AD164" s="31">
        <v>61989328</v>
      </c>
      <c r="AE164" s="33">
        <v>42272</v>
      </c>
      <c r="AF164" s="31" t="s">
        <v>183</v>
      </c>
      <c r="AG164" s="31"/>
      <c r="AH164" s="31">
        <v>0</v>
      </c>
      <c r="AI164" s="31"/>
      <c r="AJ164" s="31"/>
      <c r="AK164" s="31">
        <v>0</v>
      </c>
      <c r="AL164" s="31">
        <v>0</v>
      </c>
      <c r="AM164" s="31">
        <v>0</v>
      </c>
      <c r="AN164" s="31">
        <v>3527008682</v>
      </c>
      <c r="AO164" s="31" t="s">
        <v>73</v>
      </c>
      <c r="AP164" s="31" t="s">
        <v>755</v>
      </c>
    </row>
    <row r="165" spans="1:42" x14ac:dyDescent="0.2">
      <c r="A165" s="31">
        <v>10019295</v>
      </c>
      <c r="B165" s="31" t="s">
        <v>26</v>
      </c>
      <c r="C165" s="31" t="s">
        <v>573</v>
      </c>
      <c r="D165" s="33">
        <v>42269</v>
      </c>
      <c r="E165" s="31">
        <v>93522837</v>
      </c>
      <c r="F165" s="33">
        <v>42262</v>
      </c>
      <c r="G165" s="31"/>
      <c r="H165" s="31">
        <v>1201047</v>
      </c>
      <c r="I165" s="31" t="s">
        <v>79</v>
      </c>
      <c r="J165" s="31">
        <v>1311011</v>
      </c>
      <c r="K165" s="31" t="s">
        <v>85</v>
      </c>
      <c r="L165" s="31">
        <v>1171089</v>
      </c>
      <c r="M165" s="31" t="s">
        <v>75</v>
      </c>
      <c r="N165" s="31">
        <v>19622602</v>
      </c>
      <c r="O165" s="31"/>
      <c r="P165" s="31"/>
      <c r="Q165" s="31" t="s">
        <v>181</v>
      </c>
      <c r="R165" s="31" t="s">
        <v>86</v>
      </c>
      <c r="S165" s="31" t="s">
        <v>87</v>
      </c>
      <c r="T165" s="31">
        <v>1100</v>
      </c>
      <c r="U165" s="31" t="s">
        <v>182</v>
      </c>
      <c r="V165" s="31"/>
      <c r="W165" s="31" t="s">
        <v>63</v>
      </c>
      <c r="X165" s="31" t="s">
        <v>81</v>
      </c>
      <c r="Y165" s="31" t="s">
        <v>88</v>
      </c>
      <c r="Z165" s="33">
        <v>42270</v>
      </c>
      <c r="AA165" s="31"/>
      <c r="AB165" s="31"/>
      <c r="AC165" s="31"/>
      <c r="AD165" s="31"/>
      <c r="AE165" s="31"/>
      <c r="AF165" s="31" t="s">
        <v>183</v>
      </c>
      <c r="AG165" s="31"/>
      <c r="AH165" s="31">
        <v>0</v>
      </c>
      <c r="AI165" s="31"/>
      <c r="AJ165" s="31"/>
      <c r="AK165" s="31">
        <v>0</v>
      </c>
      <c r="AL165" s="31">
        <v>0</v>
      </c>
      <c r="AM165" s="31">
        <v>0</v>
      </c>
      <c r="AN165" s="31" t="s">
        <v>756</v>
      </c>
      <c r="AO165" s="31" t="s">
        <v>89</v>
      </c>
      <c r="AP165" s="31" t="s">
        <v>274</v>
      </c>
    </row>
    <row r="166" spans="1:42" x14ac:dyDescent="0.2">
      <c r="A166" s="31">
        <v>10019296</v>
      </c>
      <c r="B166" s="31" t="s">
        <v>22</v>
      </c>
      <c r="C166" s="31" t="s">
        <v>573</v>
      </c>
      <c r="D166" s="33">
        <v>42269</v>
      </c>
      <c r="E166" s="31">
        <v>93524197</v>
      </c>
      <c r="F166" s="33">
        <v>42263</v>
      </c>
      <c r="G166" s="31"/>
      <c r="H166" s="31">
        <v>1201047</v>
      </c>
      <c r="I166" s="31" t="s">
        <v>79</v>
      </c>
      <c r="J166" s="31">
        <v>1311011</v>
      </c>
      <c r="K166" s="31" t="s">
        <v>85</v>
      </c>
      <c r="L166" s="31">
        <v>1171089</v>
      </c>
      <c r="M166" s="31" t="s">
        <v>75</v>
      </c>
      <c r="N166" s="31">
        <v>19622602</v>
      </c>
      <c r="O166" s="31"/>
      <c r="P166" s="31"/>
      <c r="Q166" s="31" t="s">
        <v>181</v>
      </c>
      <c r="R166" s="31" t="s">
        <v>86</v>
      </c>
      <c r="S166" s="31" t="s">
        <v>87</v>
      </c>
      <c r="T166" s="31">
        <v>825</v>
      </c>
      <c r="U166" s="31" t="s">
        <v>182</v>
      </c>
      <c r="V166" s="31"/>
      <c r="W166" s="31" t="s">
        <v>63</v>
      </c>
      <c r="X166" s="31"/>
      <c r="Y166" s="31"/>
      <c r="Z166" s="31"/>
      <c r="AA166" s="31" t="s">
        <v>64</v>
      </c>
      <c r="AB166" s="33">
        <v>42269</v>
      </c>
      <c r="AC166" s="31"/>
      <c r="AD166" s="31"/>
      <c r="AE166" s="31"/>
      <c r="AF166" s="31" t="s">
        <v>183</v>
      </c>
      <c r="AG166" s="31"/>
      <c r="AH166" s="31">
        <v>0</v>
      </c>
      <c r="AI166" s="31"/>
      <c r="AJ166" s="31"/>
      <c r="AK166" s="31">
        <v>0</v>
      </c>
      <c r="AL166" s="31">
        <v>0</v>
      </c>
      <c r="AM166" s="31">
        <v>0</v>
      </c>
      <c r="AN166" s="31" t="s">
        <v>757</v>
      </c>
      <c r="AO166" s="31"/>
      <c r="AP166" s="31"/>
    </row>
    <row r="167" spans="1:42" x14ac:dyDescent="0.2">
      <c r="A167" s="31">
        <v>10019297</v>
      </c>
      <c r="B167" s="31" t="s">
        <v>18</v>
      </c>
      <c r="C167" s="31" t="s">
        <v>78</v>
      </c>
      <c r="D167" s="33">
        <v>42269</v>
      </c>
      <c r="E167" s="31">
        <v>93524690</v>
      </c>
      <c r="F167" s="33">
        <v>42263</v>
      </c>
      <c r="G167" s="33">
        <v>42268</v>
      </c>
      <c r="H167" s="31">
        <v>1201646</v>
      </c>
      <c r="I167" s="31" t="s">
        <v>164</v>
      </c>
      <c r="J167" s="31">
        <v>1201646</v>
      </c>
      <c r="K167" s="31" t="s">
        <v>164</v>
      </c>
      <c r="L167" s="31">
        <v>1201646</v>
      </c>
      <c r="M167" s="31" t="s">
        <v>164</v>
      </c>
      <c r="N167" s="31">
        <v>8045226</v>
      </c>
      <c r="O167" s="31"/>
      <c r="P167" s="31"/>
      <c r="Q167" s="31" t="s">
        <v>181</v>
      </c>
      <c r="R167" s="31" t="s">
        <v>67</v>
      </c>
      <c r="S167" s="31" t="s">
        <v>68</v>
      </c>
      <c r="T167" s="31">
        <v>62.93</v>
      </c>
      <c r="U167" s="31" t="s">
        <v>182</v>
      </c>
      <c r="V167" s="31"/>
      <c r="W167" s="31" t="s">
        <v>63</v>
      </c>
      <c r="X167" s="31" t="s">
        <v>70</v>
      </c>
      <c r="Y167" s="31" t="s">
        <v>76</v>
      </c>
      <c r="Z167" s="33">
        <v>42271</v>
      </c>
      <c r="AA167" s="31" t="s">
        <v>64</v>
      </c>
      <c r="AB167" s="33">
        <v>42269</v>
      </c>
      <c r="AC167" s="31"/>
      <c r="AD167" s="31"/>
      <c r="AE167" s="31"/>
      <c r="AF167" s="31" t="s">
        <v>183</v>
      </c>
      <c r="AG167" s="31"/>
      <c r="AH167" s="31">
        <v>0</v>
      </c>
      <c r="AI167" s="31"/>
      <c r="AJ167" s="31"/>
      <c r="AK167" s="31">
        <v>0</v>
      </c>
      <c r="AL167" s="31">
        <v>0</v>
      </c>
      <c r="AM167" s="31">
        <v>0</v>
      </c>
      <c r="AN167" s="31">
        <v>3527008516</v>
      </c>
      <c r="AO167" s="31" t="s">
        <v>77</v>
      </c>
      <c r="AP167" s="31" t="s">
        <v>758</v>
      </c>
    </row>
    <row r="168" spans="1:42" x14ac:dyDescent="0.2">
      <c r="A168" s="31">
        <v>10019298</v>
      </c>
      <c r="B168" s="31" t="s">
        <v>18</v>
      </c>
      <c r="C168" s="31" t="s">
        <v>78</v>
      </c>
      <c r="D168" s="33">
        <v>42269</v>
      </c>
      <c r="E168" s="31">
        <v>93510457</v>
      </c>
      <c r="F168" s="33">
        <v>42250</v>
      </c>
      <c r="G168" s="31"/>
      <c r="H168" s="31">
        <v>1201399</v>
      </c>
      <c r="I168" s="31" t="s">
        <v>144</v>
      </c>
      <c r="J168" s="31">
        <v>1334926</v>
      </c>
      <c r="K168" s="31" t="s">
        <v>145</v>
      </c>
      <c r="L168" s="31">
        <v>1171970</v>
      </c>
      <c r="M168" s="31" t="s">
        <v>144</v>
      </c>
      <c r="N168" s="31">
        <v>8106672106</v>
      </c>
      <c r="O168" s="31"/>
      <c r="P168" s="31"/>
      <c r="Q168" s="31" t="s">
        <v>181</v>
      </c>
      <c r="R168" s="31" t="s">
        <v>279</v>
      </c>
      <c r="S168" s="31" t="s">
        <v>280</v>
      </c>
      <c r="T168" s="31">
        <v>18949.2</v>
      </c>
      <c r="U168" s="31" t="s">
        <v>182</v>
      </c>
      <c r="V168" s="31"/>
      <c r="W168" s="31" t="s">
        <v>63</v>
      </c>
      <c r="X168" s="31" t="s">
        <v>70</v>
      </c>
      <c r="Y168" s="31" t="s">
        <v>76</v>
      </c>
      <c r="Z168" s="33">
        <v>42271</v>
      </c>
      <c r="AA168" s="31" t="s">
        <v>83</v>
      </c>
      <c r="AB168" s="33">
        <v>42269</v>
      </c>
      <c r="AC168" s="31"/>
      <c r="AD168" s="31"/>
      <c r="AE168" s="31"/>
      <c r="AF168" s="31" t="s">
        <v>183</v>
      </c>
      <c r="AG168" s="31"/>
      <c r="AH168" s="31">
        <v>0</v>
      </c>
      <c r="AI168" s="31"/>
      <c r="AJ168" s="31"/>
      <c r="AK168" s="31">
        <v>0</v>
      </c>
      <c r="AL168" s="31">
        <v>0</v>
      </c>
      <c r="AM168" s="31">
        <v>0</v>
      </c>
      <c r="AN168" s="31" t="s">
        <v>606</v>
      </c>
      <c r="AO168" s="31" t="s">
        <v>77</v>
      </c>
      <c r="AP168" s="31" t="s">
        <v>759</v>
      </c>
    </row>
    <row r="169" spans="1:42" x14ac:dyDescent="0.2">
      <c r="A169" s="31">
        <v>10019299</v>
      </c>
      <c r="B169" s="31" t="s">
        <v>18</v>
      </c>
      <c r="C169" s="31" t="s">
        <v>78</v>
      </c>
      <c r="D169" s="33">
        <v>42269</v>
      </c>
      <c r="E169" s="31">
        <v>93510349</v>
      </c>
      <c r="F169" s="33">
        <v>42250</v>
      </c>
      <c r="G169" s="33">
        <v>42255</v>
      </c>
      <c r="H169" s="31">
        <v>1201133</v>
      </c>
      <c r="I169" s="31" t="s">
        <v>128</v>
      </c>
      <c r="J169" s="31">
        <v>1325387</v>
      </c>
      <c r="K169" s="31" t="s">
        <v>129</v>
      </c>
      <c r="L169" s="31">
        <v>1171102</v>
      </c>
      <c r="M169" s="31" t="s">
        <v>130</v>
      </c>
      <c r="N169" s="31" t="s">
        <v>590</v>
      </c>
      <c r="O169" s="31"/>
      <c r="P169" s="31"/>
      <c r="Q169" s="31" t="s">
        <v>181</v>
      </c>
      <c r="R169" s="31" t="s">
        <v>67</v>
      </c>
      <c r="S169" s="31" t="s">
        <v>68</v>
      </c>
      <c r="T169" s="31">
        <v>6715.2</v>
      </c>
      <c r="U169" s="31" t="s">
        <v>182</v>
      </c>
      <c r="V169" s="31"/>
      <c r="W169" s="31" t="s">
        <v>63</v>
      </c>
      <c r="X169" s="31" t="s">
        <v>70</v>
      </c>
      <c r="Y169" s="31" t="s">
        <v>76</v>
      </c>
      <c r="Z169" s="33">
        <v>42271</v>
      </c>
      <c r="AA169" s="31" t="s">
        <v>83</v>
      </c>
      <c r="AB169" s="33">
        <v>42270</v>
      </c>
      <c r="AC169" s="31"/>
      <c r="AD169" s="31"/>
      <c r="AE169" s="31"/>
      <c r="AF169" s="31" t="s">
        <v>183</v>
      </c>
      <c r="AG169" s="31"/>
      <c r="AH169" s="31">
        <v>0</v>
      </c>
      <c r="AI169" s="31"/>
      <c r="AJ169" s="31"/>
      <c r="AK169" s="31">
        <v>0</v>
      </c>
      <c r="AL169" s="31">
        <v>0</v>
      </c>
      <c r="AM169" s="31">
        <v>0</v>
      </c>
      <c r="AN169" s="31">
        <v>2795190576</v>
      </c>
      <c r="AO169" s="31" t="s">
        <v>77</v>
      </c>
      <c r="AP169" s="31" t="s">
        <v>760</v>
      </c>
    </row>
    <row r="170" spans="1:42" x14ac:dyDescent="0.2">
      <c r="A170" s="31">
        <v>10019300</v>
      </c>
      <c r="B170" s="31" t="s">
        <v>18</v>
      </c>
      <c r="C170" s="31" t="s">
        <v>573</v>
      </c>
      <c r="D170" s="33">
        <v>42269</v>
      </c>
      <c r="E170" s="31">
        <v>93510140</v>
      </c>
      <c r="F170" s="33">
        <v>42250</v>
      </c>
      <c r="G170" s="31"/>
      <c r="H170" s="31">
        <v>1057544</v>
      </c>
      <c r="I170" s="31" t="s">
        <v>363</v>
      </c>
      <c r="J170" s="31">
        <v>1327308</v>
      </c>
      <c r="K170" s="31" t="s">
        <v>363</v>
      </c>
      <c r="L170" s="31">
        <v>1057544</v>
      </c>
      <c r="M170" s="31" t="s">
        <v>363</v>
      </c>
      <c r="N170" s="31">
        <v>8118238</v>
      </c>
      <c r="O170" s="31"/>
      <c r="P170" s="31"/>
      <c r="Q170" s="31" t="s">
        <v>181</v>
      </c>
      <c r="R170" s="31" t="s">
        <v>102</v>
      </c>
      <c r="S170" s="31" t="s">
        <v>103</v>
      </c>
      <c r="T170" s="31">
        <v>144</v>
      </c>
      <c r="U170" s="31" t="s">
        <v>182</v>
      </c>
      <c r="V170" s="31"/>
      <c r="W170" s="31" t="s">
        <v>63</v>
      </c>
      <c r="X170" s="31" t="s">
        <v>70</v>
      </c>
      <c r="Y170" s="31" t="s">
        <v>76</v>
      </c>
      <c r="Z170" s="33">
        <v>42271</v>
      </c>
      <c r="AA170" s="31" t="s">
        <v>64</v>
      </c>
      <c r="AB170" s="33">
        <v>42269</v>
      </c>
      <c r="AC170" s="31"/>
      <c r="AD170" s="31"/>
      <c r="AE170" s="31"/>
      <c r="AF170" s="31" t="s">
        <v>183</v>
      </c>
      <c r="AG170" s="31"/>
      <c r="AH170" s="31">
        <v>0</v>
      </c>
      <c r="AI170" s="31"/>
      <c r="AJ170" s="31"/>
      <c r="AK170" s="31">
        <v>0</v>
      </c>
      <c r="AL170" s="31">
        <v>0</v>
      </c>
      <c r="AM170" s="31">
        <v>0</v>
      </c>
      <c r="AN170" s="31">
        <v>636808627415</v>
      </c>
      <c r="AO170" s="31" t="s">
        <v>77</v>
      </c>
      <c r="AP170" s="31" t="s">
        <v>761</v>
      </c>
    </row>
    <row r="171" spans="1:42" x14ac:dyDescent="0.2">
      <c r="A171" s="31">
        <v>10019301</v>
      </c>
      <c r="B171" s="31" t="s">
        <v>26</v>
      </c>
      <c r="C171" s="31" t="s">
        <v>78</v>
      </c>
      <c r="D171" s="33">
        <v>42270</v>
      </c>
      <c r="E171" s="31">
        <v>93513854</v>
      </c>
      <c r="F171" s="33">
        <v>42255</v>
      </c>
      <c r="G171" s="31"/>
      <c r="H171" s="31">
        <v>1201120</v>
      </c>
      <c r="I171" s="31" t="s">
        <v>117</v>
      </c>
      <c r="J171" s="31">
        <v>1307782</v>
      </c>
      <c r="K171" s="31" t="s">
        <v>119</v>
      </c>
      <c r="L171" s="31">
        <v>1171090</v>
      </c>
      <c r="M171" s="31" t="s">
        <v>118</v>
      </c>
      <c r="N171" s="31" t="s">
        <v>762</v>
      </c>
      <c r="O171" s="31"/>
      <c r="P171" s="31"/>
      <c r="Q171" s="31" t="s">
        <v>181</v>
      </c>
      <c r="R171" s="31" t="s">
        <v>86</v>
      </c>
      <c r="S171" s="31" t="s">
        <v>87</v>
      </c>
      <c r="T171" s="31">
        <v>12109.68</v>
      </c>
      <c r="U171" s="31" t="s">
        <v>182</v>
      </c>
      <c r="V171" s="31"/>
      <c r="W171" s="31" t="s">
        <v>63</v>
      </c>
      <c r="X171" s="31" t="s">
        <v>94</v>
      </c>
      <c r="Y171" s="31" t="s">
        <v>95</v>
      </c>
      <c r="Z171" s="33">
        <v>42271</v>
      </c>
      <c r="AA171" s="31" t="s">
        <v>83</v>
      </c>
      <c r="AB171" s="33">
        <v>42270</v>
      </c>
      <c r="AC171" s="31"/>
      <c r="AD171" s="31"/>
      <c r="AE171" s="31"/>
      <c r="AF171" s="31" t="s">
        <v>183</v>
      </c>
      <c r="AG171" s="31"/>
      <c r="AH171" s="31">
        <v>0</v>
      </c>
      <c r="AI171" s="31"/>
      <c r="AJ171" s="31"/>
      <c r="AK171" s="31">
        <v>0</v>
      </c>
      <c r="AL171" s="31">
        <v>0</v>
      </c>
      <c r="AM171" s="31">
        <v>0</v>
      </c>
      <c r="AN171" s="31" t="s">
        <v>640</v>
      </c>
      <c r="AO171" s="31" t="s">
        <v>96</v>
      </c>
      <c r="AP171" s="31" t="s">
        <v>763</v>
      </c>
    </row>
    <row r="172" spans="1:42" x14ac:dyDescent="0.2">
      <c r="A172" s="31">
        <v>10019302</v>
      </c>
      <c r="B172" s="31" t="s">
        <v>18</v>
      </c>
      <c r="C172" s="31" t="s">
        <v>78</v>
      </c>
      <c r="D172" s="33">
        <v>42270</v>
      </c>
      <c r="E172" s="31">
        <v>93526738</v>
      </c>
      <c r="F172" s="33">
        <v>42265</v>
      </c>
      <c r="G172" s="31"/>
      <c r="H172" s="31">
        <v>1201047</v>
      </c>
      <c r="I172" s="31" t="s">
        <v>79</v>
      </c>
      <c r="J172" s="31">
        <v>1300235</v>
      </c>
      <c r="K172" s="31" t="s">
        <v>109</v>
      </c>
      <c r="L172" s="31">
        <v>1171089</v>
      </c>
      <c r="M172" s="31" t="s">
        <v>75</v>
      </c>
      <c r="N172" s="31">
        <v>8368913</v>
      </c>
      <c r="O172" s="31"/>
      <c r="P172" s="31"/>
      <c r="Q172" s="31" t="s">
        <v>181</v>
      </c>
      <c r="R172" s="31" t="s">
        <v>91</v>
      </c>
      <c r="S172" s="31" t="s">
        <v>92</v>
      </c>
      <c r="T172" s="31">
        <v>568.76</v>
      </c>
      <c r="U172" s="31" t="s">
        <v>182</v>
      </c>
      <c r="V172" s="31"/>
      <c r="W172" s="31" t="s">
        <v>63</v>
      </c>
      <c r="X172" s="31" t="s">
        <v>70</v>
      </c>
      <c r="Y172" s="31" t="s">
        <v>76</v>
      </c>
      <c r="Z172" s="33">
        <v>42271</v>
      </c>
      <c r="AA172" s="31" t="s">
        <v>64</v>
      </c>
      <c r="AB172" s="33">
        <v>42270</v>
      </c>
      <c r="AC172" s="31"/>
      <c r="AD172" s="31"/>
      <c r="AE172" s="31"/>
      <c r="AF172" s="31" t="s">
        <v>183</v>
      </c>
      <c r="AG172" s="31"/>
      <c r="AH172" s="31">
        <v>0</v>
      </c>
      <c r="AI172" s="31"/>
      <c r="AJ172" s="31"/>
      <c r="AK172" s="31">
        <v>0</v>
      </c>
      <c r="AL172" s="31">
        <v>0</v>
      </c>
      <c r="AM172" s="31">
        <v>0</v>
      </c>
      <c r="AN172" s="31" t="s">
        <v>764</v>
      </c>
      <c r="AO172" s="31" t="s">
        <v>77</v>
      </c>
      <c r="AP172" s="31" t="s">
        <v>355</v>
      </c>
    </row>
    <row r="173" spans="1:42" x14ac:dyDescent="0.2">
      <c r="A173" s="31">
        <v>10019303</v>
      </c>
      <c r="B173" s="31" t="s">
        <v>18</v>
      </c>
      <c r="C173" s="31" t="s">
        <v>78</v>
      </c>
      <c r="D173" s="33">
        <v>42270</v>
      </c>
      <c r="E173" s="31">
        <v>93529651</v>
      </c>
      <c r="F173" s="33">
        <v>42268</v>
      </c>
      <c r="G173" s="33">
        <v>42269</v>
      </c>
      <c r="H173" s="31">
        <v>1201630</v>
      </c>
      <c r="I173" s="31" t="s">
        <v>157</v>
      </c>
      <c r="J173" s="31">
        <v>1000687</v>
      </c>
      <c r="K173" s="31" t="s">
        <v>158</v>
      </c>
      <c r="L173" s="31">
        <v>1201630</v>
      </c>
      <c r="M173" s="31" t="s">
        <v>157</v>
      </c>
      <c r="N173" s="31">
        <v>48727243</v>
      </c>
      <c r="O173" s="31"/>
      <c r="P173" s="31"/>
      <c r="Q173" s="31" t="s">
        <v>181</v>
      </c>
      <c r="R173" s="31" t="s">
        <v>67</v>
      </c>
      <c r="S173" s="31" t="s">
        <v>68</v>
      </c>
      <c r="T173" s="31">
        <v>38.04</v>
      </c>
      <c r="U173" s="31" t="s">
        <v>182</v>
      </c>
      <c r="V173" s="31"/>
      <c r="W173" s="31" t="s">
        <v>63</v>
      </c>
      <c r="X173" s="31" t="s">
        <v>70</v>
      </c>
      <c r="Y173" s="31" t="s">
        <v>76</v>
      </c>
      <c r="Z173" s="33">
        <v>42271</v>
      </c>
      <c r="AA173" s="31" t="s">
        <v>64</v>
      </c>
      <c r="AB173" s="33">
        <v>42270</v>
      </c>
      <c r="AC173" s="31"/>
      <c r="AD173" s="31"/>
      <c r="AE173" s="31"/>
      <c r="AF173" s="31" t="s">
        <v>183</v>
      </c>
      <c r="AG173" s="31"/>
      <c r="AH173" s="31">
        <v>0</v>
      </c>
      <c r="AI173" s="31"/>
      <c r="AJ173" s="31"/>
      <c r="AK173" s="31">
        <v>0</v>
      </c>
      <c r="AL173" s="31">
        <v>0</v>
      </c>
      <c r="AM173" s="31">
        <v>0</v>
      </c>
      <c r="AN173" s="31">
        <v>3527005624</v>
      </c>
      <c r="AO173" s="31" t="s">
        <v>77</v>
      </c>
      <c r="AP173" s="31" t="s">
        <v>228</v>
      </c>
    </row>
    <row r="174" spans="1:42" x14ac:dyDescent="0.2">
      <c r="A174" s="31">
        <v>10019304</v>
      </c>
      <c r="B174" s="31" t="s">
        <v>25</v>
      </c>
      <c r="C174" s="31" t="s">
        <v>78</v>
      </c>
      <c r="D174" s="33">
        <v>42270</v>
      </c>
      <c r="E174" s="31">
        <v>93518734</v>
      </c>
      <c r="F174" s="33">
        <v>42258</v>
      </c>
      <c r="G174" s="33">
        <v>42261</v>
      </c>
      <c r="H174" s="31">
        <v>1201315</v>
      </c>
      <c r="I174" s="31" t="s">
        <v>256</v>
      </c>
      <c r="J174" s="31">
        <v>1319381</v>
      </c>
      <c r="K174" s="31" t="s">
        <v>256</v>
      </c>
      <c r="L174" s="31">
        <v>1201315</v>
      </c>
      <c r="M174" s="31" t="s">
        <v>256</v>
      </c>
      <c r="N174" s="31">
        <v>5618210</v>
      </c>
      <c r="O174" s="31"/>
      <c r="P174" s="31"/>
      <c r="Q174" s="31" t="s">
        <v>181</v>
      </c>
      <c r="R174" s="31" t="s">
        <v>67</v>
      </c>
      <c r="S174" s="31" t="s">
        <v>68</v>
      </c>
      <c r="T174" s="31">
        <v>0</v>
      </c>
      <c r="U174" s="31" t="s">
        <v>182</v>
      </c>
      <c r="V174" s="31"/>
      <c r="W174" s="31" t="s">
        <v>63</v>
      </c>
      <c r="X174" s="31" t="s">
        <v>81</v>
      </c>
      <c r="Y174" s="31" t="s">
        <v>82</v>
      </c>
      <c r="Z174" s="33">
        <v>42273</v>
      </c>
      <c r="AA174" s="31" t="s">
        <v>64</v>
      </c>
      <c r="AB174" s="33">
        <v>42270</v>
      </c>
      <c r="AC174" s="31"/>
      <c r="AD174" s="31"/>
      <c r="AE174" s="31"/>
      <c r="AF174" s="31" t="s">
        <v>183</v>
      </c>
      <c r="AG174" s="31"/>
      <c r="AH174" s="31">
        <v>0</v>
      </c>
      <c r="AI174" s="31"/>
      <c r="AJ174" s="31"/>
      <c r="AK174" s="31">
        <v>0</v>
      </c>
      <c r="AL174" s="31">
        <v>0</v>
      </c>
      <c r="AM174" s="31">
        <v>0</v>
      </c>
      <c r="AN174" s="31">
        <v>2795191210</v>
      </c>
      <c r="AO174" s="31" t="s">
        <v>84</v>
      </c>
      <c r="AP174" s="31" t="s">
        <v>765</v>
      </c>
    </row>
    <row r="175" spans="1:42" x14ac:dyDescent="0.2">
      <c r="A175" s="31">
        <v>10019305</v>
      </c>
      <c r="B175" s="31" t="s">
        <v>18</v>
      </c>
      <c r="C175" s="31" t="s">
        <v>78</v>
      </c>
      <c r="D175" s="33">
        <v>42270</v>
      </c>
      <c r="E175" s="31">
        <v>93526670</v>
      </c>
      <c r="F175" s="33">
        <v>42265</v>
      </c>
      <c r="G175" s="33">
        <v>42269</v>
      </c>
      <c r="H175" s="31">
        <v>1022013</v>
      </c>
      <c r="I175" s="31" t="s">
        <v>114</v>
      </c>
      <c r="J175" s="31">
        <v>1335507</v>
      </c>
      <c r="K175" s="31" t="s">
        <v>114</v>
      </c>
      <c r="L175" s="31">
        <v>1022013</v>
      </c>
      <c r="M175" s="31" t="s">
        <v>114</v>
      </c>
      <c r="N175" s="31">
        <v>75174</v>
      </c>
      <c r="O175" s="31"/>
      <c r="P175" s="31"/>
      <c r="Q175" s="31" t="s">
        <v>181</v>
      </c>
      <c r="R175" s="31" t="s">
        <v>67</v>
      </c>
      <c r="S175" s="31" t="s">
        <v>68</v>
      </c>
      <c r="T175" s="31">
        <v>24.12</v>
      </c>
      <c r="U175" s="31" t="s">
        <v>182</v>
      </c>
      <c r="V175" s="31"/>
      <c r="W175" s="31" t="s">
        <v>63</v>
      </c>
      <c r="X175" s="31" t="s">
        <v>70</v>
      </c>
      <c r="Y175" s="31" t="s">
        <v>76</v>
      </c>
      <c r="Z175" s="33">
        <v>42271</v>
      </c>
      <c r="AA175" s="31" t="s">
        <v>64</v>
      </c>
      <c r="AB175" s="33">
        <v>42270</v>
      </c>
      <c r="AC175" s="31"/>
      <c r="AD175" s="31"/>
      <c r="AE175" s="31"/>
      <c r="AF175" s="31" t="s">
        <v>183</v>
      </c>
      <c r="AG175" s="31"/>
      <c r="AH175" s="31">
        <v>0</v>
      </c>
      <c r="AI175" s="31"/>
      <c r="AJ175" s="31"/>
      <c r="AK175" s="31">
        <v>0</v>
      </c>
      <c r="AL175" s="31">
        <v>0</v>
      </c>
      <c r="AM175" s="31">
        <v>0</v>
      </c>
      <c r="AN175" s="31">
        <v>3527005425</v>
      </c>
      <c r="AO175" s="31" t="s">
        <v>77</v>
      </c>
      <c r="AP175" s="31" t="s">
        <v>386</v>
      </c>
    </row>
    <row r="176" spans="1:42" x14ac:dyDescent="0.2">
      <c r="A176" s="31">
        <v>10019306</v>
      </c>
      <c r="B176" s="31" t="s">
        <v>18</v>
      </c>
      <c r="C176" s="31" t="s">
        <v>78</v>
      </c>
      <c r="D176" s="33">
        <v>42270</v>
      </c>
      <c r="E176" s="31">
        <v>93520830</v>
      </c>
      <c r="F176" s="33">
        <v>42261</v>
      </c>
      <c r="G176" s="31"/>
      <c r="H176" s="31">
        <v>1201047</v>
      </c>
      <c r="I176" s="31" t="s">
        <v>79</v>
      </c>
      <c r="J176" s="31">
        <v>1338648</v>
      </c>
      <c r="K176" s="31" t="s">
        <v>93</v>
      </c>
      <c r="L176" s="31">
        <v>1171089</v>
      </c>
      <c r="M176" s="31" t="s">
        <v>75</v>
      </c>
      <c r="N176" s="31">
        <v>63138341</v>
      </c>
      <c r="O176" s="31"/>
      <c r="P176" s="31"/>
      <c r="Q176" s="31" t="s">
        <v>181</v>
      </c>
      <c r="R176" s="31" t="s">
        <v>86</v>
      </c>
      <c r="S176" s="31" t="s">
        <v>87</v>
      </c>
      <c r="T176" s="31">
        <v>126</v>
      </c>
      <c r="U176" s="31" t="s">
        <v>182</v>
      </c>
      <c r="V176" s="31"/>
      <c r="W176" s="31" t="s">
        <v>63</v>
      </c>
      <c r="X176" s="31" t="s">
        <v>70</v>
      </c>
      <c r="Y176" s="31" t="s">
        <v>76</v>
      </c>
      <c r="Z176" s="33">
        <v>42271</v>
      </c>
      <c r="AA176" s="31" t="s">
        <v>64</v>
      </c>
      <c r="AB176" s="33">
        <v>42270</v>
      </c>
      <c r="AC176" s="31"/>
      <c r="AD176" s="31"/>
      <c r="AE176" s="31"/>
      <c r="AF176" s="31" t="s">
        <v>183</v>
      </c>
      <c r="AG176" s="31"/>
      <c r="AH176" s="31">
        <v>0</v>
      </c>
      <c r="AI176" s="31"/>
      <c r="AJ176" s="31"/>
      <c r="AK176" s="31">
        <v>0</v>
      </c>
      <c r="AL176" s="31">
        <v>0</v>
      </c>
      <c r="AM176" s="31">
        <v>0</v>
      </c>
      <c r="AN176" s="31" t="s">
        <v>725</v>
      </c>
      <c r="AO176" s="31" t="s">
        <v>77</v>
      </c>
      <c r="AP176" s="31" t="s">
        <v>386</v>
      </c>
    </row>
    <row r="177" spans="1:42" x14ac:dyDescent="0.2">
      <c r="A177" s="31">
        <v>10019314</v>
      </c>
      <c r="B177" s="31" t="s">
        <v>18</v>
      </c>
      <c r="C177" s="31" t="s">
        <v>78</v>
      </c>
      <c r="D177" s="33">
        <v>42270</v>
      </c>
      <c r="E177" s="31">
        <v>93526864</v>
      </c>
      <c r="F177" s="33">
        <v>42265</v>
      </c>
      <c r="G177" s="31"/>
      <c r="H177" s="31">
        <v>1201120</v>
      </c>
      <c r="I177" s="31" t="s">
        <v>117</v>
      </c>
      <c r="J177" s="31">
        <v>1307782</v>
      </c>
      <c r="K177" s="31" t="s">
        <v>119</v>
      </c>
      <c r="L177" s="31">
        <v>1171090</v>
      </c>
      <c r="M177" s="31" t="s">
        <v>118</v>
      </c>
      <c r="N177" s="31" t="s">
        <v>766</v>
      </c>
      <c r="O177" s="31"/>
      <c r="P177" s="31"/>
      <c r="Q177" s="31" t="s">
        <v>181</v>
      </c>
      <c r="R177" s="31" t="s">
        <v>91</v>
      </c>
      <c r="S177" s="31" t="s">
        <v>92</v>
      </c>
      <c r="T177" s="31">
        <v>93</v>
      </c>
      <c r="U177" s="31" t="s">
        <v>182</v>
      </c>
      <c r="V177" s="31"/>
      <c r="W177" s="31" t="s">
        <v>63</v>
      </c>
      <c r="X177" s="31" t="s">
        <v>70</v>
      </c>
      <c r="Y177" s="31" t="s">
        <v>76</v>
      </c>
      <c r="Z177" s="33">
        <v>42271</v>
      </c>
      <c r="AA177" s="31" t="s">
        <v>64</v>
      </c>
      <c r="AB177" s="33">
        <v>42270</v>
      </c>
      <c r="AC177" s="31"/>
      <c r="AD177" s="31"/>
      <c r="AE177" s="31"/>
      <c r="AF177" s="31" t="s">
        <v>183</v>
      </c>
      <c r="AG177" s="31"/>
      <c r="AH177" s="31">
        <v>0</v>
      </c>
      <c r="AI177" s="31"/>
      <c r="AJ177" s="31"/>
      <c r="AK177" s="31">
        <v>0</v>
      </c>
      <c r="AL177" s="31">
        <v>0</v>
      </c>
      <c r="AM177" s="31">
        <v>0</v>
      </c>
      <c r="AN177" s="31" t="s">
        <v>745</v>
      </c>
      <c r="AO177" s="31" t="s">
        <v>77</v>
      </c>
      <c r="AP177" s="31" t="s">
        <v>345</v>
      </c>
    </row>
    <row r="178" spans="1:42" x14ac:dyDescent="0.2">
      <c r="A178" s="31">
        <v>10019315</v>
      </c>
      <c r="B178" s="31" t="s">
        <v>18</v>
      </c>
      <c r="C178" s="31" t="s">
        <v>78</v>
      </c>
      <c r="D178" s="33">
        <v>42270</v>
      </c>
      <c r="E178" s="31">
        <v>93527166</v>
      </c>
      <c r="F178" s="33">
        <v>42265</v>
      </c>
      <c r="G178" s="33">
        <v>42269</v>
      </c>
      <c r="H178" s="31">
        <v>1201731</v>
      </c>
      <c r="I178" s="31" t="s">
        <v>342</v>
      </c>
      <c r="J178" s="31">
        <v>1319945</v>
      </c>
      <c r="K178" s="31" t="s">
        <v>343</v>
      </c>
      <c r="L178" s="31">
        <v>1171089</v>
      </c>
      <c r="M178" s="31" t="s">
        <v>75</v>
      </c>
      <c r="N178" s="31">
        <v>300073170</v>
      </c>
      <c r="O178" s="31"/>
      <c r="P178" s="31"/>
      <c r="Q178" s="31" t="s">
        <v>181</v>
      </c>
      <c r="R178" s="31" t="s">
        <v>67</v>
      </c>
      <c r="S178" s="31" t="s">
        <v>68</v>
      </c>
      <c r="T178" s="31">
        <v>100</v>
      </c>
      <c r="U178" s="31" t="s">
        <v>182</v>
      </c>
      <c r="V178" s="31"/>
      <c r="W178" s="31" t="s">
        <v>63</v>
      </c>
      <c r="X178" s="31" t="s">
        <v>70</v>
      </c>
      <c r="Y178" s="31" t="s">
        <v>76</v>
      </c>
      <c r="Z178" s="33">
        <v>42271</v>
      </c>
      <c r="AA178" s="31" t="s">
        <v>64</v>
      </c>
      <c r="AB178" s="33">
        <v>42270</v>
      </c>
      <c r="AC178" s="31"/>
      <c r="AD178" s="31"/>
      <c r="AE178" s="31"/>
      <c r="AF178" s="31" t="s">
        <v>183</v>
      </c>
      <c r="AG178" s="31"/>
      <c r="AH178" s="31">
        <v>0</v>
      </c>
      <c r="AI178" s="31"/>
      <c r="AJ178" s="31"/>
      <c r="AK178" s="31">
        <v>0</v>
      </c>
      <c r="AL178" s="31">
        <v>0</v>
      </c>
      <c r="AM178" s="31">
        <v>0</v>
      </c>
      <c r="AN178" s="31">
        <v>3527005576</v>
      </c>
      <c r="AO178" s="31" t="s">
        <v>77</v>
      </c>
      <c r="AP178" s="31" t="s">
        <v>196</v>
      </c>
    </row>
    <row r="179" spans="1:42" x14ac:dyDescent="0.2">
      <c r="A179" s="31">
        <v>10019316</v>
      </c>
      <c r="B179" s="31" t="s">
        <v>26</v>
      </c>
      <c r="C179" s="31" t="s">
        <v>573</v>
      </c>
      <c r="D179" s="33">
        <v>42271</v>
      </c>
      <c r="E179" s="31">
        <v>93466295</v>
      </c>
      <c r="F179" s="33">
        <v>42219</v>
      </c>
      <c r="G179" s="31"/>
      <c r="H179" s="31">
        <v>1201566</v>
      </c>
      <c r="I179" s="31" t="s">
        <v>154</v>
      </c>
      <c r="J179" s="31">
        <v>1340365</v>
      </c>
      <c r="K179" s="31" t="s">
        <v>694</v>
      </c>
      <c r="L179" s="31">
        <v>1201566</v>
      </c>
      <c r="M179" s="31" t="s">
        <v>154</v>
      </c>
      <c r="N179" s="31">
        <v>2728711</v>
      </c>
      <c r="O179" s="31"/>
      <c r="P179" s="31"/>
      <c r="Q179" s="31" t="s">
        <v>181</v>
      </c>
      <c r="R179" s="31" t="s">
        <v>102</v>
      </c>
      <c r="S179" s="31" t="s">
        <v>103</v>
      </c>
      <c r="T179" s="31">
        <v>474.72</v>
      </c>
      <c r="U179" s="31" t="s">
        <v>182</v>
      </c>
      <c r="V179" s="31"/>
      <c r="W179" s="31" t="s">
        <v>63</v>
      </c>
      <c r="X179" s="31"/>
      <c r="Y179" s="31"/>
      <c r="Z179" s="31"/>
      <c r="AA179" s="31" t="s">
        <v>64</v>
      </c>
      <c r="AB179" s="33">
        <v>42271</v>
      </c>
      <c r="AC179" s="31"/>
      <c r="AD179" s="31"/>
      <c r="AE179" s="31"/>
      <c r="AF179" s="31" t="s">
        <v>183</v>
      </c>
      <c r="AG179" s="31"/>
      <c r="AH179" s="31">
        <v>0</v>
      </c>
      <c r="AI179" s="31"/>
      <c r="AJ179" s="31"/>
      <c r="AK179" s="31">
        <v>0</v>
      </c>
      <c r="AL179" s="31">
        <v>0</v>
      </c>
      <c r="AM179" s="31">
        <v>0</v>
      </c>
      <c r="AN179" s="31">
        <v>636808559083</v>
      </c>
      <c r="AO179" s="31"/>
      <c r="AP179" s="31"/>
    </row>
    <row r="180" spans="1:42" x14ac:dyDescent="0.2">
      <c r="A180" s="31">
        <v>10019317</v>
      </c>
      <c r="B180" s="31" t="s">
        <v>18</v>
      </c>
      <c r="C180" s="31" t="s">
        <v>78</v>
      </c>
      <c r="D180" s="33">
        <v>42271</v>
      </c>
      <c r="E180" s="31">
        <v>93526850</v>
      </c>
      <c r="F180" s="33">
        <v>42265</v>
      </c>
      <c r="G180" s="31"/>
      <c r="H180" s="31">
        <v>1201120</v>
      </c>
      <c r="I180" s="31" t="s">
        <v>117</v>
      </c>
      <c r="J180" s="31">
        <v>1307782</v>
      </c>
      <c r="K180" s="31" t="s">
        <v>119</v>
      </c>
      <c r="L180" s="31">
        <v>1171090</v>
      </c>
      <c r="M180" s="31" t="s">
        <v>118</v>
      </c>
      <c r="N180" s="31" t="s">
        <v>767</v>
      </c>
      <c r="O180" s="31"/>
      <c r="P180" s="31"/>
      <c r="Q180" s="31" t="s">
        <v>181</v>
      </c>
      <c r="R180" s="31" t="s">
        <v>123</v>
      </c>
      <c r="S180" s="31" t="s">
        <v>124</v>
      </c>
      <c r="T180" s="31">
        <v>36755.5</v>
      </c>
      <c r="U180" s="31" t="s">
        <v>182</v>
      </c>
      <c r="V180" s="31"/>
      <c r="W180" s="31" t="s">
        <v>63</v>
      </c>
      <c r="X180" s="31" t="s">
        <v>70</v>
      </c>
      <c r="Y180" s="31" t="s">
        <v>76</v>
      </c>
      <c r="Z180" s="33">
        <v>42275</v>
      </c>
      <c r="AA180" s="31" t="s">
        <v>83</v>
      </c>
      <c r="AB180" s="33">
        <v>42271</v>
      </c>
      <c r="AC180" s="31"/>
      <c r="AD180" s="31"/>
      <c r="AE180" s="31"/>
      <c r="AF180" s="31" t="s">
        <v>183</v>
      </c>
      <c r="AG180" s="31"/>
      <c r="AH180" s="31">
        <v>0</v>
      </c>
      <c r="AI180" s="31"/>
      <c r="AJ180" s="31"/>
      <c r="AK180" s="31">
        <v>0</v>
      </c>
      <c r="AL180" s="31">
        <v>0</v>
      </c>
      <c r="AM180" s="31">
        <v>0</v>
      </c>
      <c r="AN180" s="31" t="s">
        <v>748</v>
      </c>
      <c r="AO180" s="31" t="s">
        <v>77</v>
      </c>
      <c r="AP180" s="31" t="s">
        <v>768</v>
      </c>
    </row>
    <row r="181" spans="1:42" x14ac:dyDescent="0.2">
      <c r="A181" s="31">
        <v>10019318</v>
      </c>
      <c r="B181" s="31" t="s">
        <v>26</v>
      </c>
      <c r="C181" s="31" t="s">
        <v>573</v>
      </c>
      <c r="D181" s="33">
        <v>42271</v>
      </c>
      <c r="E181" s="31">
        <v>93529319</v>
      </c>
      <c r="F181" s="33">
        <v>42268</v>
      </c>
      <c r="G181" s="31"/>
      <c r="H181" s="31">
        <v>1201047</v>
      </c>
      <c r="I181" s="31" t="s">
        <v>79</v>
      </c>
      <c r="J181" s="31">
        <v>1049975</v>
      </c>
      <c r="K181" s="31" t="s">
        <v>247</v>
      </c>
      <c r="L181" s="31">
        <v>1171089</v>
      </c>
      <c r="M181" s="31" t="s">
        <v>75</v>
      </c>
      <c r="N181" s="31">
        <v>44296210</v>
      </c>
      <c r="O181" s="31"/>
      <c r="P181" s="31"/>
      <c r="Q181" s="31" t="s">
        <v>181</v>
      </c>
      <c r="R181" s="31" t="s">
        <v>91</v>
      </c>
      <c r="S181" s="31" t="s">
        <v>92</v>
      </c>
      <c r="T181" s="31">
        <v>4944.96</v>
      </c>
      <c r="U181" s="31" t="s">
        <v>182</v>
      </c>
      <c r="V181" s="31"/>
      <c r="W181" s="31" t="s">
        <v>63</v>
      </c>
      <c r="X181" s="31" t="s">
        <v>94</v>
      </c>
      <c r="Y181" s="31" t="s">
        <v>95</v>
      </c>
      <c r="Z181" s="33">
        <v>42276</v>
      </c>
      <c r="AA181" s="31" t="s">
        <v>83</v>
      </c>
      <c r="AB181" s="33">
        <v>42271</v>
      </c>
      <c r="AC181" s="31"/>
      <c r="AD181" s="31"/>
      <c r="AE181" s="31"/>
      <c r="AF181" s="31" t="s">
        <v>183</v>
      </c>
      <c r="AG181" s="31"/>
      <c r="AH181" s="31">
        <v>0</v>
      </c>
      <c r="AI181" s="31"/>
      <c r="AJ181" s="31"/>
      <c r="AK181" s="31">
        <v>0</v>
      </c>
      <c r="AL181" s="31">
        <v>0</v>
      </c>
      <c r="AM181" s="31">
        <v>0</v>
      </c>
      <c r="AN181" s="31" t="s">
        <v>769</v>
      </c>
      <c r="AO181" s="31" t="s">
        <v>96</v>
      </c>
      <c r="AP181" s="31" t="s">
        <v>770</v>
      </c>
    </row>
    <row r="182" spans="1:42" x14ac:dyDescent="0.2">
      <c r="A182" s="31">
        <v>10019319</v>
      </c>
      <c r="B182" s="31" t="s">
        <v>18</v>
      </c>
      <c r="C182" s="31" t="s">
        <v>573</v>
      </c>
      <c r="D182" s="33">
        <v>42271</v>
      </c>
      <c r="E182" s="31">
        <v>93525812</v>
      </c>
      <c r="F182" s="33">
        <v>42264</v>
      </c>
      <c r="G182" s="33">
        <v>42268</v>
      </c>
      <c r="H182" s="31">
        <v>1201605</v>
      </c>
      <c r="I182" s="31" t="s">
        <v>155</v>
      </c>
      <c r="J182" s="31">
        <v>1023292</v>
      </c>
      <c r="K182" s="31" t="s">
        <v>155</v>
      </c>
      <c r="L182" s="31">
        <v>1172017</v>
      </c>
      <c r="M182" s="31" t="s">
        <v>155</v>
      </c>
      <c r="N182" s="31">
        <v>535021</v>
      </c>
      <c r="O182" s="31"/>
      <c r="P182" s="31"/>
      <c r="Q182" s="31" t="s">
        <v>181</v>
      </c>
      <c r="R182" s="31" t="s">
        <v>67</v>
      </c>
      <c r="S182" s="31" t="s">
        <v>68</v>
      </c>
      <c r="T182" s="31">
        <v>72.67</v>
      </c>
      <c r="U182" s="31" t="s">
        <v>182</v>
      </c>
      <c r="V182" s="31"/>
      <c r="W182" s="31" t="s">
        <v>63</v>
      </c>
      <c r="X182" s="31" t="s">
        <v>70</v>
      </c>
      <c r="Y182" s="31" t="s">
        <v>76</v>
      </c>
      <c r="Z182" s="33">
        <v>42273</v>
      </c>
      <c r="AA182" s="31" t="s">
        <v>64</v>
      </c>
      <c r="AB182" s="33">
        <v>42271</v>
      </c>
      <c r="AC182" s="31"/>
      <c r="AD182" s="31"/>
      <c r="AE182" s="31"/>
      <c r="AF182" s="31" t="s">
        <v>183</v>
      </c>
      <c r="AG182" s="31"/>
      <c r="AH182" s="31">
        <v>0</v>
      </c>
      <c r="AI182" s="31"/>
      <c r="AJ182" s="31"/>
      <c r="AK182" s="31">
        <v>0</v>
      </c>
      <c r="AL182" s="31">
        <v>0</v>
      </c>
      <c r="AM182" s="31">
        <v>0</v>
      </c>
      <c r="AN182" s="31">
        <v>3527008656</v>
      </c>
      <c r="AO182" s="31" t="s">
        <v>77</v>
      </c>
      <c r="AP182" s="31" t="s">
        <v>196</v>
      </c>
    </row>
    <row r="183" spans="1:42" x14ac:dyDescent="0.2">
      <c r="A183" s="31">
        <v>10019320</v>
      </c>
      <c r="B183" s="31" t="s">
        <v>18</v>
      </c>
      <c r="C183" s="31" t="s">
        <v>573</v>
      </c>
      <c r="D183" s="33">
        <v>42271</v>
      </c>
      <c r="E183" s="31">
        <v>93520909</v>
      </c>
      <c r="F183" s="33">
        <v>42261</v>
      </c>
      <c r="G183" s="33">
        <v>42263</v>
      </c>
      <c r="H183" s="31">
        <v>1201072</v>
      </c>
      <c r="I183" s="31" t="s">
        <v>115</v>
      </c>
      <c r="J183" s="31">
        <v>1201072</v>
      </c>
      <c r="K183" s="31" t="s">
        <v>115</v>
      </c>
      <c r="L183" s="31">
        <v>1171089</v>
      </c>
      <c r="M183" s="31" t="s">
        <v>75</v>
      </c>
      <c r="N183" s="31">
        <v>320092</v>
      </c>
      <c r="O183" s="31"/>
      <c r="P183" s="31"/>
      <c r="Q183" s="31" t="s">
        <v>181</v>
      </c>
      <c r="R183" s="31" t="s">
        <v>61</v>
      </c>
      <c r="S183" s="31" t="s">
        <v>62</v>
      </c>
      <c r="T183" s="31">
        <v>4390.22</v>
      </c>
      <c r="U183" s="31" t="s">
        <v>182</v>
      </c>
      <c r="V183" s="31"/>
      <c r="W183" s="31" t="s">
        <v>63</v>
      </c>
      <c r="X183" s="31" t="s">
        <v>70</v>
      </c>
      <c r="Y183" s="31" t="s">
        <v>76</v>
      </c>
      <c r="Z183" s="33">
        <v>42275</v>
      </c>
      <c r="AA183" s="31" t="s">
        <v>83</v>
      </c>
      <c r="AB183" s="33">
        <v>42271</v>
      </c>
      <c r="AC183" s="31"/>
      <c r="AD183" s="31"/>
      <c r="AE183" s="31"/>
      <c r="AF183" s="31" t="s">
        <v>183</v>
      </c>
      <c r="AG183" s="31"/>
      <c r="AH183" s="31">
        <v>0</v>
      </c>
      <c r="AI183" s="31"/>
      <c r="AJ183" s="31"/>
      <c r="AK183" s="31">
        <v>0</v>
      </c>
      <c r="AL183" s="31">
        <v>0</v>
      </c>
      <c r="AM183" s="31">
        <v>0</v>
      </c>
      <c r="AN183" s="31">
        <v>327755377</v>
      </c>
      <c r="AO183" s="31" t="s">
        <v>77</v>
      </c>
      <c r="AP183" s="31" t="s">
        <v>771</v>
      </c>
    </row>
    <row r="184" spans="1:42" x14ac:dyDescent="0.2">
      <c r="A184" s="31">
        <v>10019321</v>
      </c>
      <c r="B184" s="31" t="s">
        <v>25</v>
      </c>
      <c r="C184" s="31" t="s">
        <v>78</v>
      </c>
      <c r="D184" s="33">
        <v>42271</v>
      </c>
      <c r="E184" s="31">
        <v>93311528</v>
      </c>
      <c r="F184" s="33">
        <v>42095</v>
      </c>
      <c r="G184" s="31"/>
      <c r="H184" s="31">
        <v>1201232</v>
      </c>
      <c r="I184" s="31" t="s">
        <v>772</v>
      </c>
      <c r="J184" s="31">
        <v>1201232</v>
      </c>
      <c r="K184" s="31" t="s">
        <v>772</v>
      </c>
      <c r="L184" s="31">
        <v>1201232</v>
      </c>
      <c r="M184" s="31" t="s">
        <v>772</v>
      </c>
      <c r="N184" s="31">
        <v>18183</v>
      </c>
      <c r="O184" s="31"/>
      <c r="P184" s="31"/>
      <c r="Q184" s="31" t="s">
        <v>181</v>
      </c>
      <c r="R184" s="31" t="s">
        <v>102</v>
      </c>
      <c r="S184" s="31" t="s">
        <v>103</v>
      </c>
      <c r="T184" s="31">
        <v>3720</v>
      </c>
      <c r="U184" s="31" t="s">
        <v>182</v>
      </c>
      <c r="V184" s="31"/>
      <c r="W184" s="31" t="s">
        <v>63</v>
      </c>
      <c r="X184" s="31"/>
      <c r="Y184" s="31"/>
      <c r="Z184" s="31"/>
      <c r="AA184" s="31" t="s">
        <v>64</v>
      </c>
      <c r="AB184" s="33">
        <v>42271</v>
      </c>
      <c r="AC184" s="31"/>
      <c r="AD184" s="31"/>
      <c r="AE184" s="31"/>
      <c r="AF184" s="31" t="s">
        <v>183</v>
      </c>
      <c r="AG184" s="31"/>
      <c r="AH184" s="31">
        <v>0</v>
      </c>
      <c r="AI184" s="31"/>
      <c r="AJ184" s="31"/>
      <c r="AK184" s="31">
        <v>0</v>
      </c>
      <c r="AL184" s="31">
        <v>0</v>
      </c>
      <c r="AM184" s="31">
        <v>0</v>
      </c>
      <c r="AN184" s="31">
        <v>626415013515</v>
      </c>
      <c r="AO184" s="31"/>
      <c r="AP184" s="31"/>
    </row>
    <row r="185" spans="1:42" x14ac:dyDescent="0.2">
      <c r="A185" s="31">
        <v>10019322</v>
      </c>
      <c r="B185" s="31" t="s">
        <v>26</v>
      </c>
      <c r="C185" s="31" t="s">
        <v>78</v>
      </c>
      <c r="D185" s="33">
        <v>42271</v>
      </c>
      <c r="E185" s="31">
        <v>93495272</v>
      </c>
      <c r="F185" s="33">
        <v>42241</v>
      </c>
      <c r="G185" s="33">
        <v>42243</v>
      </c>
      <c r="H185" s="31">
        <v>1201605</v>
      </c>
      <c r="I185" s="31" t="s">
        <v>155</v>
      </c>
      <c r="J185" s="31">
        <v>1023292</v>
      </c>
      <c r="K185" s="31" t="s">
        <v>155</v>
      </c>
      <c r="L185" s="31">
        <v>1172017</v>
      </c>
      <c r="M185" s="31" t="s">
        <v>155</v>
      </c>
      <c r="N185" s="31">
        <v>529824</v>
      </c>
      <c r="O185" s="31"/>
      <c r="P185" s="31"/>
      <c r="Q185" s="31" t="s">
        <v>181</v>
      </c>
      <c r="R185" s="31" t="s">
        <v>67</v>
      </c>
      <c r="S185" s="31" t="s">
        <v>68</v>
      </c>
      <c r="T185" s="31">
        <v>1111.98</v>
      </c>
      <c r="U185" s="31" t="s">
        <v>182</v>
      </c>
      <c r="V185" s="31"/>
      <c r="W185" s="31" t="s">
        <v>63</v>
      </c>
      <c r="X185" s="31" t="s">
        <v>94</v>
      </c>
      <c r="Y185" s="31" t="s">
        <v>95</v>
      </c>
      <c r="Z185" s="33">
        <v>42276</v>
      </c>
      <c r="AA185" s="31" t="s">
        <v>83</v>
      </c>
      <c r="AB185" s="33">
        <v>42279</v>
      </c>
      <c r="AC185" s="31"/>
      <c r="AD185" s="31"/>
      <c r="AE185" s="31"/>
      <c r="AF185" s="31" t="s">
        <v>183</v>
      </c>
      <c r="AG185" s="31"/>
      <c r="AH185" s="31">
        <v>0</v>
      </c>
      <c r="AI185" s="31"/>
      <c r="AJ185" s="31"/>
      <c r="AK185" s="31">
        <v>0</v>
      </c>
      <c r="AL185" s="31">
        <v>0</v>
      </c>
      <c r="AM185" s="31">
        <v>0</v>
      </c>
      <c r="AN185" s="31">
        <v>2795191383</v>
      </c>
      <c r="AO185" s="31" t="s">
        <v>96</v>
      </c>
      <c r="AP185" s="31" t="s">
        <v>773</v>
      </c>
    </row>
    <row r="186" spans="1:42" x14ac:dyDescent="0.2">
      <c r="A186" s="31">
        <v>10019323</v>
      </c>
      <c r="B186" s="31" t="s">
        <v>18</v>
      </c>
      <c r="C186" s="31" t="s">
        <v>573</v>
      </c>
      <c r="D186" s="33">
        <v>42272</v>
      </c>
      <c r="E186" s="31">
        <v>93526669</v>
      </c>
      <c r="F186" s="33">
        <v>42265</v>
      </c>
      <c r="G186" s="33">
        <v>42269</v>
      </c>
      <c r="H186" s="31">
        <v>1022013</v>
      </c>
      <c r="I186" s="31" t="s">
        <v>114</v>
      </c>
      <c r="J186" s="31">
        <v>1022013</v>
      </c>
      <c r="K186" s="31" t="s">
        <v>114</v>
      </c>
      <c r="L186" s="31">
        <v>1022013</v>
      </c>
      <c r="M186" s="31" t="s">
        <v>114</v>
      </c>
      <c r="N186" s="31">
        <v>75172</v>
      </c>
      <c r="O186" s="31"/>
      <c r="P186" s="31"/>
      <c r="Q186" s="31" t="s">
        <v>181</v>
      </c>
      <c r="R186" s="31" t="s">
        <v>67</v>
      </c>
      <c r="S186" s="31" t="s">
        <v>68</v>
      </c>
      <c r="T186" s="31">
        <v>45.61</v>
      </c>
      <c r="U186" s="31" t="s">
        <v>182</v>
      </c>
      <c r="V186" s="31"/>
      <c r="W186" s="31" t="s">
        <v>63</v>
      </c>
      <c r="X186" s="31" t="s">
        <v>70</v>
      </c>
      <c r="Y186" s="31" t="s">
        <v>76</v>
      </c>
      <c r="Z186" s="33">
        <v>42275</v>
      </c>
      <c r="AA186" s="31" t="s">
        <v>83</v>
      </c>
      <c r="AB186" s="33">
        <v>42279</v>
      </c>
      <c r="AC186" s="31"/>
      <c r="AD186" s="31"/>
      <c r="AE186" s="31"/>
      <c r="AF186" s="31" t="s">
        <v>183</v>
      </c>
      <c r="AG186" s="31"/>
      <c r="AH186" s="31">
        <v>0</v>
      </c>
      <c r="AI186" s="31"/>
      <c r="AJ186" s="31"/>
      <c r="AK186" s="31">
        <v>0</v>
      </c>
      <c r="AL186" s="31">
        <v>0</v>
      </c>
      <c r="AM186" s="31">
        <v>0</v>
      </c>
      <c r="AN186" s="31">
        <v>3527005510</v>
      </c>
      <c r="AO186" s="31" t="s">
        <v>77</v>
      </c>
      <c r="AP186" s="31" t="s">
        <v>774</v>
      </c>
    </row>
    <row r="187" spans="1:42" x14ac:dyDescent="0.2">
      <c r="A187" s="31">
        <v>10019324</v>
      </c>
      <c r="B187" s="31" t="s">
        <v>18</v>
      </c>
      <c r="C187" s="31" t="s">
        <v>573</v>
      </c>
      <c r="D187" s="33">
        <v>42272</v>
      </c>
      <c r="E187" s="31">
        <v>93531284</v>
      </c>
      <c r="F187" s="33">
        <v>42269</v>
      </c>
      <c r="G187" s="33">
        <v>42271</v>
      </c>
      <c r="H187" s="31">
        <v>1201605</v>
      </c>
      <c r="I187" s="31" t="s">
        <v>155</v>
      </c>
      <c r="J187" s="31">
        <v>1323069</v>
      </c>
      <c r="K187" s="31" t="s">
        <v>155</v>
      </c>
      <c r="L187" s="31">
        <v>1172017</v>
      </c>
      <c r="M187" s="31" t="s">
        <v>155</v>
      </c>
      <c r="N187" s="31">
        <v>535746</v>
      </c>
      <c r="O187" s="31"/>
      <c r="P187" s="31"/>
      <c r="Q187" s="31" t="s">
        <v>181</v>
      </c>
      <c r="R187" s="31" t="s">
        <v>67</v>
      </c>
      <c r="S187" s="31" t="s">
        <v>68</v>
      </c>
      <c r="T187" s="31">
        <v>534.24</v>
      </c>
      <c r="U187" s="31" t="s">
        <v>182</v>
      </c>
      <c r="V187" s="31"/>
      <c r="W187" s="31" t="s">
        <v>63</v>
      </c>
      <c r="X187" s="31" t="s">
        <v>70</v>
      </c>
      <c r="Y187" s="31" t="s">
        <v>76</v>
      </c>
      <c r="Z187" s="33">
        <v>42275</v>
      </c>
      <c r="AA187" s="31" t="s">
        <v>64</v>
      </c>
      <c r="AB187" s="33">
        <v>42272</v>
      </c>
      <c r="AC187" s="31"/>
      <c r="AD187" s="31"/>
      <c r="AE187" s="31"/>
      <c r="AF187" s="31" t="s">
        <v>183</v>
      </c>
      <c r="AG187" s="31"/>
      <c r="AH187" s="31">
        <v>0</v>
      </c>
      <c r="AI187" s="31"/>
      <c r="AJ187" s="31"/>
      <c r="AK187" s="31">
        <v>0</v>
      </c>
      <c r="AL187" s="31">
        <v>0</v>
      </c>
      <c r="AM187" s="31">
        <v>0</v>
      </c>
      <c r="AN187" s="31">
        <v>3527005812</v>
      </c>
      <c r="AO187" s="31" t="s">
        <v>73</v>
      </c>
      <c r="AP187" s="31" t="s">
        <v>775</v>
      </c>
    </row>
    <row r="188" spans="1:42" x14ac:dyDescent="0.2">
      <c r="A188" s="31">
        <v>10019325</v>
      </c>
      <c r="B188" s="31" t="s">
        <v>18</v>
      </c>
      <c r="C188" s="31" t="s">
        <v>573</v>
      </c>
      <c r="D188" s="33">
        <v>42272</v>
      </c>
      <c r="E188" s="31">
        <v>93409021</v>
      </c>
      <c r="F188" s="33">
        <v>42173</v>
      </c>
      <c r="G188" s="31"/>
      <c r="H188" s="31">
        <v>1201483</v>
      </c>
      <c r="I188" s="31" t="s">
        <v>147</v>
      </c>
      <c r="J188" s="31">
        <v>1001169</v>
      </c>
      <c r="K188" s="31" t="s">
        <v>148</v>
      </c>
      <c r="L188" s="31">
        <v>1201483</v>
      </c>
      <c r="M188" s="31" t="s">
        <v>147</v>
      </c>
      <c r="N188" s="31">
        <v>91784</v>
      </c>
      <c r="O188" s="31"/>
      <c r="P188" s="31"/>
      <c r="Q188" s="31" t="s">
        <v>181</v>
      </c>
      <c r="R188" s="31" t="s">
        <v>91</v>
      </c>
      <c r="S188" s="31" t="s">
        <v>92</v>
      </c>
      <c r="T188" s="31">
        <v>1760.16</v>
      </c>
      <c r="U188" s="31" t="s">
        <v>182</v>
      </c>
      <c r="V188" s="31"/>
      <c r="W188" s="31" t="s">
        <v>63</v>
      </c>
      <c r="X188" s="31" t="s">
        <v>70</v>
      </c>
      <c r="Y188" s="31" t="s">
        <v>76</v>
      </c>
      <c r="Z188" s="33">
        <v>42275</v>
      </c>
      <c r="AA188" s="31" t="s">
        <v>64</v>
      </c>
      <c r="AB188" s="33">
        <v>42272</v>
      </c>
      <c r="AC188" s="31"/>
      <c r="AD188" s="31"/>
      <c r="AE188" s="31"/>
      <c r="AF188" s="31" t="s">
        <v>183</v>
      </c>
      <c r="AG188" s="31"/>
      <c r="AH188" s="31">
        <v>0</v>
      </c>
      <c r="AI188" s="31"/>
      <c r="AJ188" s="31"/>
      <c r="AK188" s="31">
        <v>0</v>
      </c>
      <c r="AL188" s="31">
        <v>0</v>
      </c>
      <c r="AM188" s="31">
        <v>0</v>
      </c>
      <c r="AN188" s="31" t="s">
        <v>776</v>
      </c>
      <c r="AO188" s="31" t="s">
        <v>77</v>
      </c>
      <c r="AP188" s="31" t="s">
        <v>777</v>
      </c>
    </row>
    <row r="189" spans="1:42" x14ac:dyDescent="0.2">
      <c r="A189" s="31">
        <v>10019326</v>
      </c>
      <c r="B189" s="31" t="s">
        <v>22</v>
      </c>
      <c r="C189" s="31" t="s">
        <v>78</v>
      </c>
      <c r="D189" s="33">
        <v>42272</v>
      </c>
      <c r="E189" s="31">
        <v>93529547</v>
      </c>
      <c r="F189" s="33">
        <v>42268</v>
      </c>
      <c r="G189" s="33">
        <v>42272</v>
      </c>
      <c r="H189" s="31">
        <v>1201354</v>
      </c>
      <c r="I189" s="31" t="s">
        <v>778</v>
      </c>
      <c r="J189" s="31">
        <v>1061270</v>
      </c>
      <c r="K189" s="31" t="s">
        <v>779</v>
      </c>
      <c r="L189" s="31">
        <v>1171836</v>
      </c>
      <c r="M189" s="31" t="s">
        <v>780</v>
      </c>
      <c r="N189" s="31" t="s">
        <v>781</v>
      </c>
      <c r="O189" s="31"/>
      <c r="P189" s="31"/>
      <c r="Q189" s="31" t="s">
        <v>181</v>
      </c>
      <c r="R189" s="31" t="s">
        <v>67</v>
      </c>
      <c r="S189" s="31" t="s">
        <v>68</v>
      </c>
      <c r="T189" s="31">
        <v>185544</v>
      </c>
      <c r="U189" s="31" t="s">
        <v>182</v>
      </c>
      <c r="V189" s="31"/>
      <c r="W189" s="31" t="s">
        <v>63</v>
      </c>
      <c r="X189" s="31" t="s">
        <v>84</v>
      </c>
      <c r="Y189" s="31" t="s">
        <v>82</v>
      </c>
      <c r="Z189" s="33">
        <v>42275</v>
      </c>
      <c r="AA189" s="31" t="s">
        <v>64</v>
      </c>
      <c r="AB189" s="33">
        <v>42272</v>
      </c>
      <c r="AC189" s="31"/>
      <c r="AD189" s="31"/>
      <c r="AE189" s="31"/>
      <c r="AF189" s="31" t="s">
        <v>183</v>
      </c>
      <c r="AG189" s="31"/>
      <c r="AH189" s="31">
        <v>0</v>
      </c>
      <c r="AI189" s="31"/>
      <c r="AJ189" s="31"/>
      <c r="AK189" s="31">
        <v>0</v>
      </c>
      <c r="AL189" s="31">
        <v>0</v>
      </c>
      <c r="AM189" s="31">
        <v>0</v>
      </c>
      <c r="AN189" s="31">
        <v>3527005602</v>
      </c>
      <c r="AO189" s="31" t="s">
        <v>84</v>
      </c>
      <c r="AP189" s="31" t="s">
        <v>782</v>
      </c>
    </row>
    <row r="190" spans="1:42" x14ac:dyDescent="0.2">
      <c r="A190" s="31">
        <v>10019327</v>
      </c>
      <c r="B190" s="31" t="s">
        <v>18</v>
      </c>
      <c r="C190" s="31" t="s">
        <v>573</v>
      </c>
      <c r="D190" s="33">
        <v>42272</v>
      </c>
      <c r="E190" s="31">
        <v>93525587</v>
      </c>
      <c r="F190" s="33">
        <v>42264</v>
      </c>
      <c r="G190" s="33">
        <v>42269</v>
      </c>
      <c r="H190" s="31">
        <v>1201072</v>
      </c>
      <c r="I190" s="31" t="s">
        <v>115</v>
      </c>
      <c r="J190" s="31">
        <v>1201072</v>
      </c>
      <c r="K190" s="31" t="s">
        <v>115</v>
      </c>
      <c r="L190" s="31">
        <v>1171089</v>
      </c>
      <c r="M190" s="31" t="s">
        <v>75</v>
      </c>
      <c r="N190" s="31">
        <v>320128</v>
      </c>
      <c r="O190" s="31"/>
      <c r="P190" s="31"/>
      <c r="Q190" s="31" t="s">
        <v>181</v>
      </c>
      <c r="R190" s="31" t="s">
        <v>61</v>
      </c>
      <c r="S190" s="31" t="s">
        <v>62</v>
      </c>
      <c r="T190" s="31">
        <v>1469.55</v>
      </c>
      <c r="U190" s="31" t="s">
        <v>182</v>
      </c>
      <c r="V190" s="31"/>
      <c r="W190" s="31" t="s">
        <v>63</v>
      </c>
      <c r="X190" s="31" t="s">
        <v>70</v>
      </c>
      <c r="Y190" s="31" t="s">
        <v>76</v>
      </c>
      <c r="Z190" s="33">
        <v>42275</v>
      </c>
      <c r="AA190" s="31" t="s">
        <v>83</v>
      </c>
      <c r="AB190" s="33">
        <v>42279</v>
      </c>
      <c r="AC190" s="31"/>
      <c r="AD190" s="31"/>
      <c r="AE190" s="31"/>
      <c r="AF190" s="31" t="s">
        <v>183</v>
      </c>
      <c r="AG190" s="31"/>
      <c r="AH190" s="31">
        <v>0</v>
      </c>
      <c r="AI190" s="31"/>
      <c r="AJ190" s="31"/>
      <c r="AK190" s="31">
        <v>0</v>
      </c>
      <c r="AL190" s="31">
        <v>0</v>
      </c>
      <c r="AM190" s="31">
        <v>0</v>
      </c>
      <c r="AN190" s="31">
        <v>327755385</v>
      </c>
      <c r="AO190" s="31" t="s">
        <v>77</v>
      </c>
      <c r="AP190" s="31" t="s">
        <v>228</v>
      </c>
    </row>
    <row r="191" spans="1:42" x14ac:dyDescent="0.2">
      <c r="A191" s="31">
        <v>10019328</v>
      </c>
      <c r="B191" s="31" t="s">
        <v>18</v>
      </c>
      <c r="C191" s="31" t="s">
        <v>573</v>
      </c>
      <c r="D191" s="33">
        <v>42272</v>
      </c>
      <c r="E191" s="31">
        <v>93471539</v>
      </c>
      <c r="F191" s="33">
        <v>42222</v>
      </c>
      <c r="G191" s="33">
        <v>42223</v>
      </c>
      <c r="H191" s="31">
        <v>1201483</v>
      </c>
      <c r="I191" s="31" t="s">
        <v>147</v>
      </c>
      <c r="J191" s="31">
        <v>1001169</v>
      </c>
      <c r="K191" s="31" t="s">
        <v>148</v>
      </c>
      <c r="L191" s="31">
        <v>1201483</v>
      </c>
      <c r="M191" s="31" t="s">
        <v>147</v>
      </c>
      <c r="N191" s="31">
        <v>92885</v>
      </c>
      <c r="O191" s="31"/>
      <c r="P191" s="31"/>
      <c r="Q191" s="31" t="s">
        <v>181</v>
      </c>
      <c r="R191" s="31" t="s">
        <v>67</v>
      </c>
      <c r="S191" s="31" t="s">
        <v>68</v>
      </c>
      <c r="T191" s="31">
        <v>23.56</v>
      </c>
      <c r="U191" s="31" t="s">
        <v>182</v>
      </c>
      <c r="V191" s="31"/>
      <c r="W191" s="31" t="s">
        <v>63</v>
      </c>
      <c r="X191" s="31" t="s">
        <v>70</v>
      </c>
      <c r="Y191" s="31" t="s">
        <v>76</v>
      </c>
      <c r="Z191" s="33">
        <v>42275</v>
      </c>
      <c r="AA191" s="31" t="s">
        <v>64</v>
      </c>
      <c r="AB191" s="33">
        <v>42272</v>
      </c>
      <c r="AC191" s="31"/>
      <c r="AD191" s="31"/>
      <c r="AE191" s="31"/>
      <c r="AF191" s="31" t="s">
        <v>183</v>
      </c>
      <c r="AG191" s="31"/>
      <c r="AH191" s="31">
        <v>0</v>
      </c>
      <c r="AI191" s="31"/>
      <c r="AJ191" s="31"/>
      <c r="AK191" s="31">
        <v>0</v>
      </c>
      <c r="AL191" s="31">
        <v>0</v>
      </c>
      <c r="AM191" s="31">
        <v>0</v>
      </c>
      <c r="AN191" s="31">
        <v>3511785023</v>
      </c>
      <c r="AO191" s="31" t="s">
        <v>77</v>
      </c>
      <c r="AP191" s="31" t="s">
        <v>211</v>
      </c>
    </row>
    <row r="192" spans="1:42" x14ac:dyDescent="0.2">
      <c r="A192" s="31">
        <v>10019329</v>
      </c>
      <c r="B192" s="31" t="s">
        <v>18</v>
      </c>
      <c r="C192" s="31" t="s">
        <v>78</v>
      </c>
      <c r="D192" s="33">
        <v>42272</v>
      </c>
      <c r="E192" s="31">
        <v>93532994</v>
      </c>
      <c r="F192" s="33">
        <v>42270</v>
      </c>
      <c r="G192" s="31"/>
      <c r="H192" s="31">
        <v>1201047</v>
      </c>
      <c r="I192" s="31" t="s">
        <v>79</v>
      </c>
      <c r="J192" s="31">
        <v>1321618</v>
      </c>
      <c r="K192" s="31" t="s">
        <v>85</v>
      </c>
      <c r="L192" s="31">
        <v>1171089</v>
      </c>
      <c r="M192" s="31" t="s">
        <v>75</v>
      </c>
      <c r="N192" s="31">
        <v>55522550</v>
      </c>
      <c r="O192" s="31"/>
      <c r="P192" s="31"/>
      <c r="Q192" s="31" t="s">
        <v>181</v>
      </c>
      <c r="R192" s="31" t="s">
        <v>91</v>
      </c>
      <c r="S192" s="31" t="s">
        <v>92</v>
      </c>
      <c r="T192" s="31">
        <v>2880.6</v>
      </c>
      <c r="U192" s="31" t="s">
        <v>182</v>
      </c>
      <c r="V192" s="31"/>
      <c r="W192" s="31" t="s">
        <v>63</v>
      </c>
      <c r="X192" s="31" t="s">
        <v>70</v>
      </c>
      <c r="Y192" s="31" t="s">
        <v>76</v>
      </c>
      <c r="Z192" s="33">
        <v>42275</v>
      </c>
      <c r="AA192" s="31" t="s">
        <v>83</v>
      </c>
      <c r="AB192" s="33">
        <v>42279</v>
      </c>
      <c r="AC192" s="31"/>
      <c r="AD192" s="31"/>
      <c r="AE192" s="31"/>
      <c r="AF192" s="31" t="s">
        <v>183</v>
      </c>
      <c r="AG192" s="31"/>
      <c r="AH192" s="31">
        <v>0</v>
      </c>
      <c r="AI192" s="31"/>
      <c r="AJ192" s="31"/>
      <c r="AK192" s="31">
        <v>0</v>
      </c>
      <c r="AL192" s="31">
        <v>0</v>
      </c>
      <c r="AM192" s="31">
        <v>0</v>
      </c>
      <c r="AN192" s="31" t="s">
        <v>783</v>
      </c>
      <c r="AO192" s="31" t="s">
        <v>77</v>
      </c>
      <c r="AP192" s="31" t="s">
        <v>376</v>
      </c>
    </row>
    <row r="193" spans="1:42" x14ac:dyDescent="0.2">
      <c r="A193" s="31">
        <v>10019330</v>
      </c>
      <c r="B193" s="31" t="s">
        <v>26</v>
      </c>
      <c r="C193" s="31" t="s">
        <v>573</v>
      </c>
      <c r="D193" s="33">
        <v>42272</v>
      </c>
      <c r="E193" s="31">
        <v>93525516</v>
      </c>
      <c r="F193" s="33">
        <v>42264</v>
      </c>
      <c r="G193" s="33">
        <v>42265</v>
      </c>
      <c r="H193" s="31">
        <v>1201047</v>
      </c>
      <c r="I193" s="31" t="s">
        <v>79</v>
      </c>
      <c r="J193" s="31">
        <v>1309880</v>
      </c>
      <c r="K193" s="31" t="s">
        <v>108</v>
      </c>
      <c r="L193" s="31">
        <v>1171089</v>
      </c>
      <c r="M193" s="31" t="s">
        <v>75</v>
      </c>
      <c r="N193" s="31">
        <v>18749236</v>
      </c>
      <c r="O193" s="31"/>
      <c r="P193" s="31"/>
      <c r="Q193" s="31" t="s">
        <v>181</v>
      </c>
      <c r="R193" s="31" t="s">
        <v>91</v>
      </c>
      <c r="S193" s="31" t="s">
        <v>92</v>
      </c>
      <c r="T193" s="31">
        <v>785.76</v>
      </c>
      <c r="U193" s="31" t="s">
        <v>182</v>
      </c>
      <c r="V193" s="31"/>
      <c r="W193" s="31" t="s">
        <v>63</v>
      </c>
      <c r="X193" s="31"/>
      <c r="Y193" s="31"/>
      <c r="Z193" s="31"/>
      <c r="AA193" s="31" t="s">
        <v>64</v>
      </c>
      <c r="AB193" s="33">
        <v>42272</v>
      </c>
      <c r="AC193" s="31"/>
      <c r="AD193" s="31"/>
      <c r="AE193" s="31"/>
      <c r="AF193" s="31" t="s">
        <v>183</v>
      </c>
      <c r="AG193" s="31"/>
      <c r="AH193" s="31">
        <v>0</v>
      </c>
      <c r="AI193" s="31"/>
      <c r="AJ193" s="31"/>
      <c r="AK193" s="31">
        <v>0</v>
      </c>
      <c r="AL193" s="31">
        <v>0</v>
      </c>
      <c r="AM193" s="31">
        <v>0</v>
      </c>
      <c r="AN193" s="31" t="s">
        <v>784</v>
      </c>
      <c r="AO193" s="31"/>
      <c r="AP193" s="31"/>
    </row>
    <row r="194" spans="1:42" x14ac:dyDescent="0.2">
      <c r="A194" s="31">
        <v>10019331</v>
      </c>
      <c r="B194" s="31" t="s">
        <v>18</v>
      </c>
      <c r="C194" s="31" t="s">
        <v>573</v>
      </c>
      <c r="D194" s="33">
        <v>42272</v>
      </c>
      <c r="E194" s="31">
        <v>93519003</v>
      </c>
      <c r="F194" s="33">
        <v>42258</v>
      </c>
      <c r="G194" s="33">
        <v>42262</v>
      </c>
      <c r="H194" s="31">
        <v>1318826</v>
      </c>
      <c r="I194" s="31" t="s">
        <v>110</v>
      </c>
      <c r="J194" s="31">
        <v>1334311</v>
      </c>
      <c r="K194" s="31" t="s">
        <v>113</v>
      </c>
      <c r="L194" s="31">
        <v>1318826</v>
      </c>
      <c r="M194" s="31" t="s">
        <v>110</v>
      </c>
      <c r="N194" s="31">
        <v>2049928</v>
      </c>
      <c r="O194" s="31"/>
      <c r="P194" s="31"/>
      <c r="Q194" s="31" t="s">
        <v>181</v>
      </c>
      <c r="R194" s="31" t="s">
        <v>67</v>
      </c>
      <c r="S194" s="31" t="s">
        <v>68</v>
      </c>
      <c r="T194" s="31">
        <v>493.39</v>
      </c>
      <c r="U194" s="31" t="s">
        <v>182</v>
      </c>
      <c r="V194" s="31"/>
      <c r="W194" s="31" t="s">
        <v>63</v>
      </c>
      <c r="X194" s="31" t="s">
        <v>70</v>
      </c>
      <c r="Y194" s="31" t="s">
        <v>76</v>
      </c>
      <c r="Z194" s="33">
        <v>42275</v>
      </c>
      <c r="AA194" s="31" t="s">
        <v>64</v>
      </c>
      <c r="AB194" s="33">
        <v>42272</v>
      </c>
      <c r="AC194" s="31"/>
      <c r="AD194" s="31"/>
      <c r="AE194" s="31"/>
      <c r="AF194" s="31" t="s">
        <v>183</v>
      </c>
      <c r="AG194" s="31"/>
      <c r="AH194" s="31">
        <v>0</v>
      </c>
      <c r="AI194" s="31"/>
      <c r="AJ194" s="31"/>
      <c r="AK194" s="31">
        <v>0</v>
      </c>
      <c r="AL194" s="31">
        <v>0</v>
      </c>
      <c r="AM194" s="31">
        <v>0</v>
      </c>
      <c r="AN194" s="31">
        <v>3527005101</v>
      </c>
      <c r="AO194" s="31" t="s">
        <v>77</v>
      </c>
      <c r="AP194" s="31" t="s">
        <v>785</v>
      </c>
    </row>
    <row r="195" spans="1:42" x14ac:dyDescent="0.2">
      <c r="A195" s="31">
        <v>10019334</v>
      </c>
      <c r="B195" s="31" t="s">
        <v>26</v>
      </c>
      <c r="C195" s="31" t="s">
        <v>573</v>
      </c>
      <c r="D195" s="33">
        <v>42275</v>
      </c>
      <c r="E195" s="31">
        <v>93524301</v>
      </c>
      <c r="F195" s="33">
        <v>42263</v>
      </c>
      <c r="G195" s="31"/>
      <c r="H195" s="31">
        <v>1201047</v>
      </c>
      <c r="I195" s="31" t="s">
        <v>79</v>
      </c>
      <c r="J195" s="31">
        <v>1022214</v>
      </c>
      <c r="K195" s="31" t="s">
        <v>80</v>
      </c>
      <c r="L195" s="31">
        <v>1171089</v>
      </c>
      <c r="M195" s="31" t="s">
        <v>75</v>
      </c>
      <c r="N195" s="31">
        <v>4740239</v>
      </c>
      <c r="O195" s="31"/>
      <c r="P195" s="31"/>
      <c r="Q195" s="31" t="s">
        <v>181</v>
      </c>
      <c r="R195" s="31" t="s">
        <v>91</v>
      </c>
      <c r="S195" s="31" t="s">
        <v>92</v>
      </c>
      <c r="T195" s="31">
        <v>1425.8</v>
      </c>
      <c r="U195" s="31" t="s">
        <v>182</v>
      </c>
      <c r="V195" s="31"/>
      <c r="W195" s="31" t="s">
        <v>63</v>
      </c>
      <c r="X195" s="31" t="s">
        <v>81</v>
      </c>
      <c r="Y195" s="31" t="s">
        <v>88</v>
      </c>
      <c r="Z195" s="33">
        <v>42279</v>
      </c>
      <c r="AA195" s="31"/>
      <c r="AB195" s="31"/>
      <c r="AC195" s="31"/>
      <c r="AD195" s="31"/>
      <c r="AE195" s="31"/>
      <c r="AF195" s="31" t="s">
        <v>183</v>
      </c>
      <c r="AG195" s="31"/>
      <c r="AH195" s="31">
        <v>0</v>
      </c>
      <c r="AI195" s="31"/>
      <c r="AJ195" s="31"/>
      <c r="AK195" s="31">
        <v>0</v>
      </c>
      <c r="AL195" s="31">
        <v>0</v>
      </c>
      <c r="AM195" s="31">
        <v>0</v>
      </c>
      <c r="AN195" s="31" t="s">
        <v>786</v>
      </c>
      <c r="AO195" s="31" t="s">
        <v>89</v>
      </c>
      <c r="AP195" s="31" t="s">
        <v>274</v>
      </c>
    </row>
    <row r="196" spans="1:42" x14ac:dyDescent="0.2">
      <c r="A196" s="31">
        <v>10019335</v>
      </c>
      <c r="B196" s="31" t="s">
        <v>18</v>
      </c>
      <c r="C196" s="31" t="s">
        <v>573</v>
      </c>
      <c r="D196" s="33">
        <v>42275</v>
      </c>
      <c r="E196" s="31">
        <v>93529335</v>
      </c>
      <c r="F196" s="33">
        <v>42268</v>
      </c>
      <c r="G196" s="31"/>
      <c r="H196" s="31">
        <v>1201047</v>
      </c>
      <c r="I196" s="31" t="s">
        <v>79</v>
      </c>
      <c r="J196" s="31">
        <v>1338648</v>
      </c>
      <c r="K196" s="31" t="s">
        <v>93</v>
      </c>
      <c r="L196" s="31">
        <v>1171089</v>
      </c>
      <c r="M196" s="31" t="s">
        <v>75</v>
      </c>
      <c r="N196" s="31">
        <v>63139036</v>
      </c>
      <c r="O196" s="31"/>
      <c r="P196" s="31"/>
      <c r="Q196" s="31" t="s">
        <v>181</v>
      </c>
      <c r="R196" s="31" t="s">
        <v>86</v>
      </c>
      <c r="S196" s="31" t="s">
        <v>87</v>
      </c>
      <c r="T196" s="31">
        <v>412.08</v>
      </c>
      <c r="U196" s="31" t="s">
        <v>182</v>
      </c>
      <c r="V196" s="31"/>
      <c r="W196" s="31" t="s">
        <v>63</v>
      </c>
      <c r="X196" s="31" t="s">
        <v>70</v>
      </c>
      <c r="Y196" s="31" t="s">
        <v>76</v>
      </c>
      <c r="Z196" s="33">
        <v>42275</v>
      </c>
      <c r="AA196" s="31" t="s">
        <v>64</v>
      </c>
      <c r="AB196" s="33">
        <v>42275</v>
      </c>
      <c r="AC196" s="31"/>
      <c r="AD196" s="31"/>
      <c r="AE196" s="31"/>
      <c r="AF196" s="31" t="s">
        <v>183</v>
      </c>
      <c r="AG196" s="31"/>
      <c r="AH196" s="31">
        <v>0</v>
      </c>
      <c r="AI196" s="31"/>
      <c r="AJ196" s="31"/>
      <c r="AK196" s="31">
        <v>0</v>
      </c>
      <c r="AL196" s="31">
        <v>0</v>
      </c>
      <c r="AM196" s="31">
        <v>0</v>
      </c>
      <c r="AN196" s="31" t="s">
        <v>787</v>
      </c>
      <c r="AO196" s="31" t="s">
        <v>77</v>
      </c>
      <c r="AP196" s="31" t="s">
        <v>228</v>
      </c>
    </row>
    <row r="197" spans="1:42" x14ac:dyDescent="0.2">
      <c r="A197" s="31">
        <v>10019336</v>
      </c>
      <c r="B197" s="31" t="s">
        <v>22</v>
      </c>
      <c r="C197" s="31" t="s">
        <v>78</v>
      </c>
      <c r="D197" s="33">
        <v>42275</v>
      </c>
      <c r="E197" s="31">
        <v>93534745</v>
      </c>
      <c r="F197" s="33">
        <v>42271</v>
      </c>
      <c r="G197" s="33">
        <v>42272</v>
      </c>
      <c r="H197" s="31">
        <v>1201428</v>
      </c>
      <c r="I197" s="31" t="s">
        <v>788</v>
      </c>
      <c r="J197" s="31">
        <v>1201428</v>
      </c>
      <c r="K197" s="31" t="s">
        <v>788</v>
      </c>
      <c r="L197" s="31">
        <v>1201428</v>
      </c>
      <c r="M197" s="31" t="s">
        <v>788</v>
      </c>
      <c r="N197" s="31">
        <v>486386</v>
      </c>
      <c r="O197" s="31"/>
      <c r="P197" s="31"/>
      <c r="Q197" s="31" t="s">
        <v>181</v>
      </c>
      <c r="R197" s="31" t="s">
        <v>67</v>
      </c>
      <c r="S197" s="31" t="s">
        <v>68</v>
      </c>
      <c r="T197" s="31">
        <v>35.4</v>
      </c>
      <c r="U197" s="31" t="s">
        <v>182</v>
      </c>
      <c r="V197" s="31"/>
      <c r="W197" s="31" t="s">
        <v>63</v>
      </c>
      <c r="X197" s="31"/>
      <c r="Y197" s="31"/>
      <c r="Z197" s="31"/>
      <c r="AA197" s="31" t="s">
        <v>64</v>
      </c>
      <c r="AB197" s="33">
        <v>42275</v>
      </c>
      <c r="AC197" s="31"/>
      <c r="AD197" s="31"/>
      <c r="AE197" s="31"/>
      <c r="AF197" s="31" t="s">
        <v>183</v>
      </c>
      <c r="AG197" s="31"/>
      <c r="AH197" s="31">
        <v>0</v>
      </c>
      <c r="AI197" s="31"/>
      <c r="AJ197" s="31"/>
      <c r="AK197" s="31">
        <v>0</v>
      </c>
      <c r="AL197" s="31">
        <v>0</v>
      </c>
      <c r="AM197" s="31">
        <v>0</v>
      </c>
      <c r="AN197" s="31">
        <v>3527006280</v>
      </c>
      <c r="AO197" s="31"/>
      <c r="AP197" s="31"/>
    </row>
    <row r="198" spans="1:42" x14ac:dyDescent="0.2">
      <c r="A198" s="31">
        <v>10019337</v>
      </c>
      <c r="B198" s="31" t="s">
        <v>18</v>
      </c>
      <c r="C198" s="31" t="s">
        <v>78</v>
      </c>
      <c r="D198" s="33">
        <v>42275</v>
      </c>
      <c r="E198" s="31">
        <v>93521323</v>
      </c>
      <c r="F198" s="33">
        <v>42261</v>
      </c>
      <c r="G198" s="33">
        <v>42264</v>
      </c>
      <c r="H198" s="31">
        <v>1201646</v>
      </c>
      <c r="I198" s="31" t="s">
        <v>164</v>
      </c>
      <c r="J198" s="31">
        <v>1201646</v>
      </c>
      <c r="K198" s="31" t="s">
        <v>164</v>
      </c>
      <c r="L198" s="31">
        <v>1201646</v>
      </c>
      <c r="M198" s="31" t="s">
        <v>164</v>
      </c>
      <c r="N198" s="31">
        <v>8045153</v>
      </c>
      <c r="O198" s="31"/>
      <c r="P198" s="31"/>
      <c r="Q198" s="31" t="s">
        <v>181</v>
      </c>
      <c r="R198" s="31" t="s">
        <v>67</v>
      </c>
      <c r="S198" s="31" t="s">
        <v>68</v>
      </c>
      <c r="T198" s="31">
        <v>20.88</v>
      </c>
      <c r="U198" s="31" t="s">
        <v>182</v>
      </c>
      <c r="V198" s="31"/>
      <c r="W198" s="31" t="s">
        <v>63</v>
      </c>
      <c r="X198" s="31" t="s">
        <v>70</v>
      </c>
      <c r="Y198" s="31" t="s">
        <v>76</v>
      </c>
      <c r="Z198" s="33">
        <v>42275</v>
      </c>
      <c r="AA198" s="31" t="s">
        <v>64</v>
      </c>
      <c r="AB198" s="33">
        <v>42275</v>
      </c>
      <c r="AC198" s="31"/>
      <c r="AD198" s="31"/>
      <c r="AE198" s="31"/>
      <c r="AF198" s="31" t="s">
        <v>183</v>
      </c>
      <c r="AG198" s="31"/>
      <c r="AH198" s="31">
        <v>0</v>
      </c>
      <c r="AI198" s="31"/>
      <c r="AJ198" s="31"/>
      <c r="AK198" s="31">
        <v>0</v>
      </c>
      <c r="AL198" s="31">
        <v>0</v>
      </c>
      <c r="AM198" s="31">
        <v>0</v>
      </c>
      <c r="AN198" s="31">
        <v>3527005145</v>
      </c>
      <c r="AO198" s="31" t="s">
        <v>77</v>
      </c>
      <c r="AP198" s="31" t="s">
        <v>355</v>
      </c>
    </row>
    <row r="199" spans="1:42" x14ac:dyDescent="0.2">
      <c r="A199" s="31">
        <v>10019338</v>
      </c>
      <c r="B199" s="31" t="s">
        <v>26</v>
      </c>
      <c r="C199" s="31" t="s">
        <v>573</v>
      </c>
      <c r="D199" s="33">
        <v>42275</v>
      </c>
      <c r="E199" s="31">
        <v>93529318</v>
      </c>
      <c r="F199" s="33">
        <v>42268</v>
      </c>
      <c r="G199" s="31"/>
      <c r="H199" s="31">
        <v>1201047</v>
      </c>
      <c r="I199" s="31" t="s">
        <v>79</v>
      </c>
      <c r="J199" s="31">
        <v>1049975</v>
      </c>
      <c r="K199" s="31" t="s">
        <v>247</v>
      </c>
      <c r="L199" s="31">
        <v>1171089</v>
      </c>
      <c r="M199" s="31" t="s">
        <v>75</v>
      </c>
      <c r="N199" s="31">
        <v>44296210</v>
      </c>
      <c r="O199" s="31"/>
      <c r="P199" s="31"/>
      <c r="Q199" s="31" t="s">
        <v>181</v>
      </c>
      <c r="R199" s="31" t="s">
        <v>91</v>
      </c>
      <c r="S199" s="31" t="s">
        <v>92</v>
      </c>
      <c r="T199" s="31">
        <v>7656.72</v>
      </c>
      <c r="U199" s="31" t="s">
        <v>182</v>
      </c>
      <c r="V199" s="31"/>
      <c r="W199" s="31" t="s">
        <v>63</v>
      </c>
      <c r="X199" s="31"/>
      <c r="Y199" s="31"/>
      <c r="Z199" s="31"/>
      <c r="AA199" s="31"/>
      <c r="AB199" s="31"/>
      <c r="AC199" s="31"/>
      <c r="AD199" s="31"/>
      <c r="AE199" s="31"/>
      <c r="AF199" s="31" t="s">
        <v>183</v>
      </c>
      <c r="AG199" s="31"/>
      <c r="AH199" s="31">
        <v>0</v>
      </c>
      <c r="AI199" s="31"/>
      <c r="AJ199" s="31"/>
      <c r="AK199" s="31">
        <v>0</v>
      </c>
      <c r="AL199" s="31">
        <v>0</v>
      </c>
      <c r="AM199" s="31">
        <v>0</v>
      </c>
      <c r="AN199" s="31" t="s">
        <v>769</v>
      </c>
      <c r="AO199" s="31"/>
      <c r="AP199" s="31"/>
    </row>
    <row r="200" spans="1:42" x14ac:dyDescent="0.2">
      <c r="A200" s="31">
        <v>10019339</v>
      </c>
      <c r="B200" s="31" t="s">
        <v>22</v>
      </c>
      <c r="C200" s="31" t="s">
        <v>573</v>
      </c>
      <c r="D200" s="33">
        <v>42275</v>
      </c>
      <c r="E200" s="31">
        <v>93529318</v>
      </c>
      <c r="F200" s="33">
        <v>42268</v>
      </c>
      <c r="G200" s="31"/>
      <c r="H200" s="31">
        <v>1201047</v>
      </c>
      <c r="I200" s="31" t="s">
        <v>79</v>
      </c>
      <c r="J200" s="31">
        <v>1049975</v>
      </c>
      <c r="K200" s="31" t="s">
        <v>247</v>
      </c>
      <c r="L200" s="31">
        <v>1171089</v>
      </c>
      <c r="M200" s="31" t="s">
        <v>75</v>
      </c>
      <c r="N200" s="31">
        <v>44296210</v>
      </c>
      <c r="O200" s="31"/>
      <c r="P200" s="31"/>
      <c r="Q200" s="31" t="s">
        <v>181</v>
      </c>
      <c r="R200" s="31" t="s">
        <v>91</v>
      </c>
      <c r="S200" s="31" t="s">
        <v>92</v>
      </c>
      <c r="T200" s="31">
        <v>4036.56</v>
      </c>
      <c r="U200" s="31" t="s">
        <v>182</v>
      </c>
      <c r="V200" s="31"/>
      <c r="W200" s="31" t="s">
        <v>63</v>
      </c>
      <c r="X200" s="31"/>
      <c r="Y200" s="31"/>
      <c r="Z200" s="31"/>
      <c r="AA200" s="31" t="s">
        <v>64</v>
      </c>
      <c r="AB200" s="33">
        <v>42275</v>
      </c>
      <c r="AC200" s="31"/>
      <c r="AD200" s="31"/>
      <c r="AE200" s="31"/>
      <c r="AF200" s="31" t="s">
        <v>183</v>
      </c>
      <c r="AG200" s="31"/>
      <c r="AH200" s="31">
        <v>0</v>
      </c>
      <c r="AI200" s="31"/>
      <c r="AJ200" s="31"/>
      <c r="AK200" s="31">
        <v>0</v>
      </c>
      <c r="AL200" s="31">
        <v>0</v>
      </c>
      <c r="AM200" s="31">
        <v>0</v>
      </c>
      <c r="AN200" s="31" t="s">
        <v>769</v>
      </c>
      <c r="AO200" s="31"/>
      <c r="AP200" s="31"/>
    </row>
    <row r="201" spans="1:42" x14ac:dyDescent="0.2">
      <c r="A201" s="31">
        <v>10019340</v>
      </c>
      <c r="B201" s="31" t="s">
        <v>18</v>
      </c>
      <c r="C201" s="31" t="s">
        <v>573</v>
      </c>
      <c r="D201" s="33">
        <v>42275</v>
      </c>
      <c r="E201" s="31">
        <v>93531090</v>
      </c>
      <c r="F201" s="33">
        <v>42269</v>
      </c>
      <c r="G201" s="33">
        <v>42272</v>
      </c>
      <c r="H201" s="31">
        <v>1201156</v>
      </c>
      <c r="I201" s="31" t="s">
        <v>131</v>
      </c>
      <c r="J201" s="31">
        <v>1039283</v>
      </c>
      <c r="K201" s="31" t="s">
        <v>711</v>
      </c>
      <c r="L201" s="31">
        <v>1201156</v>
      </c>
      <c r="M201" s="31" t="s">
        <v>131</v>
      </c>
      <c r="N201" s="31">
        <v>6562759</v>
      </c>
      <c r="O201" s="31"/>
      <c r="P201" s="31"/>
      <c r="Q201" s="31" t="s">
        <v>181</v>
      </c>
      <c r="R201" s="31" t="s">
        <v>61</v>
      </c>
      <c r="S201" s="31" t="s">
        <v>62</v>
      </c>
      <c r="T201" s="31">
        <v>588.24</v>
      </c>
      <c r="U201" s="31" t="s">
        <v>182</v>
      </c>
      <c r="V201" s="31"/>
      <c r="W201" s="31" t="s">
        <v>63</v>
      </c>
      <c r="X201" s="31"/>
      <c r="Y201" s="31"/>
      <c r="Z201" s="31"/>
      <c r="AA201" s="31" t="s">
        <v>64</v>
      </c>
      <c r="AB201" s="33">
        <v>42275</v>
      </c>
      <c r="AC201" s="31"/>
      <c r="AD201" s="31"/>
      <c r="AE201" s="31"/>
      <c r="AF201" s="31" t="s">
        <v>183</v>
      </c>
      <c r="AG201" s="31"/>
      <c r="AH201" s="31">
        <v>0</v>
      </c>
      <c r="AI201" s="31"/>
      <c r="AJ201" s="31"/>
      <c r="AK201" s="31">
        <v>0</v>
      </c>
      <c r="AL201" s="31">
        <v>0</v>
      </c>
      <c r="AM201" s="31">
        <v>0</v>
      </c>
      <c r="AN201" s="31">
        <v>327764650</v>
      </c>
      <c r="AO201" s="31"/>
      <c r="AP201" s="31"/>
    </row>
    <row r="202" spans="1:42" x14ac:dyDescent="0.2">
      <c r="A202" s="31">
        <v>10019341</v>
      </c>
      <c r="B202" s="31" t="s">
        <v>18</v>
      </c>
      <c r="C202" s="31" t="s">
        <v>78</v>
      </c>
      <c r="D202" s="33">
        <v>42275</v>
      </c>
      <c r="E202" s="31">
        <v>93529473</v>
      </c>
      <c r="F202" s="33">
        <v>42268</v>
      </c>
      <c r="G202" s="31"/>
      <c r="H202" s="31">
        <v>1201120</v>
      </c>
      <c r="I202" s="31" t="s">
        <v>117</v>
      </c>
      <c r="J202" s="31">
        <v>1307782</v>
      </c>
      <c r="K202" s="31" t="s">
        <v>119</v>
      </c>
      <c r="L202" s="31">
        <v>1171090</v>
      </c>
      <c r="M202" s="31" t="s">
        <v>118</v>
      </c>
      <c r="N202" s="31" t="s">
        <v>766</v>
      </c>
      <c r="O202" s="31"/>
      <c r="P202" s="31"/>
      <c r="Q202" s="31" t="s">
        <v>181</v>
      </c>
      <c r="R202" s="31" t="s">
        <v>121</v>
      </c>
      <c r="S202" s="31" t="s">
        <v>122</v>
      </c>
      <c r="T202" s="31">
        <v>128.94999999999999</v>
      </c>
      <c r="U202" s="31" t="s">
        <v>182</v>
      </c>
      <c r="V202" s="31"/>
      <c r="W202" s="31" t="s">
        <v>63</v>
      </c>
      <c r="X202" s="31" t="s">
        <v>70</v>
      </c>
      <c r="Y202" s="31" t="s">
        <v>76</v>
      </c>
      <c r="Z202" s="33">
        <v>42275</v>
      </c>
      <c r="AA202" s="31" t="s">
        <v>64</v>
      </c>
      <c r="AB202" s="33">
        <v>42275</v>
      </c>
      <c r="AC202" s="31"/>
      <c r="AD202" s="31"/>
      <c r="AE202" s="31"/>
      <c r="AF202" s="31" t="s">
        <v>183</v>
      </c>
      <c r="AG202" s="31"/>
      <c r="AH202" s="31">
        <v>0</v>
      </c>
      <c r="AI202" s="31"/>
      <c r="AJ202" s="31"/>
      <c r="AK202" s="31">
        <v>0</v>
      </c>
      <c r="AL202" s="31">
        <v>0</v>
      </c>
      <c r="AM202" s="31">
        <v>0</v>
      </c>
      <c r="AN202" s="31" t="s">
        <v>789</v>
      </c>
      <c r="AO202" s="31" t="s">
        <v>77</v>
      </c>
      <c r="AP202" s="31" t="s">
        <v>196</v>
      </c>
    </row>
    <row r="203" spans="1:42" x14ac:dyDescent="0.2">
      <c r="A203" s="31">
        <v>10019342</v>
      </c>
      <c r="B203" s="31" t="s">
        <v>18</v>
      </c>
      <c r="C203" s="31" t="s">
        <v>78</v>
      </c>
      <c r="D203" s="33">
        <v>42275</v>
      </c>
      <c r="E203" s="31">
        <v>93531149</v>
      </c>
      <c r="F203" s="33">
        <v>42269</v>
      </c>
      <c r="G203" s="31"/>
      <c r="H203" s="31">
        <v>1201399</v>
      </c>
      <c r="I203" s="31" t="s">
        <v>144</v>
      </c>
      <c r="J203" s="31">
        <v>1334926</v>
      </c>
      <c r="K203" s="31" t="s">
        <v>145</v>
      </c>
      <c r="L203" s="31">
        <v>1171970</v>
      </c>
      <c r="M203" s="31" t="s">
        <v>144</v>
      </c>
      <c r="N203" s="31">
        <v>8106673938</v>
      </c>
      <c r="O203" s="31"/>
      <c r="P203" s="31"/>
      <c r="Q203" s="31" t="s">
        <v>181</v>
      </c>
      <c r="R203" s="31" t="s">
        <v>279</v>
      </c>
      <c r="S203" s="31" t="s">
        <v>280</v>
      </c>
      <c r="T203" s="31">
        <v>3108.36</v>
      </c>
      <c r="U203" s="31" t="s">
        <v>182</v>
      </c>
      <c r="V203" s="31"/>
      <c r="W203" s="31" t="s">
        <v>63</v>
      </c>
      <c r="X203" s="31" t="s">
        <v>70</v>
      </c>
      <c r="Y203" s="31" t="s">
        <v>76</v>
      </c>
      <c r="Z203" s="33">
        <v>42275</v>
      </c>
      <c r="AA203" s="31" t="s">
        <v>83</v>
      </c>
      <c r="AB203" s="33">
        <v>42279</v>
      </c>
      <c r="AC203" s="31"/>
      <c r="AD203" s="31"/>
      <c r="AE203" s="31"/>
      <c r="AF203" s="31" t="s">
        <v>183</v>
      </c>
      <c r="AG203" s="31"/>
      <c r="AH203" s="31">
        <v>0</v>
      </c>
      <c r="AI203" s="31"/>
      <c r="AJ203" s="31"/>
      <c r="AK203" s="31">
        <v>0</v>
      </c>
      <c r="AL203" s="31">
        <v>0</v>
      </c>
      <c r="AM203" s="31">
        <v>0</v>
      </c>
      <c r="AN203" s="31" t="s">
        <v>790</v>
      </c>
      <c r="AO203" s="31" t="s">
        <v>77</v>
      </c>
      <c r="AP203" s="31" t="s">
        <v>376</v>
      </c>
    </row>
    <row r="204" spans="1:42" x14ac:dyDescent="0.2">
      <c r="A204" s="31">
        <v>10019343</v>
      </c>
      <c r="B204" s="31" t="s">
        <v>18</v>
      </c>
      <c r="C204" s="31" t="s">
        <v>573</v>
      </c>
      <c r="D204" s="33">
        <v>42275</v>
      </c>
      <c r="E204" s="31">
        <v>93532917</v>
      </c>
      <c r="F204" s="33">
        <v>42270</v>
      </c>
      <c r="G204" s="33">
        <v>42272</v>
      </c>
      <c r="H204" s="31">
        <v>1022013</v>
      </c>
      <c r="I204" s="31" t="s">
        <v>114</v>
      </c>
      <c r="J204" s="31">
        <v>1335507</v>
      </c>
      <c r="K204" s="31" t="s">
        <v>114</v>
      </c>
      <c r="L204" s="31">
        <v>1022013</v>
      </c>
      <c r="M204" s="31" t="s">
        <v>114</v>
      </c>
      <c r="N204" s="31">
        <v>75293</v>
      </c>
      <c r="O204" s="31"/>
      <c r="P204" s="31"/>
      <c r="Q204" s="31" t="s">
        <v>181</v>
      </c>
      <c r="R204" s="31" t="s">
        <v>67</v>
      </c>
      <c r="S204" s="31" t="s">
        <v>68</v>
      </c>
      <c r="T204" s="31">
        <v>515.84</v>
      </c>
      <c r="U204" s="31" t="s">
        <v>182</v>
      </c>
      <c r="V204" s="31"/>
      <c r="W204" s="31" t="s">
        <v>63</v>
      </c>
      <c r="X204" s="31" t="s">
        <v>70</v>
      </c>
      <c r="Y204" s="31" t="s">
        <v>76</v>
      </c>
      <c r="Z204" s="33">
        <v>42275</v>
      </c>
      <c r="AA204" s="31" t="s">
        <v>64</v>
      </c>
      <c r="AB204" s="33">
        <v>42275</v>
      </c>
      <c r="AC204" s="31"/>
      <c r="AD204" s="31"/>
      <c r="AE204" s="31"/>
      <c r="AF204" s="31" t="s">
        <v>183</v>
      </c>
      <c r="AG204" s="31"/>
      <c r="AH204" s="31">
        <v>0</v>
      </c>
      <c r="AI204" s="31"/>
      <c r="AJ204" s="31"/>
      <c r="AK204" s="31">
        <v>0</v>
      </c>
      <c r="AL204" s="31">
        <v>0</v>
      </c>
      <c r="AM204" s="31">
        <v>0</v>
      </c>
      <c r="AN204" s="31">
        <v>3527006092</v>
      </c>
      <c r="AO204" s="31" t="s">
        <v>77</v>
      </c>
      <c r="AP204" s="31" t="s">
        <v>791</v>
      </c>
    </row>
    <row r="205" spans="1:42" x14ac:dyDescent="0.2">
      <c r="A205" s="31">
        <v>10019344</v>
      </c>
      <c r="B205" s="31" t="s">
        <v>26</v>
      </c>
      <c r="C205" s="31" t="s">
        <v>78</v>
      </c>
      <c r="D205" s="33">
        <v>42275</v>
      </c>
      <c r="E205" s="31">
        <v>93526733</v>
      </c>
      <c r="F205" s="33">
        <v>42265</v>
      </c>
      <c r="G205" s="31"/>
      <c r="H205" s="31">
        <v>1201047</v>
      </c>
      <c r="I205" s="31" t="s">
        <v>79</v>
      </c>
      <c r="J205" s="31">
        <v>1300235</v>
      </c>
      <c r="K205" s="31" t="s">
        <v>109</v>
      </c>
      <c r="L205" s="31">
        <v>1171089</v>
      </c>
      <c r="M205" s="31" t="s">
        <v>75</v>
      </c>
      <c r="N205" s="31">
        <v>8368913</v>
      </c>
      <c r="O205" s="31"/>
      <c r="P205" s="31"/>
      <c r="Q205" s="31" t="s">
        <v>181</v>
      </c>
      <c r="R205" s="31" t="s">
        <v>91</v>
      </c>
      <c r="S205" s="31" t="s">
        <v>92</v>
      </c>
      <c r="T205" s="31">
        <v>13474.8</v>
      </c>
      <c r="U205" s="31" t="s">
        <v>182</v>
      </c>
      <c r="V205" s="31"/>
      <c r="W205" s="31" t="s">
        <v>63</v>
      </c>
      <c r="X205" s="31"/>
      <c r="Y205" s="31"/>
      <c r="Z205" s="31"/>
      <c r="AA205" s="31" t="s">
        <v>83</v>
      </c>
      <c r="AB205" s="33">
        <v>42279</v>
      </c>
      <c r="AC205" s="31"/>
      <c r="AD205" s="31"/>
      <c r="AE205" s="31"/>
      <c r="AF205" s="31" t="s">
        <v>183</v>
      </c>
      <c r="AG205" s="31"/>
      <c r="AH205" s="31">
        <v>0</v>
      </c>
      <c r="AI205" s="31"/>
      <c r="AJ205" s="31"/>
      <c r="AK205" s="31">
        <v>0</v>
      </c>
      <c r="AL205" s="31">
        <v>0</v>
      </c>
      <c r="AM205" s="31">
        <v>0</v>
      </c>
      <c r="AN205" s="31" t="s">
        <v>764</v>
      </c>
      <c r="AO205" s="31"/>
      <c r="AP205" s="31"/>
    </row>
    <row r="206" spans="1:42" x14ac:dyDescent="0.2">
      <c r="A206" s="31">
        <v>10019346</v>
      </c>
      <c r="B206" s="31" t="s">
        <v>26</v>
      </c>
      <c r="C206" s="31" t="s">
        <v>78</v>
      </c>
      <c r="D206" s="33">
        <v>42275</v>
      </c>
      <c r="E206" s="31">
        <v>93524380</v>
      </c>
      <c r="F206" s="33">
        <v>42263</v>
      </c>
      <c r="G206" s="31"/>
      <c r="H206" s="31">
        <v>1201047</v>
      </c>
      <c r="I206" s="31" t="s">
        <v>79</v>
      </c>
      <c r="J206" s="31">
        <v>1307128</v>
      </c>
      <c r="K206" s="31" t="s">
        <v>85</v>
      </c>
      <c r="L206" s="31">
        <v>1171089</v>
      </c>
      <c r="M206" s="31" t="s">
        <v>75</v>
      </c>
      <c r="N206" s="31">
        <v>10485979</v>
      </c>
      <c r="O206" s="31"/>
      <c r="P206" s="31"/>
      <c r="Q206" s="31" t="s">
        <v>181</v>
      </c>
      <c r="R206" s="31" t="s">
        <v>91</v>
      </c>
      <c r="S206" s="31" t="s">
        <v>92</v>
      </c>
      <c r="T206" s="31">
        <v>40247.040000000001</v>
      </c>
      <c r="U206" s="31" t="s">
        <v>182</v>
      </c>
      <c r="V206" s="31"/>
      <c r="W206" s="31" t="s">
        <v>63</v>
      </c>
      <c r="X206" s="31" t="s">
        <v>94</v>
      </c>
      <c r="Y206" s="31" t="s">
        <v>71</v>
      </c>
      <c r="Z206" s="33">
        <v>42276</v>
      </c>
      <c r="AA206" s="31" t="s">
        <v>83</v>
      </c>
      <c r="AB206" s="33">
        <v>42276</v>
      </c>
      <c r="AC206" s="31"/>
      <c r="AD206" s="31"/>
      <c r="AE206" s="31"/>
      <c r="AF206" s="31" t="s">
        <v>183</v>
      </c>
      <c r="AG206" s="31"/>
      <c r="AH206" s="31">
        <v>0</v>
      </c>
      <c r="AI206" s="31"/>
      <c r="AJ206" s="31"/>
      <c r="AK206" s="31">
        <v>0</v>
      </c>
      <c r="AL206" s="31">
        <v>0</v>
      </c>
      <c r="AM206" s="31">
        <v>0</v>
      </c>
      <c r="AN206" s="31" t="s">
        <v>792</v>
      </c>
      <c r="AO206" s="31" t="s">
        <v>96</v>
      </c>
      <c r="AP206" s="31" t="s">
        <v>793</v>
      </c>
    </row>
    <row r="207" spans="1:42" x14ac:dyDescent="0.2">
      <c r="A207" s="31">
        <v>10019347</v>
      </c>
      <c r="B207" s="31" t="s">
        <v>22</v>
      </c>
      <c r="C207" s="31" t="s">
        <v>78</v>
      </c>
      <c r="D207" s="33">
        <v>42275</v>
      </c>
      <c r="E207" s="31">
        <v>93511750</v>
      </c>
      <c r="F207" s="33">
        <v>42251</v>
      </c>
      <c r="G207" s="31"/>
      <c r="H207" s="31">
        <v>1201047</v>
      </c>
      <c r="I207" s="31" t="s">
        <v>79</v>
      </c>
      <c r="J207" s="31">
        <v>1003696</v>
      </c>
      <c r="K207" s="31" t="s">
        <v>80</v>
      </c>
      <c r="L207" s="31">
        <v>1171089</v>
      </c>
      <c r="M207" s="31" t="s">
        <v>75</v>
      </c>
      <c r="N207" s="31">
        <v>24504847</v>
      </c>
      <c r="O207" s="31"/>
      <c r="P207" s="31"/>
      <c r="Q207" s="31" t="s">
        <v>181</v>
      </c>
      <c r="R207" s="31" t="s">
        <v>91</v>
      </c>
      <c r="S207" s="31" t="s">
        <v>92</v>
      </c>
      <c r="T207" s="31">
        <v>25925.4</v>
      </c>
      <c r="U207" s="31" t="s">
        <v>182</v>
      </c>
      <c r="V207" s="31"/>
      <c r="W207" s="31" t="s">
        <v>63</v>
      </c>
      <c r="X207" s="31"/>
      <c r="Y207" s="31"/>
      <c r="Z207" s="31"/>
      <c r="AA207" s="31" t="s">
        <v>64</v>
      </c>
      <c r="AB207" s="33">
        <v>42275</v>
      </c>
      <c r="AC207" s="31"/>
      <c r="AD207" s="31"/>
      <c r="AE207" s="31"/>
      <c r="AF207" s="31" t="s">
        <v>183</v>
      </c>
      <c r="AG207" s="31"/>
      <c r="AH207" s="31">
        <v>0</v>
      </c>
      <c r="AI207" s="31"/>
      <c r="AJ207" s="31"/>
      <c r="AK207" s="31">
        <v>0</v>
      </c>
      <c r="AL207" s="31">
        <v>0</v>
      </c>
      <c r="AM207" s="31">
        <v>0</v>
      </c>
      <c r="AN207" s="31" t="s">
        <v>794</v>
      </c>
      <c r="AO207" s="31"/>
      <c r="AP207" s="31"/>
    </row>
    <row r="208" spans="1:42" x14ac:dyDescent="0.2">
      <c r="A208" s="31">
        <v>10019348</v>
      </c>
      <c r="B208" s="31" t="s">
        <v>18</v>
      </c>
      <c r="C208" s="31" t="s">
        <v>573</v>
      </c>
      <c r="D208" s="33">
        <v>42275</v>
      </c>
      <c r="E208" s="31">
        <v>93531270</v>
      </c>
      <c r="F208" s="33">
        <v>42269</v>
      </c>
      <c r="G208" s="33">
        <v>42272</v>
      </c>
      <c r="H208" s="31">
        <v>1201540</v>
      </c>
      <c r="I208" s="31" t="s">
        <v>150</v>
      </c>
      <c r="J208" s="31">
        <v>1312297</v>
      </c>
      <c r="K208" s="31" t="s">
        <v>151</v>
      </c>
      <c r="L208" s="31">
        <v>1201540</v>
      </c>
      <c r="M208" s="31" t="s">
        <v>150</v>
      </c>
      <c r="N208" s="31" t="s">
        <v>795</v>
      </c>
      <c r="O208" s="31"/>
      <c r="P208" s="31"/>
      <c r="Q208" s="31" t="s">
        <v>181</v>
      </c>
      <c r="R208" s="31" t="s">
        <v>67</v>
      </c>
      <c r="S208" s="31" t="s">
        <v>68</v>
      </c>
      <c r="T208" s="31">
        <v>1.1000000000000001</v>
      </c>
      <c r="U208" s="31" t="s">
        <v>182</v>
      </c>
      <c r="V208" s="31"/>
      <c r="W208" s="31" t="s">
        <v>63</v>
      </c>
      <c r="X208" s="31" t="s">
        <v>70</v>
      </c>
      <c r="Y208" s="31" t="s">
        <v>76</v>
      </c>
      <c r="Z208" s="33">
        <v>42276</v>
      </c>
      <c r="AA208" s="31" t="s">
        <v>64</v>
      </c>
      <c r="AB208" s="33">
        <v>42275</v>
      </c>
      <c r="AC208" s="31"/>
      <c r="AD208" s="31"/>
      <c r="AE208" s="31"/>
      <c r="AF208" s="31" t="s">
        <v>183</v>
      </c>
      <c r="AG208" s="31"/>
      <c r="AH208" s="31">
        <v>0</v>
      </c>
      <c r="AI208" s="31"/>
      <c r="AJ208" s="31"/>
      <c r="AK208" s="31">
        <v>0</v>
      </c>
      <c r="AL208" s="31">
        <v>0</v>
      </c>
      <c r="AM208" s="31">
        <v>0</v>
      </c>
      <c r="AN208" s="31">
        <v>3527005856</v>
      </c>
      <c r="AO208" s="31" t="s">
        <v>77</v>
      </c>
      <c r="AP208" s="31" t="s">
        <v>323</v>
      </c>
    </row>
    <row r="209" spans="1:42" x14ac:dyDescent="0.2">
      <c r="A209" s="31">
        <v>10019349</v>
      </c>
      <c r="B209" s="31" t="s">
        <v>18</v>
      </c>
      <c r="C209" s="31" t="s">
        <v>573</v>
      </c>
      <c r="D209" s="33">
        <v>42275</v>
      </c>
      <c r="E209" s="31">
        <v>93533160</v>
      </c>
      <c r="F209" s="33">
        <v>42270</v>
      </c>
      <c r="G209" s="31"/>
      <c r="H209" s="31">
        <v>1201120</v>
      </c>
      <c r="I209" s="31" t="s">
        <v>117</v>
      </c>
      <c r="J209" s="31">
        <v>1307782</v>
      </c>
      <c r="K209" s="31" t="s">
        <v>119</v>
      </c>
      <c r="L209" s="31">
        <v>1171090</v>
      </c>
      <c r="M209" s="31" t="s">
        <v>118</v>
      </c>
      <c r="N209" s="31" t="s">
        <v>796</v>
      </c>
      <c r="O209" s="31"/>
      <c r="P209" s="31"/>
      <c r="Q209" s="31" t="s">
        <v>181</v>
      </c>
      <c r="R209" s="31" t="s">
        <v>97</v>
      </c>
      <c r="S209" s="31" t="s">
        <v>98</v>
      </c>
      <c r="T209" s="31">
        <v>1243.1099999999999</v>
      </c>
      <c r="U209" s="31" t="s">
        <v>182</v>
      </c>
      <c r="V209" s="31"/>
      <c r="W209" s="31" t="s">
        <v>63</v>
      </c>
      <c r="X209" s="31" t="s">
        <v>70</v>
      </c>
      <c r="Y209" s="31" t="s">
        <v>76</v>
      </c>
      <c r="Z209" s="33">
        <v>42276</v>
      </c>
      <c r="AA209" s="31" t="s">
        <v>83</v>
      </c>
      <c r="AB209" s="33">
        <v>42279</v>
      </c>
      <c r="AC209" s="31"/>
      <c r="AD209" s="31"/>
      <c r="AE209" s="31"/>
      <c r="AF209" s="31" t="s">
        <v>183</v>
      </c>
      <c r="AG209" s="31"/>
      <c r="AH209" s="31">
        <v>0</v>
      </c>
      <c r="AI209" s="31"/>
      <c r="AJ209" s="31"/>
      <c r="AK209" s="31">
        <v>0</v>
      </c>
      <c r="AL209" s="31">
        <v>0</v>
      </c>
      <c r="AM209" s="31">
        <v>0</v>
      </c>
      <c r="AN209" s="31" t="s">
        <v>797</v>
      </c>
      <c r="AO209" s="31" t="s">
        <v>77</v>
      </c>
      <c r="AP209" s="31" t="s">
        <v>774</v>
      </c>
    </row>
    <row r="210" spans="1:42" x14ac:dyDescent="0.2">
      <c r="A210" s="31">
        <v>10019350</v>
      </c>
      <c r="B210" s="31" t="s">
        <v>26</v>
      </c>
      <c r="C210" s="31" t="s">
        <v>78</v>
      </c>
      <c r="D210" s="33">
        <v>42275</v>
      </c>
      <c r="E210" s="31">
        <v>93536456</v>
      </c>
      <c r="F210" s="33">
        <v>42272</v>
      </c>
      <c r="G210" s="31"/>
      <c r="H210" s="31">
        <v>1201646</v>
      </c>
      <c r="I210" s="31" t="s">
        <v>164</v>
      </c>
      <c r="J210" s="31">
        <v>1201646</v>
      </c>
      <c r="K210" s="31" t="s">
        <v>164</v>
      </c>
      <c r="L210" s="31">
        <v>1201646</v>
      </c>
      <c r="M210" s="31" t="s">
        <v>164</v>
      </c>
      <c r="N210" s="31">
        <v>8045402</v>
      </c>
      <c r="O210" s="31"/>
      <c r="P210" s="31"/>
      <c r="Q210" s="31" t="s">
        <v>181</v>
      </c>
      <c r="R210" s="31" t="s">
        <v>102</v>
      </c>
      <c r="S210" s="31" t="s">
        <v>103</v>
      </c>
      <c r="T210" s="31">
        <v>1264.74</v>
      </c>
      <c r="U210" s="31" t="s">
        <v>182</v>
      </c>
      <c r="V210" s="31"/>
      <c r="W210" s="31" t="s">
        <v>63</v>
      </c>
      <c r="X210" s="31" t="s">
        <v>94</v>
      </c>
      <c r="Y210" s="31" t="s">
        <v>95</v>
      </c>
      <c r="Z210" s="33">
        <v>42276</v>
      </c>
      <c r="AA210" s="31" t="s">
        <v>83</v>
      </c>
      <c r="AB210" s="33">
        <v>42279</v>
      </c>
      <c r="AC210" s="31"/>
      <c r="AD210" s="31"/>
      <c r="AE210" s="31"/>
      <c r="AF210" s="31" t="s">
        <v>183</v>
      </c>
      <c r="AG210" s="31"/>
      <c r="AH210" s="31">
        <v>0</v>
      </c>
      <c r="AI210" s="31"/>
      <c r="AJ210" s="31"/>
      <c r="AK210" s="31">
        <v>0</v>
      </c>
      <c r="AL210" s="31">
        <v>0</v>
      </c>
      <c r="AM210" s="31">
        <v>0</v>
      </c>
      <c r="AN210" s="31">
        <v>649275045728</v>
      </c>
      <c r="AO210" s="31" t="s">
        <v>96</v>
      </c>
      <c r="AP210" s="31" t="s">
        <v>798</v>
      </c>
    </row>
    <row r="211" spans="1:42" x14ac:dyDescent="0.2">
      <c r="A211" s="31">
        <v>10019351</v>
      </c>
      <c r="B211" s="31" t="s">
        <v>25</v>
      </c>
      <c r="C211" s="31" t="s">
        <v>78</v>
      </c>
      <c r="D211" s="33">
        <v>42276</v>
      </c>
      <c r="E211" s="31">
        <v>93508029</v>
      </c>
      <c r="F211" s="33">
        <v>42249</v>
      </c>
      <c r="G211" s="31"/>
      <c r="H211" s="31">
        <v>1201656</v>
      </c>
      <c r="I211" s="31" t="s">
        <v>799</v>
      </c>
      <c r="J211" s="31">
        <v>1323482</v>
      </c>
      <c r="K211" s="31" t="s">
        <v>799</v>
      </c>
      <c r="L211" s="31">
        <v>1201656</v>
      </c>
      <c r="M211" s="31" t="s">
        <v>799</v>
      </c>
      <c r="N211" s="31">
        <v>4500196026</v>
      </c>
      <c r="O211" s="31"/>
      <c r="P211" s="31"/>
      <c r="Q211" s="31" t="s">
        <v>181</v>
      </c>
      <c r="R211" s="31" t="s">
        <v>102</v>
      </c>
      <c r="S211" s="31" t="s">
        <v>103</v>
      </c>
      <c r="T211" s="31">
        <v>60316.800000000003</v>
      </c>
      <c r="U211" s="31" t="s">
        <v>182</v>
      </c>
      <c r="V211" s="31"/>
      <c r="W211" s="31" t="s">
        <v>63</v>
      </c>
      <c r="X211" s="31"/>
      <c r="Y211" s="31"/>
      <c r="Z211" s="31"/>
      <c r="AA211" s="31" t="s">
        <v>64</v>
      </c>
      <c r="AB211" s="33">
        <v>42276</v>
      </c>
      <c r="AC211" s="31"/>
      <c r="AD211" s="31"/>
      <c r="AE211" s="31"/>
      <c r="AF211" s="31" t="s">
        <v>183</v>
      </c>
      <c r="AG211" s="31"/>
      <c r="AH211" s="31">
        <v>0</v>
      </c>
      <c r="AI211" s="31"/>
      <c r="AJ211" s="31"/>
      <c r="AK211" s="31">
        <v>0</v>
      </c>
      <c r="AL211" s="31">
        <v>0</v>
      </c>
      <c r="AM211" s="31">
        <v>0</v>
      </c>
      <c r="AN211" s="31">
        <v>636808625721</v>
      </c>
      <c r="AO211" s="31"/>
      <c r="AP211" s="31"/>
    </row>
    <row r="212" spans="1:42" x14ac:dyDescent="0.2">
      <c r="A212" s="31">
        <v>10019352</v>
      </c>
      <c r="B212" s="31" t="s">
        <v>22</v>
      </c>
      <c r="C212" s="31" t="s">
        <v>78</v>
      </c>
      <c r="D212" s="33">
        <v>42276</v>
      </c>
      <c r="E212" s="31"/>
      <c r="F212" s="31"/>
      <c r="G212" s="31"/>
      <c r="H212" s="31">
        <v>1201566</v>
      </c>
      <c r="I212" s="31" t="s">
        <v>154</v>
      </c>
      <c r="J212" s="31">
        <v>1201566</v>
      </c>
      <c r="K212" s="31" t="s">
        <v>154</v>
      </c>
      <c r="L212" s="31">
        <v>1201566</v>
      </c>
      <c r="M212" s="31" t="s">
        <v>154</v>
      </c>
      <c r="N212" s="31">
        <v>2829808</v>
      </c>
      <c r="O212" s="31"/>
      <c r="P212" s="31"/>
      <c r="Q212" s="31" t="s">
        <v>181</v>
      </c>
      <c r="R212" s="31"/>
      <c r="S212" s="31"/>
      <c r="T212" s="31">
        <v>0</v>
      </c>
      <c r="U212" s="31" t="s">
        <v>182</v>
      </c>
      <c r="V212" s="31"/>
      <c r="W212" s="31" t="s">
        <v>63</v>
      </c>
      <c r="X212" s="31"/>
      <c r="Y212" s="31"/>
      <c r="Z212" s="31"/>
      <c r="AA212" s="31" t="s">
        <v>64</v>
      </c>
      <c r="AB212" s="33">
        <v>42276</v>
      </c>
      <c r="AC212" s="31"/>
      <c r="AD212" s="31"/>
      <c r="AE212" s="31"/>
      <c r="AF212" s="31" t="s">
        <v>183</v>
      </c>
      <c r="AG212" s="31"/>
      <c r="AH212" s="31">
        <v>0</v>
      </c>
      <c r="AI212" s="31"/>
      <c r="AJ212" s="31"/>
      <c r="AK212" s="31">
        <v>0</v>
      </c>
      <c r="AL212" s="31">
        <v>0</v>
      </c>
      <c r="AM212" s="31">
        <v>0</v>
      </c>
      <c r="AN212" s="31"/>
      <c r="AO212" s="31"/>
      <c r="AP212" s="31"/>
    </row>
    <row r="213" spans="1:42" x14ac:dyDescent="0.2">
      <c r="A213" s="31">
        <v>10019353</v>
      </c>
      <c r="B213" s="31" t="s">
        <v>22</v>
      </c>
      <c r="C213" s="31" t="s">
        <v>78</v>
      </c>
      <c r="D213" s="33">
        <v>42276</v>
      </c>
      <c r="E213" s="31">
        <v>93527170</v>
      </c>
      <c r="F213" s="33">
        <v>42265</v>
      </c>
      <c r="G213" s="33">
        <v>42268</v>
      </c>
      <c r="H213" s="31">
        <v>1201766</v>
      </c>
      <c r="I213" s="31" t="s">
        <v>143</v>
      </c>
      <c r="J213" s="31">
        <v>1157939</v>
      </c>
      <c r="K213" s="31" t="s">
        <v>143</v>
      </c>
      <c r="L213" s="31">
        <v>1201766</v>
      </c>
      <c r="M213" s="31" t="s">
        <v>143</v>
      </c>
      <c r="N213" s="31">
        <v>61166</v>
      </c>
      <c r="O213" s="31"/>
      <c r="P213" s="31"/>
      <c r="Q213" s="31" t="s">
        <v>181</v>
      </c>
      <c r="R213" s="31" t="s">
        <v>67</v>
      </c>
      <c r="S213" s="31" t="s">
        <v>68</v>
      </c>
      <c r="T213" s="31">
        <v>137.28</v>
      </c>
      <c r="U213" s="31" t="s">
        <v>182</v>
      </c>
      <c r="V213" s="31"/>
      <c r="W213" s="31" t="s">
        <v>63</v>
      </c>
      <c r="X213" s="31"/>
      <c r="Y213" s="31"/>
      <c r="Z213" s="31"/>
      <c r="AA213" s="31" t="s">
        <v>64</v>
      </c>
      <c r="AB213" s="33">
        <v>42276</v>
      </c>
      <c r="AC213" s="31"/>
      <c r="AD213" s="31"/>
      <c r="AE213" s="31"/>
      <c r="AF213" s="31" t="s">
        <v>183</v>
      </c>
      <c r="AG213" s="31"/>
      <c r="AH213" s="31">
        <v>0</v>
      </c>
      <c r="AI213" s="31"/>
      <c r="AJ213" s="31"/>
      <c r="AK213" s="31">
        <v>0</v>
      </c>
      <c r="AL213" s="31">
        <v>0</v>
      </c>
      <c r="AM213" s="31">
        <v>0</v>
      </c>
      <c r="AN213" s="31">
        <v>3527005403</v>
      </c>
      <c r="AO213" s="31"/>
      <c r="AP213" s="31"/>
    </row>
    <row r="214" spans="1:42" x14ac:dyDescent="0.2">
      <c r="A214" s="31">
        <v>10019354</v>
      </c>
      <c r="B214" s="31" t="s">
        <v>26</v>
      </c>
      <c r="C214" s="31" t="s">
        <v>78</v>
      </c>
      <c r="D214" s="33">
        <v>42276</v>
      </c>
      <c r="E214" s="31">
        <v>93522866</v>
      </c>
      <c r="F214" s="33">
        <v>42262</v>
      </c>
      <c r="G214" s="31"/>
      <c r="H214" s="31">
        <v>1201047</v>
      </c>
      <c r="I214" s="31" t="s">
        <v>79</v>
      </c>
      <c r="J214" s="31">
        <v>1317086</v>
      </c>
      <c r="K214" s="31" t="s">
        <v>85</v>
      </c>
      <c r="L214" s="31">
        <v>1171089</v>
      </c>
      <c r="M214" s="31" t="s">
        <v>75</v>
      </c>
      <c r="N214" s="31">
        <v>23607922</v>
      </c>
      <c r="O214" s="31"/>
      <c r="P214" s="31"/>
      <c r="Q214" s="31" t="s">
        <v>181</v>
      </c>
      <c r="R214" s="31" t="s">
        <v>86</v>
      </c>
      <c r="S214" s="31" t="s">
        <v>87</v>
      </c>
      <c r="T214" s="31">
        <v>10791.36</v>
      </c>
      <c r="U214" s="31" t="s">
        <v>182</v>
      </c>
      <c r="V214" s="31"/>
      <c r="W214" s="31" t="s">
        <v>63</v>
      </c>
      <c r="X214" s="31" t="s">
        <v>81</v>
      </c>
      <c r="Y214" s="31" t="s">
        <v>88</v>
      </c>
      <c r="Z214" s="33">
        <v>42279</v>
      </c>
      <c r="AA214" s="31"/>
      <c r="AB214" s="31"/>
      <c r="AC214" s="31"/>
      <c r="AD214" s="31"/>
      <c r="AE214" s="31"/>
      <c r="AF214" s="31" t="s">
        <v>183</v>
      </c>
      <c r="AG214" s="31"/>
      <c r="AH214" s="31">
        <v>0</v>
      </c>
      <c r="AI214" s="31"/>
      <c r="AJ214" s="31"/>
      <c r="AK214" s="31">
        <v>0</v>
      </c>
      <c r="AL214" s="31">
        <v>0</v>
      </c>
      <c r="AM214" s="31">
        <v>0</v>
      </c>
      <c r="AN214" s="31" t="s">
        <v>800</v>
      </c>
      <c r="AO214" s="31" t="s">
        <v>89</v>
      </c>
      <c r="AP214" s="31" t="s">
        <v>274</v>
      </c>
    </row>
    <row r="215" spans="1:42" x14ac:dyDescent="0.2">
      <c r="A215" s="31">
        <v>10019357</v>
      </c>
      <c r="B215" s="31" t="s">
        <v>18</v>
      </c>
      <c r="C215" s="31" t="s">
        <v>78</v>
      </c>
      <c r="D215" s="33">
        <v>42276</v>
      </c>
      <c r="E215" s="31">
        <v>93536244</v>
      </c>
      <c r="F215" s="33">
        <v>42272</v>
      </c>
      <c r="G215" s="31"/>
      <c r="H215" s="31">
        <v>1201120</v>
      </c>
      <c r="I215" s="31" t="s">
        <v>117</v>
      </c>
      <c r="J215" s="31">
        <v>1307782</v>
      </c>
      <c r="K215" s="31" t="s">
        <v>119</v>
      </c>
      <c r="L215" s="31">
        <v>1171090</v>
      </c>
      <c r="M215" s="31" t="s">
        <v>118</v>
      </c>
      <c r="N215" s="31" t="s">
        <v>801</v>
      </c>
      <c r="O215" s="31"/>
      <c r="P215" s="31"/>
      <c r="Q215" s="31" t="s">
        <v>181</v>
      </c>
      <c r="R215" s="31" t="s">
        <v>91</v>
      </c>
      <c r="S215" s="31" t="s">
        <v>92</v>
      </c>
      <c r="T215" s="31">
        <v>1778.28</v>
      </c>
      <c r="U215" s="31" t="s">
        <v>182</v>
      </c>
      <c r="V215" s="31"/>
      <c r="W215" s="31" t="s">
        <v>63</v>
      </c>
      <c r="X215" s="31" t="s">
        <v>70</v>
      </c>
      <c r="Y215" s="31" t="s">
        <v>76</v>
      </c>
      <c r="Z215" s="33">
        <v>42277</v>
      </c>
      <c r="AA215" s="31" t="s">
        <v>83</v>
      </c>
      <c r="AB215" s="33">
        <v>42279</v>
      </c>
      <c r="AC215" s="31"/>
      <c r="AD215" s="31"/>
      <c r="AE215" s="31"/>
      <c r="AF215" s="31" t="s">
        <v>183</v>
      </c>
      <c r="AG215" s="31"/>
      <c r="AH215" s="31">
        <v>0</v>
      </c>
      <c r="AI215" s="31"/>
      <c r="AJ215" s="31"/>
      <c r="AK215" s="31">
        <v>0</v>
      </c>
      <c r="AL215" s="31">
        <v>0</v>
      </c>
      <c r="AM215" s="31">
        <v>0</v>
      </c>
      <c r="AN215" s="31" t="s">
        <v>802</v>
      </c>
      <c r="AO215" s="31" t="s">
        <v>77</v>
      </c>
      <c r="AP215" s="31" t="s">
        <v>386</v>
      </c>
    </row>
    <row r="216" spans="1:42" x14ac:dyDescent="0.2">
      <c r="A216" s="31">
        <v>10019359</v>
      </c>
      <c r="B216" s="31" t="s">
        <v>18</v>
      </c>
      <c r="C216" s="31" t="s">
        <v>573</v>
      </c>
      <c r="D216" s="33">
        <v>42276</v>
      </c>
      <c r="E216" s="31">
        <v>93527206</v>
      </c>
      <c r="F216" s="33">
        <v>42265</v>
      </c>
      <c r="G216" s="33">
        <v>42270</v>
      </c>
      <c r="H216" s="31">
        <v>1319184</v>
      </c>
      <c r="I216" s="31" t="s">
        <v>479</v>
      </c>
      <c r="J216" s="31">
        <v>1325901</v>
      </c>
      <c r="K216" s="31" t="s">
        <v>479</v>
      </c>
      <c r="L216" s="31">
        <v>1319184</v>
      </c>
      <c r="M216" s="31" t="s">
        <v>479</v>
      </c>
      <c r="N216" s="31">
        <v>563141</v>
      </c>
      <c r="O216" s="31"/>
      <c r="P216" s="31"/>
      <c r="Q216" s="31" t="s">
        <v>181</v>
      </c>
      <c r="R216" s="31" t="s">
        <v>67</v>
      </c>
      <c r="S216" s="31" t="s">
        <v>68</v>
      </c>
      <c r="T216" s="31">
        <v>23.76</v>
      </c>
      <c r="U216" s="31" t="s">
        <v>182</v>
      </c>
      <c r="V216" s="31"/>
      <c r="W216" s="31" t="s">
        <v>63</v>
      </c>
      <c r="X216" s="31" t="s">
        <v>70</v>
      </c>
      <c r="Y216" s="31" t="s">
        <v>76</v>
      </c>
      <c r="Z216" s="33">
        <v>42277</v>
      </c>
      <c r="AA216" s="31" t="s">
        <v>64</v>
      </c>
      <c r="AB216" s="33">
        <v>42276</v>
      </c>
      <c r="AC216" s="31"/>
      <c r="AD216" s="31"/>
      <c r="AE216" s="31"/>
      <c r="AF216" s="31" t="s">
        <v>183</v>
      </c>
      <c r="AG216" s="31"/>
      <c r="AH216" s="31">
        <v>0</v>
      </c>
      <c r="AI216" s="31"/>
      <c r="AJ216" s="31"/>
      <c r="AK216" s="31">
        <v>0</v>
      </c>
      <c r="AL216" s="31">
        <v>0</v>
      </c>
      <c r="AM216" s="31">
        <v>0</v>
      </c>
      <c r="AN216" s="31">
        <v>3527005554</v>
      </c>
      <c r="AO216" s="31" t="s">
        <v>77</v>
      </c>
      <c r="AP216" s="31" t="s">
        <v>803</v>
      </c>
    </row>
    <row r="217" spans="1:42" x14ac:dyDescent="0.2">
      <c r="A217" s="31">
        <v>10019360</v>
      </c>
      <c r="B217" s="31" t="s">
        <v>18</v>
      </c>
      <c r="C217" s="31" t="s">
        <v>573</v>
      </c>
      <c r="D217" s="33">
        <v>42276</v>
      </c>
      <c r="E217" s="31">
        <v>93525797</v>
      </c>
      <c r="F217" s="33">
        <v>42264</v>
      </c>
      <c r="G217" s="33">
        <v>42268</v>
      </c>
      <c r="H217" s="31">
        <v>1201566</v>
      </c>
      <c r="I217" s="31" t="s">
        <v>154</v>
      </c>
      <c r="J217" s="31">
        <v>1201566</v>
      </c>
      <c r="K217" s="31" t="s">
        <v>154</v>
      </c>
      <c r="L217" s="31">
        <v>1201566</v>
      </c>
      <c r="M217" s="31" t="s">
        <v>154</v>
      </c>
      <c r="N217" s="31">
        <v>2829808</v>
      </c>
      <c r="O217" s="31"/>
      <c r="P217" s="31"/>
      <c r="Q217" s="31" t="s">
        <v>181</v>
      </c>
      <c r="R217" s="31" t="s">
        <v>67</v>
      </c>
      <c r="S217" s="31" t="s">
        <v>68</v>
      </c>
      <c r="T217" s="31">
        <v>89.04</v>
      </c>
      <c r="U217" s="31" t="s">
        <v>182</v>
      </c>
      <c r="V217" s="31"/>
      <c r="W217" s="31" t="s">
        <v>63</v>
      </c>
      <c r="X217" s="31" t="s">
        <v>70</v>
      </c>
      <c r="Y217" s="31" t="s">
        <v>76</v>
      </c>
      <c r="Z217" s="33">
        <v>42277</v>
      </c>
      <c r="AA217" s="31" t="s">
        <v>64</v>
      </c>
      <c r="AB217" s="33">
        <v>42276</v>
      </c>
      <c r="AC217" s="31"/>
      <c r="AD217" s="31"/>
      <c r="AE217" s="31"/>
      <c r="AF217" s="31" t="s">
        <v>183</v>
      </c>
      <c r="AG217" s="31"/>
      <c r="AH217" s="31">
        <v>0</v>
      </c>
      <c r="AI217" s="31"/>
      <c r="AJ217" s="31"/>
      <c r="AK217" s="31">
        <v>0</v>
      </c>
      <c r="AL217" s="31">
        <v>0</v>
      </c>
      <c r="AM217" s="31">
        <v>0</v>
      </c>
      <c r="AN217" s="31">
        <v>3527008811</v>
      </c>
      <c r="AO217" s="31" t="s">
        <v>77</v>
      </c>
      <c r="AP217" s="31" t="s">
        <v>211</v>
      </c>
    </row>
    <row r="218" spans="1:42" x14ac:dyDescent="0.2">
      <c r="A218" s="31">
        <v>10019362</v>
      </c>
      <c r="B218" s="31" t="s">
        <v>26</v>
      </c>
      <c r="C218" s="31" t="s">
        <v>78</v>
      </c>
      <c r="D218" s="33">
        <v>42276</v>
      </c>
      <c r="E218" s="31">
        <v>93534785</v>
      </c>
      <c r="F218" s="33">
        <v>42271</v>
      </c>
      <c r="G218" s="33">
        <v>42275</v>
      </c>
      <c r="H218" s="31">
        <v>1201605</v>
      </c>
      <c r="I218" s="31" t="s">
        <v>155</v>
      </c>
      <c r="J218" s="31">
        <v>1310002</v>
      </c>
      <c r="K218" s="31" t="s">
        <v>155</v>
      </c>
      <c r="L218" s="31">
        <v>1172017</v>
      </c>
      <c r="M218" s="31" t="s">
        <v>155</v>
      </c>
      <c r="N218" s="31">
        <v>536468</v>
      </c>
      <c r="O218" s="31"/>
      <c r="P218" s="31"/>
      <c r="Q218" s="31" t="s">
        <v>181</v>
      </c>
      <c r="R218" s="31" t="s">
        <v>67</v>
      </c>
      <c r="S218" s="31" t="s">
        <v>68</v>
      </c>
      <c r="T218" s="31">
        <v>557.16</v>
      </c>
      <c r="U218" s="31" t="s">
        <v>182</v>
      </c>
      <c r="V218" s="31"/>
      <c r="W218" s="31" t="s">
        <v>63</v>
      </c>
      <c r="X218" s="31" t="s">
        <v>94</v>
      </c>
      <c r="Y218" s="31" t="s">
        <v>95</v>
      </c>
      <c r="Z218" s="33">
        <v>42279</v>
      </c>
      <c r="AA218" s="31" t="s">
        <v>64</v>
      </c>
      <c r="AB218" s="33">
        <v>42276</v>
      </c>
      <c r="AC218" s="31"/>
      <c r="AD218" s="31"/>
      <c r="AE218" s="31"/>
      <c r="AF218" s="31" t="s">
        <v>183</v>
      </c>
      <c r="AG218" s="31"/>
      <c r="AH218" s="31">
        <v>0</v>
      </c>
      <c r="AI218" s="31"/>
      <c r="AJ218" s="31"/>
      <c r="AK218" s="31">
        <v>0</v>
      </c>
      <c r="AL218" s="31">
        <v>0</v>
      </c>
      <c r="AM218" s="31">
        <v>0</v>
      </c>
      <c r="AN218" s="31">
        <v>3527006302</v>
      </c>
      <c r="AO218" s="31" t="s">
        <v>96</v>
      </c>
      <c r="AP218" s="31" t="s">
        <v>804</v>
      </c>
    </row>
    <row r="219" spans="1:42" x14ac:dyDescent="0.2">
      <c r="A219" s="31">
        <v>10019371</v>
      </c>
      <c r="B219" s="31" t="s">
        <v>18</v>
      </c>
      <c r="C219" s="31" t="s">
        <v>573</v>
      </c>
      <c r="D219" s="33">
        <v>42276</v>
      </c>
      <c r="E219" s="31">
        <v>93536248</v>
      </c>
      <c r="F219" s="33">
        <v>42272</v>
      </c>
      <c r="G219" s="31"/>
      <c r="H219" s="31">
        <v>1201120</v>
      </c>
      <c r="I219" s="31" t="s">
        <v>117</v>
      </c>
      <c r="J219" s="31">
        <v>1307782</v>
      </c>
      <c r="K219" s="31" t="s">
        <v>119</v>
      </c>
      <c r="L219" s="31">
        <v>1171090</v>
      </c>
      <c r="M219" s="31" t="s">
        <v>118</v>
      </c>
      <c r="N219" s="31" t="s">
        <v>805</v>
      </c>
      <c r="O219" s="31"/>
      <c r="P219" s="31"/>
      <c r="Q219" s="31" t="s">
        <v>181</v>
      </c>
      <c r="R219" s="31" t="s">
        <v>91</v>
      </c>
      <c r="S219" s="31" t="s">
        <v>92</v>
      </c>
      <c r="T219" s="31">
        <v>3434.11</v>
      </c>
      <c r="U219" s="31" t="s">
        <v>182</v>
      </c>
      <c r="V219" s="31"/>
      <c r="W219" s="31" t="s">
        <v>63</v>
      </c>
      <c r="X219" s="31" t="s">
        <v>70</v>
      </c>
      <c r="Y219" s="31" t="s">
        <v>76</v>
      </c>
      <c r="Z219" s="33">
        <v>42277</v>
      </c>
      <c r="AA219" s="31" t="s">
        <v>83</v>
      </c>
      <c r="AB219" s="33">
        <v>42279</v>
      </c>
      <c r="AC219" s="31"/>
      <c r="AD219" s="31"/>
      <c r="AE219" s="31"/>
      <c r="AF219" s="31" t="s">
        <v>183</v>
      </c>
      <c r="AG219" s="31"/>
      <c r="AH219" s="31">
        <v>0</v>
      </c>
      <c r="AI219" s="31"/>
      <c r="AJ219" s="31"/>
      <c r="AK219" s="31">
        <v>0</v>
      </c>
      <c r="AL219" s="31">
        <v>0</v>
      </c>
      <c r="AM219" s="31">
        <v>0</v>
      </c>
      <c r="AN219" s="31" t="s">
        <v>806</v>
      </c>
      <c r="AO219" s="31" t="s">
        <v>77</v>
      </c>
      <c r="AP219" s="31" t="s">
        <v>807</v>
      </c>
    </row>
    <row r="220" spans="1:42" x14ac:dyDescent="0.2">
      <c r="A220" s="31">
        <v>10019373</v>
      </c>
      <c r="B220" s="31" t="s">
        <v>18</v>
      </c>
      <c r="C220" s="31" t="s">
        <v>78</v>
      </c>
      <c r="D220" s="33">
        <v>42276</v>
      </c>
      <c r="E220" s="31">
        <v>93476194</v>
      </c>
      <c r="F220" s="33">
        <v>42227</v>
      </c>
      <c r="G220" s="33">
        <v>42229</v>
      </c>
      <c r="H220" s="31">
        <v>1201215</v>
      </c>
      <c r="I220" s="31" t="s">
        <v>138</v>
      </c>
      <c r="J220" s="31">
        <v>1324492</v>
      </c>
      <c r="K220" s="31" t="s">
        <v>138</v>
      </c>
      <c r="L220" s="31">
        <v>1201215</v>
      </c>
      <c r="M220" s="31" t="s">
        <v>138</v>
      </c>
      <c r="N220" s="31" t="s">
        <v>808</v>
      </c>
      <c r="O220" s="31"/>
      <c r="P220" s="31"/>
      <c r="Q220" s="31" t="s">
        <v>181</v>
      </c>
      <c r="R220" s="31" t="s">
        <v>67</v>
      </c>
      <c r="S220" s="31" t="s">
        <v>68</v>
      </c>
      <c r="T220" s="31">
        <v>1344.12</v>
      </c>
      <c r="U220" s="31" t="s">
        <v>182</v>
      </c>
      <c r="V220" s="31"/>
      <c r="W220" s="31" t="s">
        <v>63</v>
      </c>
      <c r="X220" s="31" t="s">
        <v>70</v>
      </c>
      <c r="Y220" s="31" t="s">
        <v>76</v>
      </c>
      <c r="Z220" s="33">
        <v>42277</v>
      </c>
      <c r="AA220" s="31" t="s">
        <v>64</v>
      </c>
      <c r="AB220" s="33">
        <v>42276</v>
      </c>
      <c r="AC220" s="31"/>
      <c r="AD220" s="31"/>
      <c r="AE220" s="31"/>
      <c r="AF220" s="31" t="s">
        <v>183</v>
      </c>
      <c r="AG220" s="31"/>
      <c r="AH220" s="31">
        <v>0</v>
      </c>
      <c r="AI220" s="31"/>
      <c r="AJ220" s="31"/>
      <c r="AK220" s="31">
        <v>0</v>
      </c>
      <c r="AL220" s="31">
        <v>0</v>
      </c>
      <c r="AM220" s="31">
        <v>0</v>
      </c>
      <c r="AN220" s="31">
        <v>3511785970</v>
      </c>
      <c r="AO220" s="31" t="s">
        <v>77</v>
      </c>
      <c r="AP220" s="31" t="s">
        <v>191</v>
      </c>
    </row>
    <row r="221" spans="1:42" x14ac:dyDescent="0.2">
      <c r="A221" s="31">
        <v>10019379</v>
      </c>
      <c r="B221" s="31" t="s">
        <v>24</v>
      </c>
      <c r="C221" s="31" t="s">
        <v>78</v>
      </c>
      <c r="D221" s="33">
        <v>42276</v>
      </c>
      <c r="E221" s="31">
        <v>93529347</v>
      </c>
      <c r="F221" s="33">
        <v>42268</v>
      </c>
      <c r="G221" s="33">
        <v>42275</v>
      </c>
      <c r="H221" s="31">
        <v>1201047</v>
      </c>
      <c r="I221" s="31" t="s">
        <v>79</v>
      </c>
      <c r="J221" s="31">
        <v>1051549</v>
      </c>
      <c r="K221" s="31" t="s">
        <v>85</v>
      </c>
      <c r="L221" s="31">
        <v>1171089</v>
      </c>
      <c r="M221" s="31" t="s">
        <v>75</v>
      </c>
      <c r="N221" s="31">
        <v>12908569</v>
      </c>
      <c r="O221" s="31"/>
      <c r="P221" s="31"/>
      <c r="Q221" s="31" t="s">
        <v>181</v>
      </c>
      <c r="R221" s="31" t="s">
        <v>67</v>
      </c>
      <c r="S221" s="31" t="s">
        <v>68</v>
      </c>
      <c r="T221" s="31">
        <v>3223.8</v>
      </c>
      <c r="U221" s="31" t="s">
        <v>182</v>
      </c>
      <c r="V221" s="31"/>
      <c r="W221" s="31" t="s">
        <v>63</v>
      </c>
      <c r="X221" s="31"/>
      <c r="Y221" s="31"/>
      <c r="Z221" s="31"/>
      <c r="AA221" s="31" t="s">
        <v>64</v>
      </c>
      <c r="AB221" s="33">
        <v>42276</v>
      </c>
      <c r="AC221" s="31"/>
      <c r="AD221" s="31"/>
      <c r="AE221" s="31"/>
      <c r="AF221" s="31" t="s">
        <v>183</v>
      </c>
      <c r="AG221" s="31"/>
      <c r="AH221" s="31">
        <v>0</v>
      </c>
      <c r="AI221" s="31"/>
      <c r="AJ221" s="31"/>
      <c r="AK221" s="31">
        <v>0</v>
      </c>
      <c r="AL221" s="31">
        <v>0</v>
      </c>
      <c r="AM221" s="31">
        <v>0</v>
      </c>
      <c r="AN221" s="31">
        <v>3527005613</v>
      </c>
      <c r="AO221" s="31"/>
      <c r="AP221" s="31"/>
    </row>
    <row r="222" spans="1:42" x14ac:dyDescent="0.2">
      <c r="A222" s="31">
        <v>10019380</v>
      </c>
      <c r="B222" s="31" t="s">
        <v>26</v>
      </c>
      <c r="C222" s="31" t="s">
        <v>78</v>
      </c>
      <c r="D222" s="33">
        <v>42277</v>
      </c>
      <c r="E222" s="31">
        <v>93527032</v>
      </c>
      <c r="F222" s="33">
        <v>42265</v>
      </c>
      <c r="G222" s="33">
        <v>42268</v>
      </c>
      <c r="H222" s="31">
        <v>1201483</v>
      </c>
      <c r="I222" s="31" t="s">
        <v>147</v>
      </c>
      <c r="J222" s="31">
        <v>1001169</v>
      </c>
      <c r="K222" s="31" t="s">
        <v>148</v>
      </c>
      <c r="L222" s="31">
        <v>1201483</v>
      </c>
      <c r="M222" s="31" t="s">
        <v>147</v>
      </c>
      <c r="N222" s="31">
        <v>93883</v>
      </c>
      <c r="O222" s="31"/>
      <c r="P222" s="31"/>
      <c r="Q222" s="31" t="s">
        <v>181</v>
      </c>
      <c r="R222" s="31" t="s">
        <v>67</v>
      </c>
      <c r="S222" s="31" t="s">
        <v>68</v>
      </c>
      <c r="T222" s="31">
        <v>269.04000000000002</v>
      </c>
      <c r="U222" s="31" t="s">
        <v>182</v>
      </c>
      <c r="V222" s="31"/>
      <c r="W222" s="31" t="s">
        <v>63</v>
      </c>
      <c r="X222" s="31" t="s">
        <v>94</v>
      </c>
      <c r="Y222" s="31" t="s">
        <v>95</v>
      </c>
      <c r="Z222" s="33">
        <v>42279</v>
      </c>
      <c r="AA222" s="31" t="s">
        <v>64</v>
      </c>
      <c r="AB222" s="33">
        <v>42277</v>
      </c>
      <c r="AC222" s="31"/>
      <c r="AD222" s="31"/>
      <c r="AE222" s="31"/>
      <c r="AF222" s="31" t="s">
        <v>183</v>
      </c>
      <c r="AG222" s="31"/>
      <c r="AH222" s="31">
        <v>0</v>
      </c>
      <c r="AI222" s="31"/>
      <c r="AJ222" s="31"/>
      <c r="AK222" s="31">
        <v>0</v>
      </c>
      <c r="AL222" s="31">
        <v>0</v>
      </c>
      <c r="AM222" s="31">
        <v>0</v>
      </c>
      <c r="AN222" s="31">
        <v>3527005495</v>
      </c>
      <c r="AO222" s="31" t="s">
        <v>96</v>
      </c>
      <c r="AP222" s="31" t="s">
        <v>809</v>
      </c>
    </row>
    <row r="223" spans="1:42" x14ac:dyDescent="0.2">
      <c r="A223" s="31">
        <v>10019381</v>
      </c>
      <c r="B223" s="31" t="s">
        <v>26</v>
      </c>
      <c r="C223" s="31" t="s">
        <v>573</v>
      </c>
      <c r="D223" s="33">
        <v>42277</v>
      </c>
      <c r="E223" s="31">
        <v>93526713</v>
      </c>
      <c r="F223" s="33">
        <v>42265</v>
      </c>
      <c r="G223" s="31"/>
      <c r="H223" s="31">
        <v>1201047</v>
      </c>
      <c r="I223" s="31" t="s">
        <v>79</v>
      </c>
      <c r="J223" s="31">
        <v>1051549</v>
      </c>
      <c r="K223" s="31" t="s">
        <v>85</v>
      </c>
      <c r="L223" s="31">
        <v>1171089</v>
      </c>
      <c r="M223" s="31" t="s">
        <v>75</v>
      </c>
      <c r="N223" s="31">
        <v>12908279</v>
      </c>
      <c r="O223" s="31"/>
      <c r="P223" s="31"/>
      <c r="Q223" s="31" t="s">
        <v>181</v>
      </c>
      <c r="R223" s="31" t="s">
        <v>91</v>
      </c>
      <c r="S223" s="31" t="s">
        <v>92</v>
      </c>
      <c r="T223" s="31">
        <v>11908.32</v>
      </c>
      <c r="U223" s="31" t="s">
        <v>182</v>
      </c>
      <c r="V223" s="31"/>
      <c r="W223" s="31" t="s">
        <v>63</v>
      </c>
      <c r="X223" s="31"/>
      <c r="Y223" s="31"/>
      <c r="Z223" s="31"/>
      <c r="AA223" s="31"/>
      <c r="AB223" s="31"/>
      <c r="AC223" s="31"/>
      <c r="AD223" s="31"/>
      <c r="AE223" s="31"/>
      <c r="AF223" s="31" t="s">
        <v>183</v>
      </c>
      <c r="AG223" s="31"/>
      <c r="AH223" s="31">
        <v>0</v>
      </c>
      <c r="AI223" s="31"/>
      <c r="AJ223" s="31"/>
      <c r="AK223" s="31">
        <v>0</v>
      </c>
      <c r="AL223" s="31">
        <v>0</v>
      </c>
      <c r="AM223" s="31">
        <v>0</v>
      </c>
      <c r="AN223" s="31" t="s">
        <v>810</v>
      </c>
      <c r="AO223" s="31"/>
      <c r="AP223" s="31"/>
    </row>
    <row r="224" spans="1:42" x14ac:dyDescent="0.2">
      <c r="A224" s="31">
        <v>10019382</v>
      </c>
      <c r="B224" s="31" t="s">
        <v>18</v>
      </c>
      <c r="C224" s="31" t="s">
        <v>78</v>
      </c>
      <c r="D224" s="33">
        <v>42277</v>
      </c>
      <c r="E224" s="31">
        <v>93516885</v>
      </c>
      <c r="F224" s="33">
        <v>42257</v>
      </c>
      <c r="G224" s="33">
        <v>42263</v>
      </c>
      <c r="H224" s="31">
        <v>1201540</v>
      </c>
      <c r="I224" s="31" t="s">
        <v>150</v>
      </c>
      <c r="J224" s="31">
        <v>1312297</v>
      </c>
      <c r="K224" s="31" t="s">
        <v>151</v>
      </c>
      <c r="L224" s="31">
        <v>1201540</v>
      </c>
      <c r="M224" s="31" t="s">
        <v>150</v>
      </c>
      <c r="N224" s="31" t="s">
        <v>811</v>
      </c>
      <c r="O224" s="31"/>
      <c r="P224" s="31"/>
      <c r="Q224" s="31" t="s">
        <v>181</v>
      </c>
      <c r="R224" s="31" t="s">
        <v>67</v>
      </c>
      <c r="S224" s="31" t="s">
        <v>68</v>
      </c>
      <c r="T224" s="31">
        <v>28.41</v>
      </c>
      <c r="U224" s="31" t="s">
        <v>182</v>
      </c>
      <c r="V224" s="31"/>
      <c r="W224" s="31" t="s">
        <v>63</v>
      </c>
      <c r="X224" s="31" t="s">
        <v>70</v>
      </c>
      <c r="Y224" s="31" t="s">
        <v>76</v>
      </c>
      <c r="Z224" s="33">
        <v>42277</v>
      </c>
      <c r="AA224" s="31" t="s">
        <v>64</v>
      </c>
      <c r="AB224" s="33">
        <v>42277</v>
      </c>
      <c r="AC224" s="31"/>
      <c r="AD224" s="31"/>
      <c r="AE224" s="31"/>
      <c r="AF224" s="31" t="s">
        <v>183</v>
      </c>
      <c r="AG224" s="31"/>
      <c r="AH224" s="31">
        <v>0</v>
      </c>
      <c r="AI224" s="31"/>
      <c r="AJ224" s="31"/>
      <c r="AK224" s="31">
        <v>0</v>
      </c>
      <c r="AL224" s="31">
        <v>0</v>
      </c>
      <c r="AM224" s="31">
        <v>0</v>
      </c>
      <c r="AN224" s="31">
        <v>2795191125</v>
      </c>
      <c r="AO224" s="31" t="s">
        <v>77</v>
      </c>
      <c r="AP224" s="31" t="s">
        <v>196</v>
      </c>
    </row>
    <row r="225" spans="1:42" x14ac:dyDescent="0.2">
      <c r="A225" s="31">
        <v>10019383</v>
      </c>
      <c r="B225" s="31" t="s">
        <v>26</v>
      </c>
      <c r="C225" s="31" t="s">
        <v>78</v>
      </c>
      <c r="D225" s="33">
        <v>42277</v>
      </c>
      <c r="E225" s="31">
        <v>93533280</v>
      </c>
      <c r="F225" s="33">
        <v>42270</v>
      </c>
      <c r="G225" s="31"/>
      <c r="H225" s="31">
        <v>1201248</v>
      </c>
      <c r="I225" s="31" t="s">
        <v>488</v>
      </c>
      <c r="J225" s="31">
        <v>1201248</v>
      </c>
      <c r="K225" s="31" t="s">
        <v>488</v>
      </c>
      <c r="L225" s="31">
        <v>1201248</v>
      </c>
      <c r="M225" s="31" t="s">
        <v>488</v>
      </c>
      <c r="N225" s="31">
        <v>2129856</v>
      </c>
      <c r="O225" s="31"/>
      <c r="P225" s="31"/>
      <c r="Q225" s="31" t="s">
        <v>181</v>
      </c>
      <c r="R225" s="31" t="s">
        <v>102</v>
      </c>
      <c r="S225" s="31" t="s">
        <v>103</v>
      </c>
      <c r="T225" s="31">
        <v>14580.48</v>
      </c>
      <c r="U225" s="31" t="s">
        <v>182</v>
      </c>
      <c r="V225" s="31"/>
      <c r="W225" s="31" t="s">
        <v>63</v>
      </c>
      <c r="X225" s="31" t="s">
        <v>94</v>
      </c>
      <c r="Y225" s="31" t="s">
        <v>95</v>
      </c>
      <c r="Z225" s="33">
        <v>42279</v>
      </c>
      <c r="AA225" s="31" t="s">
        <v>83</v>
      </c>
      <c r="AB225" s="33">
        <v>42279</v>
      </c>
      <c r="AC225" s="31"/>
      <c r="AD225" s="31"/>
      <c r="AE225" s="31"/>
      <c r="AF225" s="31" t="s">
        <v>183</v>
      </c>
      <c r="AG225" s="31"/>
      <c r="AH225" s="31">
        <v>0</v>
      </c>
      <c r="AI225" s="31"/>
      <c r="AJ225" s="31"/>
      <c r="AK225" s="31">
        <v>0</v>
      </c>
      <c r="AL225" s="31">
        <v>0</v>
      </c>
      <c r="AM225" s="31">
        <v>0</v>
      </c>
      <c r="AN225" s="31">
        <v>649275042718</v>
      </c>
      <c r="AO225" s="31" t="s">
        <v>96</v>
      </c>
      <c r="AP225" s="31" t="s">
        <v>812</v>
      </c>
    </row>
    <row r="226" spans="1:42" x14ac:dyDescent="0.2">
      <c r="A226" s="31">
        <v>10019384</v>
      </c>
      <c r="B226" s="31" t="s">
        <v>26</v>
      </c>
      <c r="C226" s="31" t="s">
        <v>573</v>
      </c>
      <c r="D226" s="33">
        <v>42277</v>
      </c>
      <c r="E226" s="31">
        <v>93533375</v>
      </c>
      <c r="F226" s="33">
        <v>42270</v>
      </c>
      <c r="G226" s="31"/>
      <c r="H226" s="31">
        <v>1201399</v>
      </c>
      <c r="I226" s="31" t="s">
        <v>144</v>
      </c>
      <c r="J226" s="31">
        <v>1334926</v>
      </c>
      <c r="K226" s="31" t="s">
        <v>145</v>
      </c>
      <c r="L226" s="31">
        <v>1171970</v>
      </c>
      <c r="M226" s="31" t="s">
        <v>144</v>
      </c>
      <c r="N226" s="31">
        <v>8106673944</v>
      </c>
      <c r="O226" s="31"/>
      <c r="P226" s="31"/>
      <c r="Q226" s="31" t="s">
        <v>181</v>
      </c>
      <c r="R226" s="31" t="s">
        <v>102</v>
      </c>
      <c r="S226" s="31" t="s">
        <v>103</v>
      </c>
      <c r="T226" s="31">
        <v>1932.64</v>
      </c>
      <c r="U226" s="31" t="s">
        <v>182</v>
      </c>
      <c r="V226" s="31"/>
      <c r="W226" s="31" t="s">
        <v>63</v>
      </c>
      <c r="X226" s="31"/>
      <c r="Y226" s="31"/>
      <c r="Z226" s="31"/>
      <c r="AA226" s="31" t="s">
        <v>83</v>
      </c>
      <c r="AB226" s="33">
        <v>42279</v>
      </c>
      <c r="AC226" s="31"/>
      <c r="AD226" s="31"/>
      <c r="AE226" s="31"/>
      <c r="AF226" s="31" t="s">
        <v>183</v>
      </c>
      <c r="AG226" s="31"/>
      <c r="AH226" s="31">
        <v>0</v>
      </c>
      <c r="AI226" s="31"/>
      <c r="AJ226" s="31"/>
      <c r="AK226" s="31">
        <v>0</v>
      </c>
      <c r="AL226" s="31">
        <v>0</v>
      </c>
      <c r="AM226" s="31">
        <v>0</v>
      </c>
      <c r="AN226" s="31">
        <v>649275041230</v>
      </c>
      <c r="AO226" s="31"/>
      <c r="AP226" s="31"/>
    </row>
    <row r="227" spans="1:42" x14ac:dyDescent="0.2">
      <c r="A227" s="31">
        <v>10019385</v>
      </c>
      <c r="B227" s="31" t="s">
        <v>26</v>
      </c>
      <c r="C227" s="31" t="s">
        <v>573</v>
      </c>
      <c r="D227" s="33">
        <v>42277</v>
      </c>
      <c r="E227" s="31">
        <v>93526856</v>
      </c>
      <c r="F227" s="33">
        <v>42265</v>
      </c>
      <c r="G227" s="31"/>
      <c r="H227" s="31">
        <v>1201120</v>
      </c>
      <c r="I227" s="31" t="s">
        <v>117</v>
      </c>
      <c r="J227" s="31">
        <v>1307782</v>
      </c>
      <c r="K227" s="31" t="s">
        <v>119</v>
      </c>
      <c r="L227" s="31">
        <v>1171090</v>
      </c>
      <c r="M227" s="31" t="s">
        <v>118</v>
      </c>
      <c r="N227" s="31" t="s">
        <v>747</v>
      </c>
      <c r="O227" s="31"/>
      <c r="P227" s="31"/>
      <c r="Q227" s="31" t="s">
        <v>181</v>
      </c>
      <c r="R227" s="31" t="s">
        <v>123</v>
      </c>
      <c r="S227" s="31" t="s">
        <v>124</v>
      </c>
      <c r="T227" s="31">
        <v>4586.3999999999996</v>
      </c>
      <c r="U227" s="31" t="s">
        <v>182</v>
      </c>
      <c r="V227" s="31"/>
      <c r="W227" s="31" t="s">
        <v>63</v>
      </c>
      <c r="X227" s="31" t="s">
        <v>94</v>
      </c>
      <c r="Y227" s="31" t="s">
        <v>95</v>
      </c>
      <c r="Z227" s="33">
        <v>42279</v>
      </c>
      <c r="AA227" s="31" t="s">
        <v>83</v>
      </c>
      <c r="AB227" s="33">
        <v>42279</v>
      </c>
      <c r="AC227" s="31"/>
      <c r="AD227" s="31"/>
      <c r="AE227" s="31"/>
      <c r="AF227" s="31" t="s">
        <v>183</v>
      </c>
      <c r="AG227" s="31"/>
      <c r="AH227" s="31">
        <v>0</v>
      </c>
      <c r="AI227" s="31"/>
      <c r="AJ227" s="31"/>
      <c r="AK227" s="31">
        <v>0</v>
      </c>
      <c r="AL227" s="31">
        <v>0</v>
      </c>
      <c r="AM227" s="31">
        <v>0</v>
      </c>
      <c r="AN227" s="31" t="s">
        <v>748</v>
      </c>
      <c r="AO227" s="31" t="s">
        <v>96</v>
      </c>
      <c r="AP227" s="31" t="s">
        <v>813</v>
      </c>
    </row>
    <row r="228" spans="1:42" x14ac:dyDescent="0.2">
      <c r="A228" s="31">
        <v>10019386</v>
      </c>
      <c r="B228" s="31" t="s">
        <v>18</v>
      </c>
      <c r="C228" s="31" t="s">
        <v>573</v>
      </c>
      <c r="D228" s="33">
        <v>42277</v>
      </c>
      <c r="E228" s="31">
        <v>93534797</v>
      </c>
      <c r="F228" s="33">
        <v>42271</v>
      </c>
      <c r="G228" s="33">
        <v>42276</v>
      </c>
      <c r="H228" s="31">
        <v>1201646</v>
      </c>
      <c r="I228" s="31" t="s">
        <v>164</v>
      </c>
      <c r="J228" s="31">
        <v>1201646</v>
      </c>
      <c r="K228" s="31" t="s">
        <v>164</v>
      </c>
      <c r="L228" s="31">
        <v>1201646</v>
      </c>
      <c r="M228" s="31" t="s">
        <v>164</v>
      </c>
      <c r="N228" s="31">
        <v>8045343</v>
      </c>
      <c r="O228" s="31"/>
      <c r="P228" s="31"/>
      <c r="Q228" s="31" t="s">
        <v>181</v>
      </c>
      <c r="R228" s="31" t="s">
        <v>67</v>
      </c>
      <c r="S228" s="31" t="s">
        <v>68</v>
      </c>
      <c r="T228" s="31">
        <v>8.26</v>
      </c>
      <c r="U228" s="31" t="s">
        <v>182</v>
      </c>
      <c r="V228" s="31"/>
      <c r="W228" s="31" t="s">
        <v>63</v>
      </c>
      <c r="X228" s="31"/>
      <c r="Y228" s="31"/>
      <c r="Z228" s="31"/>
      <c r="AA228" s="31" t="s">
        <v>64</v>
      </c>
      <c r="AB228" s="33">
        <v>42277</v>
      </c>
      <c r="AC228" s="31"/>
      <c r="AD228" s="31"/>
      <c r="AE228" s="31"/>
      <c r="AF228" s="31" t="s">
        <v>183</v>
      </c>
      <c r="AG228" s="31"/>
      <c r="AH228" s="31">
        <v>0</v>
      </c>
      <c r="AI228" s="31"/>
      <c r="AJ228" s="31"/>
      <c r="AK228" s="31">
        <v>0</v>
      </c>
      <c r="AL228" s="31">
        <v>0</v>
      </c>
      <c r="AM228" s="31">
        <v>0</v>
      </c>
      <c r="AN228" s="31">
        <v>3527006206</v>
      </c>
      <c r="AO228" s="31"/>
      <c r="AP228" s="31"/>
    </row>
    <row r="229" spans="1:42" x14ac:dyDescent="0.2">
      <c r="A229" s="31">
        <v>10019387</v>
      </c>
      <c r="B229" s="31" t="s">
        <v>24</v>
      </c>
      <c r="C229" s="31" t="s">
        <v>78</v>
      </c>
      <c r="D229" s="33">
        <v>42277</v>
      </c>
      <c r="E229" s="31">
        <v>93534560</v>
      </c>
      <c r="F229" s="33">
        <v>42271</v>
      </c>
      <c r="G229" s="33">
        <v>42275</v>
      </c>
      <c r="H229" s="31">
        <v>1201086</v>
      </c>
      <c r="I229" s="31" t="s">
        <v>116</v>
      </c>
      <c r="J229" s="31">
        <v>1201086</v>
      </c>
      <c r="K229" s="31" t="s">
        <v>116</v>
      </c>
      <c r="L229" s="31">
        <v>1201086</v>
      </c>
      <c r="M229" s="31" t="s">
        <v>116</v>
      </c>
      <c r="N229" s="31">
        <v>1056146</v>
      </c>
      <c r="O229" s="31"/>
      <c r="P229" s="31"/>
      <c r="Q229" s="31" t="s">
        <v>181</v>
      </c>
      <c r="R229" s="31" t="s">
        <v>67</v>
      </c>
      <c r="S229" s="31" t="s">
        <v>68</v>
      </c>
      <c r="T229" s="31">
        <v>3717.36</v>
      </c>
      <c r="U229" s="31" t="s">
        <v>182</v>
      </c>
      <c r="V229" s="31"/>
      <c r="W229" s="31" t="s">
        <v>63</v>
      </c>
      <c r="X229" s="31"/>
      <c r="Y229" s="31"/>
      <c r="Z229" s="31"/>
      <c r="AA229" s="31" t="s">
        <v>64</v>
      </c>
      <c r="AB229" s="33">
        <v>42277</v>
      </c>
      <c r="AC229" s="31"/>
      <c r="AD229" s="31"/>
      <c r="AE229" s="31"/>
      <c r="AF229" s="31" t="s">
        <v>183</v>
      </c>
      <c r="AG229" s="31"/>
      <c r="AH229" s="31">
        <v>0</v>
      </c>
      <c r="AI229" s="31"/>
      <c r="AJ229" s="31"/>
      <c r="AK229" s="31">
        <v>0</v>
      </c>
      <c r="AL229" s="31">
        <v>0</v>
      </c>
      <c r="AM229" s="31">
        <v>0</v>
      </c>
      <c r="AN229" s="31">
        <v>3527006276</v>
      </c>
      <c r="AO229" s="31"/>
      <c r="AP229"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93"/>
  <sheetViews>
    <sheetView workbookViewId="0">
      <selection sqref="A1:XFD1048576"/>
    </sheetView>
  </sheetViews>
  <sheetFormatPr defaultRowHeight="12.75" x14ac:dyDescent="0.2"/>
  <cols>
    <col min="1" max="1" width="9" bestFit="1" customWidth="1"/>
    <col min="2" max="2" width="8.42578125" bestFit="1" customWidth="1"/>
    <col min="3" max="3" width="12.5703125" bestFit="1" customWidth="1"/>
    <col min="4" max="4" width="10.140625" bestFit="1" customWidth="1"/>
    <col min="5" max="5" width="13.28515625" bestFit="1" customWidth="1"/>
    <col min="6" max="7" width="10.140625" bestFit="1" customWidth="1"/>
    <col min="8" max="8" width="9.7109375" bestFit="1" customWidth="1"/>
    <col min="9" max="9" width="42.140625" bestFit="1" customWidth="1"/>
    <col min="10" max="10" width="9.7109375" bestFit="1" customWidth="1"/>
    <col min="11" max="11" width="44.140625" bestFit="1" customWidth="1"/>
    <col min="12" max="12" width="9.7109375" bestFit="1" customWidth="1"/>
    <col min="13" max="13" width="42.140625" bestFit="1" customWidth="1"/>
    <col min="14" max="14" width="19.7109375" bestFit="1" customWidth="1"/>
    <col min="15" max="15" width="5.85546875" bestFit="1" customWidth="1"/>
    <col min="16" max="16" width="6.42578125" bestFit="1" customWidth="1"/>
    <col min="17" max="17" width="31.5703125" bestFit="1" customWidth="1"/>
    <col min="18" max="18" width="10" bestFit="1" customWidth="1"/>
    <col min="19" max="19" width="8.42578125" bestFit="1" customWidth="1"/>
    <col min="20" max="20" width="9.85546875" bestFit="1" customWidth="1"/>
    <col min="21" max="21" width="17.42578125" bestFit="1" customWidth="1"/>
    <col min="22" max="22" width="37" bestFit="1" customWidth="1"/>
    <col min="23" max="23" width="16.85546875" bestFit="1" customWidth="1"/>
    <col min="24" max="24" width="15.85546875" bestFit="1" customWidth="1"/>
    <col min="25" max="25" width="18.28515625" bestFit="1" customWidth="1"/>
    <col min="26" max="26" width="11.5703125" bestFit="1" customWidth="1"/>
    <col min="27" max="27" width="12.5703125" bestFit="1" customWidth="1"/>
    <col min="28" max="28" width="17.85546875" bestFit="1" customWidth="1"/>
    <col min="29" max="29" width="15" bestFit="1" customWidth="1"/>
    <col min="30" max="30" width="129.140625" bestFit="1" customWidth="1"/>
    <col min="31" max="31" width="40.42578125" bestFit="1" customWidth="1"/>
    <col min="32" max="32" width="116.28515625" bestFit="1" customWidth="1"/>
  </cols>
  <sheetData>
    <row r="1" spans="1:32" x14ac:dyDescent="0.2">
      <c r="A1" s="38" t="s">
        <v>31</v>
      </c>
      <c r="B1" s="38" t="s">
        <v>4</v>
      </c>
      <c r="C1" s="38" t="s">
        <v>32</v>
      </c>
      <c r="D1" s="38" t="s">
        <v>33</v>
      </c>
      <c r="E1" s="38" t="s">
        <v>175</v>
      </c>
      <c r="F1" s="38" t="s">
        <v>34</v>
      </c>
      <c r="G1" s="38" t="s">
        <v>176</v>
      </c>
      <c r="H1" s="38" t="s">
        <v>35</v>
      </c>
      <c r="I1" s="38" t="s">
        <v>36</v>
      </c>
      <c r="J1" s="38" t="s">
        <v>37</v>
      </c>
      <c r="K1" s="38" t="s">
        <v>38</v>
      </c>
      <c r="L1" s="38" t="s">
        <v>39</v>
      </c>
      <c r="M1" s="38" t="s">
        <v>40</v>
      </c>
      <c r="N1" s="38" t="s">
        <v>41</v>
      </c>
      <c r="O1" s="38" t="s">
        <v>178</v>
      </c>
      <c r="P1" s="38" t="s">
        <v>43</v>
      </c>
      <c r="Q1" s="38" t="s">
        <v>44</v>
      </c>
      <c r="R1" s="38" t="s">
        <v>45</v>
      </c>
      <c r="S1" s="38" t="s">
        <v>179</v>
      </c>
      <c r="T1" s="38" t="s">
        <v>46</v>
      </c>
      <c r="U1" s="38" t="s">
        <v>47</v>
      </c>
      <c r="V1" s="38" t="s">
        <v>48</v>
      </c>
      <c r="W1" s="38" t="s">
        <v>49</v>
      </c>
      <c r="X1" s="38" t="s">
        <v>50</v>
      </c>
      <c r="Y1" s="38" t="s">
        <v>51</v>
      </c>
      <c r="Z1" s="38" t="s">
        <v>52</v>
      </c>
      <c r="AA1" s="38" t="s">
        <v>53</v>
      </c>
      <c r="AB1" s="38" t="s">
        <v>54</v>
      </c>
      <c r="AC1" s="38" t="s">
        <v>180</v>
      </c>
      <c r="AD1" s="38" t="s">
        <v>55</v>
      </c>
      <c r="AE1" s="38" t="s">
        <v>56</v>
      </c>
      <c r="AF1" s="38" t="s">
        <v>57</v>
      </c>
    </row>
    <row r="2" spans="1:32" x14ac:dyDescent="0.2">
      <c r="A2" s="35">
        <v>10019388</v>
      </c>
      <c r="B2" s="35" t="s">
        <v>18</v>
      </c>
      <c r="C2" s="35" t="s">
        <v>573</v>
      </c>
      <c r="D2" s="36">
        <v>42278</v>
      </c>
      <c r="E2" s="35">
        <v>93534570</v>
      </c>
      <c r="F2" s="36">
        <v>42271</v>
      </c>
      <c r="G2" s="35"/>
      <c r="H2" s="35">
        <v>1201120</v>
      </c>
      <c r="I2" s="35" t="s">
        <v>117</v>
      </c>
      <c r="J2" s="35">
        <v>1307782</v>
      </c>
      <c r="K2" s="35" t="s">
        <v>119</v>
      </c>
      <c r="L2" s="35">
        <v>1171090</v>
      </c>
      <c r="M2" s="35" t="s">
        <v>118</v>
      </c>
      <c r="N2" s="35" t="s">
        <v>747</v>
      </c>
      <c r="O2" s="35" t="s">
        <v>181</v>
      </c>
      <c r="P2" s="35" t="s">
        <v>97</v>
      </c>
      <c r="Q2" s="35" t="s">
        <v>98</v>
      </c>
      <c r="R2" s="35">
        <v>2216.25</v>
      </c>
      <c r="S2" s="35" t="s">
        <v>182</v>
      </c>
      <c r="T2" s="35" t="s">
        <v>69</v>
      </c>
      <c r="U2" s="35" t="s">
        <v>70</v>
      </c>
      <c r="V2" s="35" t="s">
        <v>76</v>
      </c>
      <c r="W2" s="36">
        <v>42290</v>
      </c>
      <c r="X2" s="35" t="s">
        <v>83</v>
      </c>
      <c r="Y2" s="36">
        <v>42285</v>
      </c>
      <c r="Z2" s="35" t="s">
        <v>100</v>
      </c>
      <c r="AA2" s="35">
        <v>62007807</v>
      </c>
      <c r="AB2" s="36">
        <v>42299</v>
      </c>
      <c r="AC2" s="35" t="s">
        <v>183</v>
      </c>
      <c r="AD2" s="35" t="s">
        <v>814</v>
      </c>
      <c r="AE2" s="35" t="s">
        <v>77</v>
      </c>
      <c r="AF2" s="35" t="s">
        <v>257</v>
      </c>
    </row>
    <row r="3" spans="1:32" x14ac:dyDescent="0.2">
      <c r="A3" s="34">
        <v>10019389</v>
      </c>
      <c r="B3" s="34"/>
      <c r="C3" s="34" t="s">
        <v>573</v>
      </c>
      <c r="D3" s="37">
        <v>42278</v>
      </c>
      <c r="E3" s="34">
        <v>93463762</v>
      </c>
      <c r="F3" s="37">
        <v>42216</v>
      </c>
      <c r="G3" s="34"/>
      <c r="H3" s="34">
        <v>1201047</v>
      </c>
      <c r="I3" s="34" t="s">
        <v>79</v>
      </c>
      <c r="J3" s="34">
        <v>1300235</v>
      </c>
      <c r="K3" s="34" t="s">
        <v>109</v>
      </c>
      <c r="L3" s="34">
        <v>1171089</v>
      </c>
      <c r="M3" s="34" t="s">
        <v>75</v>
      </c>
      <c r="N3" s="34">
        <v>8363842</v>
      </c>
      <c r="O3" s="34" t="s">
        <v>181</v>
      </c>
      <c r="P3" s="34" t="s">
        <v>91</v>
      </c>
      <c r="Q3" s="34" t="s">
        <v>92</v>
      </c>
      <c r="R3" s="34">
        <v>284.38</v>
      </c>
      <c r="S3" s="34" t="s">
        <v>182</v>
      </c>
      <c r="T3" s="34" t="s">
        <v>120</v>
      </c>
      <c r="U3" s="34"/>
      <c r="V3" s="34"/>
      <c r="W3" s="34"/>
      <c r="X3" s="34"/>
      <c r="Y3" s="34"/>
      <c r="Z3" s="34"/>
      <c r="AA3" s="34"/>
      <c r="AB3" s="34"/>
      <c r="AC3" s="34" t="s">
        <v>183</v>
      </c>
      <c r="AD3" s="34" t="s">
        <v>815</v>
      </c>
      <c r="AE3" s="34"/>
      <c r="AF3" s="34"/>
    </row>
    <row r="4" spans="1:32" x14ac:dyDescent="0.2">
      <c r="A4" s="34">
        <v>10019390</v>
      </c>
      <c r="B4" s="34" t="s">
        <v>26</v>
      </c>
      <c r="C4" s="34" t="s">
        <v>78</v>
      </c>
      <c r="D4" s="37">
        <v>42278</v>
      </c>
      <c r="E4" s="34">
        <v>93529712</v>
      </c>
      <c r="F4" s="37">
        <v>42268</v>
      </c>
      <c r="G4" s="34"/>
      <c r="H4" s="34">
        <v>1318826</v>
      </c>
      <c r="I4" s="34" t="s">
        <v>110</v>
      </c>
      <c r="J4" s="34">
        <v>1334311</v>
      </c>
      <c r="K4" s="34" t="s">
        <v>113</v>
      </c>
      <c r="L4" s="34">
        <v>1318826</v>
      </c>
      <c r="M4" s="34" t="s">
        <v>110</v>
      </c>
      <c r="N4" s="34">
        <v>2050460</v>
      </c>
      <c r="O4" s="34" t="s">
        <v>181</v>
      </c>
      <c r="P4" s="34" t="s">
        <v>91</v>
      </c>
      <c r="Q4" s="34" t="s">
        <v>92</v>
      </c>
      <c r="R4" s="34">
        <v>83.52</v>
      </c>
      <c r="S4" s="34" t="s">
        <v>182</v>
      </c>
      <c r="T4" s="34" t="s">
        <v>63</v>
      </c>
      <c r="U4" s="34" t="s">
        <v>94</v>
      </c>
      <c r="V4" s="34" t="s">
        <v>95</v>
      </c>
      <c r="W4" s="37">
        <v>42293</v>
      </c>
      <c r="X4" s="34" t="s">
        <v>64</v>
      </c>
      <c r="Y4" s="37">
        <v>42278</v>
      </c>
      <c r="Z4" s="34"/>
      <c r="AA4" s="34"/>
      <c r="AB4" s="34"/>
      <c r="AC4" s="34" t="s">
        <v>183</v>
      </c>
      <c r="AD4" s="34" t="s">
        <v>816</v>
      </c>
      <c r="AE4" s="34" t="s">
        <v>96</v>
      </c>
      <c r="AF4" s="34" t="s">
        <v>817</v>
      </c>
    </row>
    <row r="5" spans="1:32" x14ac:dyDescent="0.2">
      <c r="A5" s="34">
        <v>10019391</v>
      </c>
      <c r="B5" s="34" t="s">
        <v>18</v>
      </c>
      <c r="C5" s="34" t="s">
        <v>573</v>
      </c>
      <c r="D5" s="37">
        <v>42278</v>
      </c>
      <c r="E5" s="34">
        <v>93534693</v>
      </c>
      <c r="F5" s="37">
        <v>42271</v>
      </c>
      <c r="G5" s="34"/>
      <c r="H5" s="34">
        <v>1201399</v>
      </c>
      <c r="I5" s="34" t="s">
        <v>144</v>
      </c>
      <c r="J5" s="34">
        <v>1334926</v>
      </c>
      <c r="K5" s="34" t="s">
        <v>145</v>
      </c>
      <c r="L5" s="34">
        <v>1171970</v>
      </c>
      <c r="M5" s="34" t="s">
        <v>144</v>
      </c>
      <c r="N5" s="34">
        <v>8106673946</v>
      </c>
      <c r="O5" s="34" t="s">
        <v>181</v>
      </c>
      <c r="P5" s="34" t="s">
        <v>279</v>
      </c>
      <c r="Q5" s="34" t="s">
        <v>280</v>
      </c>
      <c r="R5" s="34">
        <v>8011.44</v>
      </c>
      <c r="S5" s="34" t="s">
        <v>182</v>
      </c>
      <c r="T5" s="34" t="s">
        <v>69</v>
      </c>
      <c r="U5" s="34" t="s">
        <v>70</v>
      </c>
      <c r="V5" s="34" t="s">
        <v>76</v>
      </c>
      <c r="W5" s="37">
        <v>42290</v>
      </c>
      <c r="X5" s="34" t="s">
        <v>83</v>
      </c>
      <c r="Y5" s="37">
        <v>42285</v>
      </c>
      <c r="Z5" s="34" t="s">
        <v>100</v>
      </c>
      <c r="AA5" s="34">
        <v>62009141</v>
      </c>
      <c r="AB5" s="37">
        <v>42303</v>
      </c>
      <c r="AC5" s="34" t="s">
        <v>183</v>
      </c>
      <c r="AD5" s="34" t="s">
        <v>818</v>
      </c>
      <c r="AE5" s="34" t="s">
        <v>77</v>
      </c>
      <c r="AF5" s="34" t="s">
        <v>241</v>
      </c>
    </row>
    <row r="6" spans="1:32" x14ac:dyDescent="0.2">
      <c r="A6" s="34">
        <v>10019392</v>
      </c>
      <c r="B6" s="34" t="s">
        <v>18</v>
      </c>
      <c r="C6" s="34" t="s">
        <v>573</v>
      </c>
      <c r="D6" s="37">
        <v>42278</v>
      </c>
      <c r="E6" s="34">
        <v>93540175</v>
      </c>
      <c r="F6" s="37">
        <v>42276</v>
      </c>
      <c r="G6" s="37">
        <v>42277</v>
      </c>
      <c r="H6" s="34">
        <v>1319184</v>
      </c>
      <c r="I6" s="34" t="s">
        <v>479</v>
      </c>
      <c r="J6" s="34">
        <v>1319184</v>
      </c>
      <c r="K6" s="34" t="s">
        <v>479</v>
      </c>
      <c r="L6" s="34">
        <v>1319184</v>
      </c>
      <c r="M6" s="34" t="s">
        <v>479</v>
      </c>
      <c r="N6" s="34">
        <v>563251</v>
      </c>
      <c r="O6" s="34" t="s">
        <v>181</v>
      </c>
      <c r="P6" s="34" t="s">
        <v>67</v>
      </c>
      <c r="Q6" s="34" t="s">
        <v>68</v>
      </c>
      <c r="R6" s="34">
        <v>719.2</v>
      </c>
      <c r="S6" s="34" t="s">
        <v>182</v>
      </c>
      <c r="T6" s="34" t="s">
        <v>63</v>
      </c>
      <c r="U6" s="34" t="s">
        <v>70</v>
      </c>
      <c r="V6" s="34" t="s">
        <v>76</v>
      </c>
      <c r="W6" s="37">
        <v>42290</v>
      </c>
      <c r="X6" s="34" t="s">
        <v>64</v>
      </c>
      <c r="Y6" s="37">
        <v>42278</v>
      </c>
      <c r="Z6" s="34"/>
      <c r="AA6" s="34"/>
      <c r="AB6" s="34"/>
      <c r="AC6" s="34" t="s">
        <v>183</v>
      </c>
      <c r="AD6" s="34">
        <v>3527007153</v>
      </c>
      <c r="AE6" s="34" t="s">
        <v>77</v>
      </c>
      <c r="AF6" s="34" t="s">
        <v>539</v>
      </c>
    </row>
    <row r="7" spans="1:32" x14ac:dyDescent="0.2">
      <c r="A7" s="34">
        <v>10019393</v>
      </c>
      <c r="B7" s="34" t="s">
        <v>25</v>
      </c>
      <c r="C7" s="34" t="s">
        <v>78</v>
      </c>
      <c r="D7" s="37">
        <v>42278</v>
      </c>
      <c r="E7" s="34">
        <v>93541148</v>
      </c>
      <c r="F7" s="37">
        <v>42277</v>
      </c>
      <c r="G7" s="34"/>
      <c r="H7" s="34">
        <v>1201399</v>
      </c>
      <c r="I7" s="34" t="s">
        <v>144</v>
      </c>
      <c r="J7" s="34">
        <v>1029144</v>
      </c>
      <c r="K7" s="34" t="s">
        <v>145</v>
      </c>
      <c r="L7" s="34">
        <v>1171970</v>
      </c>
      <c r="M7" s="34" t="s">
        <v>144</v>
      </c>
      <c r="N7" s="34">
        <v>8130707153</v>
      </c>
      <c r="O7" s="34" t="s">
        <v>181</v>
      </c>
      <c r="P7" s="34" t="s">
        <v>102</v>
      </c>
      <c r="Q7" s="34" t="s">
        <v>103</v>
      </c>
      <c r="R7" s="34">
        <v>1837.62</v>
      </c>
      <c r="S7" s="34" t="s">
        <v>182</v>
      </c>
      <c r="T7" s="34" t="s">
        <v>69</v>
      </c>
      <c r="U7" s="34" t="s">
        <v>104</v>
      </c>
      <c r="V7" s="34" t="s">
        <v>71</v>
      </c>
      <c r="W7" s="37">
        <v>42284</v>
      </c>
      <c r="X7" s="34" t="s">
        <v>64</v>
      </c>
      <c r="Y7" s="37">
        <v>42278</v>
      </c>
      <c r="Z7" s="34" t="s">
        <v>72</v>
      </c>
      <c r="AA7" s="34">
        <v>61999906</v>
      </c>
      <c r="AB7" s="37">
        <v>42289</v>
      </c>
      <c r="AC7" s="34" t="s">
        <v>183</v>
      </c>
      <c r="AD7" s="34">
        <v>573402421767</v>
      </c>
      <c r="AE7" s="34" t="s">
        <v>465</v>
      </c>
      <c r="AF7" s="34" t="s">
        <v>819</v>
      </c>
    </row>
    <row r="8" spans="1:32" x14ac:dyDescent="0.2">
      <c r="A8" s="34">
        <v>10019394</v>
      </c>
      <c r="B8" s="34" t="s">
        <v>26</v>
      </c>
      <c r="C8" s="34" t="s">
        <v>78</v>
      </c>
      <c r="D8" s="37">
        <v>42279</v>
      </c>
      <c r="E8" s="34">
        <v>93525507</v>
      </c>
      <c r="F8" s="37">
        <v>42264</v>
      </c>
      <c r="G8" s="34"/>
      <c r="H8" s="34">
        <v>1201047</v>
      </c>
      <c r="I8" s="34" t="s">
        <v>79</v>
      </c>
      <c r="J8" s="34">
        <v>1051671</v>
      </c>
      <c r="K8" s="34" t="s">
        <v>80</v>
      </c>
      <c r="L8" s="34">
        <v>1171089</v>
      </c>
      <c r="M8" s="34" t="s">
        <v>75</v>
      </c>
      <c r="N8" s="34">
        <v>49759503</v>
      </c>
      <c r="O8" s="34" t="s">
        <v>181</v>
      </c>
      <c r="P8" s="34" t="s">
        <v>91</v>
      </c>
      <c r="Q8" s="34" t="s">
        <v>92</v>
      </c>
      <c r="R8" s="34">
        <v>200.2</v>
      </c>
      <c r="S8" s="34" t="s">
        <v>182</v>
      </c>
      <c r="T8" s="34" t="s">
        <v>63</v>
      </c>
      <c r="U8" s="34" t="s">
        <v>105</v>
      </c>
      <c r="V8" s="34" t="s">
        <v>82</v>
      </c>
      <c r="W8" s="37">
        <v>42305</v>
      </c>
      <c r="X8" s="34" t="s">
        <v>83</v>
      </c>
      <c r="Y8" s="37">
        <v>42285</v>
      </c>
      <c r="Z8" s="34"/>
      <c r="AA8" s="34"/>
      <c r="AB8" s="34"/>
      <c r="AC8" s="34" t="s">
        <v>183</v>
      </c>
      <c r="AD8" s="34" t="s">
        <v>820</v>
      </c>
      <c r="AE8" s="34" t="s">
        <v>89</v>
      </c>
      <c r="AF8" s="34" t="s">
        <v>821</v>
      </c>
    </row>
    <row r="9" spans="1:32" x14ac:dyDescent="0.2">
      <c r="A9" s="34">
        <v>10019395</v>
      </c>
      <c r="B9" s="34" t="s">
        <v>25</v>
      </c>
      <c r="C9" s="34" t="s">
        <v>78</v>
      </c>
      <c r="D9" s="37">
        <v>42279</v>
      </c>
      <c r="E9" s="34">
        <v>93526905</v>
      </c>
      <c r="F9" s="37">
        <v>42265</v>
      </c>
      <c r="G9" s="37">
        <v>42269</v>
      </c>
      <c r="H9" s="34">
        <v>1201215</v>
      </c>
      <c r="I9" s="34" t="s">
        <v>138</v>
      </c>
      <c r="J9" s="34">
        <v>1338389</v>
      </c>
      <c r="K9" s="34" t="s">
        <v>822</v>
      </c>
      <c r="L9" s="34">
        <v>1201215</v>
      </c>
      <c r="M9" s="34" t="s">
        <v>138</v>
      </c>
      <c r="N9" s="34" t="s">
        <v>823</v>
      </c>
      <c r="O9" s="34" t="s">
        <v>181</v>
      </c>
      <c r="P9" s="34" t="s">
        <v>67</v>
      </c>
      <c r="Q9" s="34" t="s">
        <v>68</v>
      </c>
      <c r="R9" s="34">
        <v>198403.20000000001</v>
      </c>
      <c r="S9" s="34" t="s">
        <v>182</v>
      </c>
      <c r="T9" s="34" t="s">
        <v>69</v>
      </c>
      <c r="U9" s="34" t="s">
        <v>81</v>
      </c>
      <c r="V9" s="34" t="s">
        <v>71</v>
      </c>
      <c r="W9" s="37">
        <v>42291</v>
      </c>
      <c r="X9" s="34" t="s">
        <v>64</v>
      </c>
      <c r="Y9" s="37">
        <v>42279</v>
      </c>
      <c r="Z9" s="34" t="s">
        <v>72</v>
      </c>
      <c r="AA9" s="34">
        <v>62006470</v>
      </c>
      <c r="AB9" s="37">
        <v>42298</v>
      </c>
      <c r="AC9" s="34" t="s">
        <v>183</v>
      </c>
      <c r="AD9" s="34">
        <v>3527005440</v>
      </c>
      <c r="AE9" s="34" t="s">
        <v>135</v>
      </c>
      <c r="AF9" s="34" t="s">
        <v>824</v>
      </c>
    </row>
    <row r="10" spans="1:32" x14ac:dyDescent="0.2">
      <c r="A10" s="34">
        <v>10019406</v>
      </c>
      <c r="B10" s="34" t="s">
        <v>18</v>
      </c>
      <c r="C10" s="34" t="s">
        <v>573</v>
      </c>
      <c r="D10" s="37">
        <v>42279</v>
      </c>
      <c r="E10" s="34">
        <v>93538561</v>
      </c>
      <c r="F10" s="37">
        <v>42275</v>
      </c>
      <c r="G10" s="34"/>
      <c r="H10" s="34">
        <v>1201120</v>
      </c>
      <c r="I10" s="34" t="s">
        <v>117</v>
      </c>
      <c r="J10" s="34">
        <v>1307782</v>
      </c>
      <c r="K10" s="34" t="s">
        <v>119</v>
      </c>
      <c r="L10" s="34">
        <v>1171090</v>
      </c>
      <c r="M10" s="34" t="s">
        <v>118</v>
      </c>
      <c r="N10" s="34" t="s">
        <v>825</v>
      </c>
      <c r="O10" s="34" t="s">
        <v>181</v>
      </c>
      <c r="P10" s="34" t="s">
        <v>121</v>
      </c>
      <c r="Q10" s="34" t="s">
        <v>122</v>
      </c>
      <c r="R10" s="34">
        <v>57.51</v>
      </c>
      <c r="S10" s="34" t="s">
        <v>182</v>
      </c>
      <c r="T10" s="34" t="s">
        <v>63</v>
      </c>
      <c r="U10" s="34" t="s">
        <v>70</v>
      </c>
      <c r="V10" s="34" t="s">
        <v>76</v>
      </c>
      <c r="W10" s="37">
        <v>42279</v>
      </c>
      <c r="X10" s="34" t="s">
        <v>64</v>
      </c>
      <c r="Y10" s="37">
        <v>42279</v>
      </c>
      <c r="Z10" s="34"/>
      <c r="AA10" s="34"/>
      <c r="AB10" s="34"/>
      <c r="AC10" s="34" t="s">
        <v>183</v>
      </c>
      <c r="AD10" s="34" t="s">
        <v>826</v>
      </c>
      <c r="AE10" s="34" t="s">
        <v>77</v>
      </c>
      <c r="AF10" s="34" t="s">
        <v>827</v>
      </c>
    </row>
    <row r="11" spans="1:32" x14ac:dyDescent="0.2">
      <c r="A11" s="34">
        <v>10019408</v>
      </c>
      <c r="B11" s="34" t="s">
        <v>18</v>
      </c>
      <c r="C11" s="34" t="s">
        <v>573</v>
      </c>
      <c r="D11" s="37">
        <v>42279</v>
      </c>
      <c r="E11" s="34">
        <v>93538569</v>
      </c>
      <c r="F11" s="37">
        <v>42275</v>
      </c>
      <c r="G11" s="34"/>
      <c r="H11" s="34">
        <v>1201120</v>
      </c>
      <c r="I11" s="34" t="s">
        <v>117</v>
      </c>
      <c r="J11" s="34">
        <v>1307782</v>
      </c>
      <c r="K11" s="34" t="s">
        <v>119</v>
      </c>
      <c r="L11" s="34">
        <v>1171090</v>
      </c>
      <c r="M11" s="34" t="s">
        <v>118</v>
      </c>
      <c r="N11" s="34" t="s">
        <v>828</v>
      </c>
      <c r="O11" s="34" t="s">
        <v>181</v>
      </c>
      <c r="P11" s="34" t="s">
        <v>121</v>
      </c>
      <c r="Q11" s="34" t="s">
        <v>122</v>
      </c>
      <c r="R11" s="34">
        <v>242.04</v>
      </c>
      <c r="S11" s="34" t="s">
        <v>182</v>
      </c>
      <c r="T11" s="34" t="s">
        <v>69</v>
      </c>
      <c r="U11" s="34" t="s">
        <v>70</v>
      </c>
      <c r="V11" s="34" t="s">
        <v>76</v>
      </c>
      <c r="W11" s="37">
        <v>42290</v>
      </c>
      <c r="X11" s="34" t="s">
        <v>64</v>
      </c>
      <c r="Y11" s="37">
        <v>42279</v>
      </c>
      <c r="Z11" s="34" t="s">
        <v>100</v>
      </c>
      <c r="AA11" s="34">
        <v>62007805</v>
      </c>
      <c r="AB11" s="37">
        <v>42299</v>
      </c>
      <c r="AC11" s="34" t="s">
        <v>183</v>
      </c>
      <c r="AD11" s="34" t="s">
        <v>826</v>
      </c>
      <c r="AE11" s="34" t="s">
        <v>77</v>
      </c>
      <c r="AF11" s="34" t="s">
        <v>655</v>
      </c>
    </row>
    <row r="12" spans="1:32" x14ac:dyDescent="0.2">
      <c r="A12" s="34">
        <v>10019409</v>
      </c>
      <c r="B12" s="34" t="s">
        <v>26</v>
      </c>
      <c r="C12" s="34" t="s">
        <v>78</v>
      </c>
      <c r="D12" s="37">
        <v>42279</v>
      </c>
      <c r="E12" s="34">
        <v>93518649</v>
      </c>
      <c r="F12" s="37">
        <v>42258</v>
      </c>
      <c r="G12" s="34"/>
      <c r="H12" s="34">
        <v>1201086</v>
      </c>
      <c r="I12" s="34" t="s">
        <v>116</v>
      </c>
      <c r="J12" s="34">
        <v>1201086</v>
      </c>
      <c r="K12" s="34" t="s">
        <v>116</v>
      </c>
      <c r="L12" s="34">
        <v>1201086</v>
      </c>
      <c r="M12" s="34" t="s">
        <v>116</v>
      </c>
      <c r="N12" s="34">
        <v>1055789</v>
      </c>
      <c r="O12" s="34" t="s">
        <v>181</v>
      </c>
      <c r="P12" s="34"/>
      <c r="Q12" s="34"/>
      <c r="R12" s="34">
        <v>1959.12</v>
      </c>
      <c r="S12" s="34" t="s">
        <v>182</v>
      </c>
      <c r="T12" s="34" t="s">
        <v>69</v>
      </c>
      <c r="U12" s="34" t="s">
        <v>94</v>
      </c>
      <c r="V12" s="34" t="s">
        <v>82</v>
      </c>
      <c r="W12" s="37">
        <v>42292</v>
      </c>
      <c r="X12" s="34" t="s">
        <v>64</v>
      </c>
      <c r="Y12" s="37">
        <v>42279</v>
      </c>
      <c r="Z12" s="34" t="s">
        <v>72</v>
      </c>
      <c r="AA12" s="34">
        <v>62008387</v>
      </c>
      <c r="AB12" s="37">
        <v>42300</v>
      </c>
      <c r="AC12" s="34" t="s">
        <v>183</v>
      </c>
      <c r="AD12" s="34"/>
      <c r="AE12" s="34" t="s">
        <v>829</v>
      </c>
      <c r="AF12" s="34" t="s">
        <v>830</v>
      </c>
    </row>
    <row r="13" spans="1:32" x14ac:dyDescent="0.2">
      <c r="A13" s="34">
        <v>10019410</v>
      </c>
      <c r="B13" s="34" t="s">
        <v>22</v>
      </c>
      <c r="C13" s="34" t="s">
        <v>78</v>
      </c>
      <c r="D13" s="37">
        <v>42279</v>
      </c>
      <c r="E13" s="34">
        <v>93536146</v>
      </c>
      <c r="F13" s="37">
        <v>42272</v>
      </c>
      <c r="G13" s="34"/>
      <c r="H13" s="34">
        <v>1201047</v>
      </c>
      <c r="I13" s="34" t="s">
        <v>79</v>
      </c>
      <c r="J13" s="34">
        <v>1307128</v>
      </c>
      <c r="K13" s="34" t="s">
        <v>85</v>
      </c>
      <c r="L13" s="34">
        <v>1171089</v>
      </c>
      <c r="M13" s="34" t="s">
        <v>75</v>
      </c>
      <c r="N13" s="34">
        <v>10486898</v>
      </c>
      <c r="O13" s="34" t="s">
        <v>181</v>
      </c>
      <c r="P13" s="34" t="s">
        <v>97</v>
      </c>
      <c r="Q13" s="34" t="s">
        <v>98</v>
      </c>
      <c r="R13" s="34">
        <v>8100</v>
      </c>
      <c r="S13" s="34" t="s">
        <v>182</v>
      </c>
      <c r="T13" s="34" t="s">
        <v>63</v>
      </c>
      <c r="U13" s="34" t="s">
        <v>94</v>
      </c>
      <c r="V13" s="34" t="s">
        <v>82</v>
      </c>
      <c r="W13" s="37">
        <v>42286</v>
      </c>
      <c r="X13" s="34" t="s">
        <v>64</v>
      </c>
      <c r="Y13" s="37">
        <v>42279</v>
      </c>
      <c r="Z13" s="34"/>
      <c r="AA13" s="34"/>
      <c r="AB13" s="34"/>
      <c r="AC13" s="34" t="s">
        <v>183</v>
      </c>
      <c r="AD13" s="34">
        <v>87944972548483</v>
      </c>
      <c r="AE13" s="34" t="s">
        <v>142</v>
      </c>
      <c r="AF13" s="34" t="s">
        <v>831</v>
      </c>
    </row>
    <row r="14" spans="1:32" x14ac:dyDescent="0.2">
      <c r="A14" s="34">
        <v>10019411</v>
      </c>
      <c r="B14" s="34" t="s">
        <v>18</v>
      </c>
      <c r="C14" s="34" t="s">
        <v>78</v>
      </c>
      <c r="D14" s="37">
        <v>42279</v>
      </c>
      <c r="E14" s="34">
        <v>93540156</v>
      </c>
      <c r="F14" s="37">
        <v>42276</v>
      </c>
      <c r="G14" s="37">
        <v>42277</v>
      </c>
      <c r="H14" s="34">
        <v>1201766</v>
      </c>
      <c r="I14" s="34" t="s">
        <v>143</v>
      </c>
      <c r="J14" s="34">
        <v>1157939</v>
      </c>
      <c r="K14" s="34" t="s">
        <v>143</v>
      </c>
      <c r="L14" s="34">
        <v>1201766</v>
      </c>
      <c r="M14" s="34" t="s">
        <v>143</v>
      </c>
      <c r="N14" s="34">
        <v>61473</v>
      </c>
      <c r="O14" s="34" t="s">
        <v>181</v>
      </c>
      <c r="P14" s="34" t="s">
        <v>67</v>
      </c>
      <c r="Q14" s="34" t="s">
        <v>68</v>
      </c>
      <c r="R14" s="34">
        <v>454.95</v>
      </c>
      <c r="S14" s="34" t="s">
        <v>182</v>
      </c>
      <c r="T14" s="34" t="s">
        <v>69</v>
      </c>
      <c r="U14" s="34" t="s">
        <v>70</v>
      </c>
      <c r="V14" s="34" t="s">
        <v>76</v>
      </c>
      <c r="W14" s="37">
        <v>42290</v>
      </c>
      <c r="X14" s="34" t="s">
        <v>64</v>
      </c>
      <c r="Y14" s="37">
        <v>42279</v>
      </c>
      <c r="Z14" s="34" t="s">
        <v>100</v>
      </c>
      <c r="AA14" s="34">
        <v>62009136</v>
      </c>
      <c r="AB14" s="37">
        <v>42303</v>
      </c>
      <c r="AC14" s="34" t="s">
        <v>183</v>
      </c>
      <c r="AD14" s="34">
        <v>3527007315</v>
      </c>
      <c r="AE14" s="34" t="s">
        <v>77</v>
      </c>
      <c r="AF14" s="34" t="s">
        <v>832</v>
      </c>
    </row>
    <row r="15" spans="1:32" x14ac:dyDescent="0.2">
      <c r="A15" s="34">
        <v>10019412</v>
      </c>
      <c r="B15" s="34" t="s">
        <v>18</v>
      </c>
      <c r="C15" s="34" t="s">
        <v>573</v>
      </c>
      <c r="D15" s="37">
        <v>42279</v>
      </c>
      <c r="E15" s="34">
        <v>93539802</v>
      </c>
      <c r="F15" s="37">
        <v>42276</v>
      </c>
      <c r="G15" s="37">
        <v>42277</v>
      </c>
      <c r="H15" s="34">
        <v>1201047</v>
      </c>
      <c r="I15" s="34" t="s">
        <v>79</v>
      </c>
      <c r="J15" s="34">
        <v>1311671</v>
      </c>
      <c r="K15" s="34" t="s">
        <v>90</v>
      </c>
      <c r="L15" s="34">
        <v>1171089</v>
      </c>
      <c r="M15" s="34" t="s">
        <v>75</v>
      </c>
      <c r="N15" s="34">
        <v>21461132</v>
      </c>
      <c r="O15" s="34" t="s">
        <v>181</v>
      </c>
      <c r="P15" s="34" t="s">
        <v>91</v>
      </c>
      <c r="Q15" s="34" t="s">
        <v>92</v>
      </c>
      <c r="R15" s="34">
        <v>1471.68</v>
      </c>
      <c r="S15" s="34" t="s">
        <v>182</v>
      </c>
      <c r="T15" s="34" t="s">
        <v>120</v>
      </c>
      <c r="U15" s="34"/>
      <c r="V15" s="34"/>
      <c r="W15" s="34"/>
      <c r="X15" s="34"/>
      <c r="Y15" s="34"/>
      <c r="Z15" s="34"/>
      <c r="AA15" s="34"/>
      <c r="AB15" s="34"/>
      <c r="AC15" s="34" t="s">
        <v>183</v>
      </c>
      <c r="AD15" s="34" t="s">
        <v>833</v>
      </c>
      <c r="AE15" s="34"/>
      <c r="AF15" s="34"/>
    </row>
    <row r="16" spans="1:32" x14ac:dyDescent="0.2">
      <c r="A16" s="34">
        <v>10019413</v>
      </c>
      <c r="B16" s="34" t="s">
        <v>18</v>
      </c>
      <c r="C16" s="34" t="s">
        <v>78</v>
      </c>
      <c r="D16" s="37">
        <v>42279</v>
      </c>
      <c r="E16" s="34">
        <v>93540151</v>
      </c>
      <c r="F16" s="37">
        <v>42276</v>
      </c>
      <c r="G16" s="37">
        <v>42279</v>
      </c>
      <c r="H16" s="34">
        <v>1201646</v>
      </c>
      <c r="I16" s="34" t="s">
        <v>164</v>
      </c>
      <c r="J16" s="34">
        <v>1201646</v>
      </c>
      <c r="K16" s="34" t="s">
        <v>164</v>
      </c>
      <c r="L16" s="34">
        <v>1201646</v>
      </c>
      <c r="M16" s="34" t="s">
        <v>164</v>
      </c>
      <c r="N16" s="34">
        <v>8045428</v>
      </c>
      <c r="O16" s="34" t="s">
        <v>181</v>
      </c>
      <c r="P16" s="34" t="s">
        <v>67</v>
      </c>
      <c r="Q16" s="34" t="s">
        <v>68</v>
      </c>
      <c r="R16" s="34">
        <v>2.17</v>
      </c>
      <c r="S16" s="34" t="s">
        <v>182</v>
      </c>
      <c r="T16" s="34" t="s">
        <v>69</v>
      </c>
      <c r="U16" s="34" t="s">
        <v>70</v>
      </c>
      <c r="V16" s="34" t="s">
        <v>76</v>
      </c>
      <c r="W16" s="37">
        <v>42290</v>
      </c>
      <c r="X16" s="34" t="s">
        <v>64</v>
      </c>
      <c r="Y16" s="37">
        <v>42279</v>
      </c>
      <c r="Z16" s="34" t="s">
        <v>100</v>
      </c>
      <c r="AA16" s="34">
        <v>62009139</v>
      </c>
      <c r="AB16" s="37">
        <v>42303</v>
      </c>
      <c r="AC16" s="34" t="s">
        <v>183</v>
      </c>
      <c r="AD16" s="34">
        <v>3527007212</v>
      </c>
      <c r="AE16" s="34" t="s">
        <v>77</v>
      </c>
      <c r="AF16" s="34" t="s">
        <v>323</v>
      </c>
    </row>
    <row r="17" spans="1:32" x14ac:dyDescent="0.2">
      <c r="A17" s="34">
        <v>10019414</v>
      </c>
      <c r="B17" s="34" t="s">
        <v>18</v>
      </c>
      <c r="C17" s="34" t="s">
        <v>573</v>
      </c>
      <c r="D17" s="37">
        <v>42279</v>
      </c>
      <c r="E17" s="34">
        <v>93540126</v>
      </c>
      <c r="F17" s="37">
        <v>42276</v>
      </c>
      <c r="G17" s="37">
        <v>42277</v>
      </c>
      <c r="H17" s="34">
        <v>1201494</v>
      </c>
      <c r="I17" s="34" t="s">
        <v>161</v>
      </c>
      <c r="J17" s="34">
        <v>1064093</v>
      </c>
      <c r="K17" s="34" t="s">
        <v>390</v>
      </c>
      <c r="L17" s="34">
        <v>1172005</v>
      </c>
      <c r="M17" s="34" t="s">
        <v>161</v>
      </c>
      <c r="N17" s="34">
        <v>61848</v>
      </c>
      <c r="O17" s="34" t="s">
        <v>181</v>
      </c>
      <c r="P17" s="34" t="s">
        <v>67</v>
      </c>
      <c r="Q17" s="34" t="s">
        <v>68</v>
      </c>
      <c r="R17" s="34">
        <v>293.04000000000002</v>
      </c>
      <c r="S17" s="34" t="s">
        <v>182</v>
      </c>
      <c r="T17" s="34" t="s">
        <v>69</v>
      </c>
      <c r="U17" s="34" t="s">
        <v>70</v>
      </c>
      <c r="V17" s="34" t="s">
        <v>76</v>
      </c>
      <c r="W17" s="37">
        <v>42290</v>
      </c>
      <c r="X17" s="34" t="s">
        <v>64</v>
      </c>
      <c r="Y17" s="37">
        <v>42279</v>
      </c>
      <c r="Z17" s="34" t="s">
        <v>100</v>
      </c>
      <c r="AA17" s="34">
        <v>62013372</v>
      </c>
      <c r="AB17" s="37">
        <v>42307</v>
      </c>
      <c r="AC17" s="34" t="s">
        <v>183</v>
      </c>
      <c r="AD17" s="34">
        <v>3527007116</v>
      </c>
      <c r="AE17" s="34" t="s">
        <v>77</v>
      </c>
      <c r="AF17" s="34" t="s">
        <v>834</v>
      </c>
    </row>
    <row r="18" spans="1:32" x14ac:dyDescent="0.2">
      <c r="A18" s="34">
        <v>10019415</v>
      </c>
      <c r="B18" s="34" t="s">
        <v>26</v>
      </c>
      <c r="C18" s="34" t="s">
        <v>78</v>
      </c>
      <c r="D18" s="37">
        <v>42279</v>
      </c>
      <c r="E18" s="34">
        <v>93534768</v>
      </c>
      <c r="F18" s="37">
        <v>42271</v>
      </c>
      <c r="G18" s="34"/>
      <c r="H18" s="34">
        <v>1201540</v>
      </c>
      <c r="I18" s="34" t="s">
        <v>150</v>
      </c>
      <c r="J18" s="34">
        <v>1312297</v>
      </c>
      <c r="K18" s="34" t="s">
        <v>151</v>
      </c>
      <c r="L18" s="34">
        <v>1201540</v>
      </c>
      <c r="M18" s="34" t="s">
        <v>150</v>
      </c>
      <c r="N18" s="34" t="s">
        <v>835</v>
      </c>
      <c r="O18" s="34" t="s">
        <v>181</v>
      </c>
      <c r="P18" s="34" t="s">
        <v>102</v>
      </c>
      <c r="Q18" s="34" t="s">
        <v>103</v>
      </c>
      <c r="R18" s="34">
        <v>13812.72</v>
      </c>
      <c r="S18" s="34" t="s">
        <v>182</v>
      </c>
      <c r="T18" s="34" t="s">
        <v>63</v>
      </c>
      <c r="U18" s="34" t="s">
        <v>84</v>
      </c>
      <c r="V18" s="34" t="s">
        <v>82</v>
      </c>
      <c r="W18" s="37">
        <v>42292</v>
      </c>
      <c r="X18" s="34" t="s">
        <v>166</v>
      </c>
      <c r="Y18" s="37">
        <v>42305</v>
      </c>
      <c r="Z18" s="34"/>
      <c r="AA18" s="34"/>
      <c r="AB18" s="34"/>
      <c r="AC18" s="34" t="s">
        <v>183</v>
      </c>
      <c r="AD18" s="34">
        <v>649275044857</v>
      </c>
      <c r="AE18" s="34" t="s">
        <v>84</v>
      </c>
      <c r="AF18" s="34" t="s">
        <v>836</v>
      </c>
    </row>
    <row r="19" spans="1:32" x14ac:dyDescent="0.2">
      <c r="A19" s="34">
        <v>10019416</v>
      </c>
      <c r="B19" s="34" t="s">
        <v>18</v>
      </c>
      <c r="C19" s="34" t="s">
        <v>78</v>
      </c>
      <c r="D19" s="37">
        <v>42282</v>
      </c>
      <c r="E19" s="34">
        <v>93536261</v>
      </c>
      <c r="F19" s="37">
        <v>42272</v>
      </c>
      <c r="G19" s="34"/>
      <c r="H19" s="34">
        <v>1201120</v>
      </c>
      <c r="I19" s="34" t="s">
        <v>117</v>
      </c>
      <c r="J19" s="34">
        <v>1307782</v>
      </c>
      <c r="K19" s="34" t="s">
        <v>119</v>
      </c>
      <c r="L19" s="34">
        <v>1171090</v>
      </c>
      <c r="M19" s="34" t="s">
        <v>118</v>
      </c>
      <c r="N19" s="34" t="s">
        <v>805</v>
      </c>
      <c r="O19" s="34" t="s">
        <v>181</v>
      </c>
      <c r="P19" s="34" t="s">
        <v>97</v>
      </c>
      <c r="Q19" s="34" t="s">
        <v>98</v>
      </c>
      <c r="R19" s="34">
        <v>1159.02</v>
      </c>
      <c r="S19" s="34" t="s">
        <v>182</v>
      </c>
      <c r="T19" s="34" t="s">
        <v>69</v>
      </c>
      <c r="U19" s="34" t="s">
        <v>70</v>
      </c>
      <c r="V19" s="34" t="s">
        <v>76</v>
      </c>
      <c r="W19" s="37">
        <v>42290</v>
      </c>
      <c r="X19" s="34" t="s">
        <v>64</v>
      </c>
      <c r="Y19" s="37">
        <v>42282</v>
      </c>
      <c r="Z19" s="34" t="s">
        <v>100</v>
      </c>
      <c r="AA19" s="34">
        <v>62007806</v>
      </c>
      <c r="AB19" s="37">
        <v>42299</v>
      </c>
      <c r="AC19" s="34" t="s">
        <v>183</v>
      </c>
      <c r="AD19" s="34" t="s">
        <v>837</v>
      </c>
      <c r="AE19" s="34" t="s">
        <v>77</v>
      </c>
      <c r="AF19" s="34" t="s">
        <v>184</v>
      </c>
    </row>
    <row r="20" spans="1:32" x14ac:dyDescent="0.2">
      <c r="A20" s="34">
        <v>10019417</v>
      </c>
      <c r="B20" s="34" t="s">
        <v>26</v>
      </c>
      <c r="C20" s="34" t="s">
        <v>78</v>
      </c>
      <c r="D20" s="37">
        <v>42282</v>
      </c>
      <c r="E20" s="34">
        <v>93536058</v>
      </c>
      <c r="F20" s="37">
        <v>42272</v>
      </c>
      <c r="G20" s="34"/>
      <c r="H20" s="34">
        <v>1201047</v>
      </c>
      <c r="I20" s="34" t="s">
        <v>79</v>
      </c>
      <c r="J20" s="34">
        <v>1051549</v>
      </c>
      <c r="K20" s="34" t="s">
        <v>85</v>
      </c>
      <c r="L20" s="34">
        <v>1171089</v>
      </c>
      <c r="M20" s="34" t="s">
        <v>75</v>
      </c>
      <c r="N20" s="34">
        <v>12908988</v>
      </c>
      <c r="O20" s="34" t="s">
        <v>181</v>
      </c>
      <c r="P20" s="34" t="s">
        <v>91</v>
      </c>
      <c r="Q20" s="34" t="s">
        <v>92</v>
      </c>
      <c r="R20" s="34">
        <v>675</v>
      </c>
      <c r="S20" s="34" t="s">
        <v>182</v>
      </c>
      <c r="T20" s="34" t="s">
        <v>63</v>
      </c>
      <c r="U20" s="34" t="s">
        <v>81</v>
      </c>
      <c r="V20" s="34" t="s">
        <v>88</v>
      </c>
      <c r="W20" s="37">
        <v>42307</v>
      </c>
      <c r="X20" s="34" t="s">
        <v>64</v>
      </c>
      <c r="Y20" s="37">
        <v>42282</v>
      </c>
      <c r="Z20" s="34"/>
      <c r="AA20" s="34"/>
      <c r="AB20" s="34"/>
      <c r="AC20" s="34" t="s">
        <v>183</v>
      </c>
      <c r="AD20" s="34" t="s">
        <v>838</v>
      </c>
      <c r="AE20" s="34" t="s">
        <v>89</v>
      </c>
      <c r="AF20" s="34" t="s">
        <v>274</v>
      </c>
    </row>
    <row r="21" spans="1:32" x14ac:dyDescent="0.2">
      <c r="A21" s="34">
        <v>10019419</v>
      </c>
      <c r="B21" s="34" t="s">
        <v>26</v>
      </c>
      <c r="C21" s="34" t="s">
        <v>78</v>
      </c>
      <c r="D21" s="37">
        <v>42282</v>
      </c>
      <c r="E21" s="34">
        <v>93536059</v>
      </c>
      <c r="F21" s="37">
        <v>42272</v>
      </c>
      <c r="G21" s="34"/>
      <c r="H21" s="34">
        <v>1201047</v>
      </c>
      <c r="I21" s="34" t="s">
        <v>79</v>
      </c>
      <c r="J21" s="34">
        <v>1051549</v>
      </c>
      <c r="K21" s="34" t="s">
        <v>85</v>
      </c>
      <c r="L21" s="34">
        <v>1171089</v>
      </c>
      <c r="M21" s="34" t="s">
        <v>75</v>
      </c>
      <c r="N21" s="34">
        <v>12908988</v>
      </c>
      <c r="O21" s="34" t="s">
        <v>181</v>
      </c>
      <c r="P21" s="34" t="s">
        <v>91</v>
      </c>
      <c r="Q21" s="34" t="s">
        <v>92</v>
      </c>
      <c r="R21" s="34">
        <v>3296.64</v>
      </c>
      <c r="S21" s="34" t="s">
        <v>182</v>
      </c>
      <c r="T21" s="34" t="s">
        <v>63</v>
      </c>
      <c r="U21" s="34" t="s">
        <v>81</v>
      </c>
      <c r="V21" s="34" t="s">
        <v>88</v>
      </c>
      <c r="W21" s="37">
        <v>42307</v>
      </c>
      <c r="X21" s="34" t="s">
        <v>64</v>
      </c>
      <c r="Y21" s="37">
        <v>42282</v>
      </c>
      <c r="Z21" s="34"/>
      <c r="AA21" s="34"/>
      <c r="AB21" s="34"/>
      <c r="AC21" s="34" t="s">
        <v>183</v>
      </c>
      <c r="AD21" s="34" t="s">
        <v>838</v>
      </c>
      <c r="AE21" s="34" t="s">
        <v>89</v>
      </c>
      <c r="AF21" s="34" t="s">
        <v>839</v>
      </c>
    </row>
    <row r="22" spans="1:32" x14ac:dyDescent="0.2">
      <c r="A22" s="34">
        <v>10019422</v>
      </c>
      <c r="B22" s="34" t="s">
        <v>22</v>
      </c>
      <c r="C22" s="34" t="s">
        <v>78</v>
      </c>
      <c r="D22" s="37">
        <v>42282</v>
      </c>
      <c r="E22" s="34">
        <v>93536145</v>
      </c>
      <c r="F22" s="37">
        <v>42272</v>
      </c>
      <c r="G22" s="34"/>
      <c r="H22" s="34">
        <v>1201047</v>
      </c>
      <c r="I22" s="34" t="s">
        <v>79</v>
      </c>
      <c r="J22" s="34">
        <v>1300235</v>
      </c>
      <c r="K22" s="34" t="s">
        <v>109</v>
      </c>
      <c r="L22" s="34">
        <v>1171089</v>
      </c>
      <c r="M22" s="34" t="s">
        <v>75</v>
      </c>
      <c r="N22" s="34">
        <v>8369888</v>
      </c>
      <c r="O22" s="34" t="s">
        <v>181</v>
      </c>
      <c r="P22" s="34" t="s">
        <v>97</v>
      </c>
      <c r="Q22" s="34" t="s">
        <v>98</v>
      </c>
      <c r="R22" s="34">
        <v>8100</v>
      </c>
      <c r="S22" s="34" t="s">
        <v>182</v>
      </c>
      <c r="T22" s="34" t="s">
        <v>63</v>
      </c>
      <c r="U22" s="34" t="s">
        <v>84</v>
      </c>
      <c r="V22" s="34" t="s">
        <v>82</v>
      </c>
      <c r="W22" s="37">
        <v>42286</v>
      </c>
      <c r="X22" s="34" t="s">
        <v>64</v>
      </c>
      <c r="Y22" s="37">
        <v>42282</v>
      </c>
      <c r="Z22" s="34"/>
      <c r="AA22" s="34"/>
      <c r="AB22" s="34"/>
      <c r="AC22" s="34" t="s">
        <v>183</v>
      </c>
      <c r="AD22" s="34">
        <v>87944972548469</v>
      </c>
      <c r="AE22" s="34" t="s">
        <v>84</v>
      </c>
      <c r="AF22" s="34" t="s">
        <v>840</v>
      </c>
    </row>
    <row r="23" spans="1:32" x14ac:dyDescent="0.2">
      <c r="A23" s="34">
        <v>10019423</v>
      </c>
      <c r="B23" s="34" t="s">
        <v>26</v>
      </c>
      <c r="C23" s="34" t="s">
        <v>78</v>
      </c>
      <c r="D23" s="37">
        <v>42282</v>
      </c>
      <c r="E23" s="34">
        <v>93542784</v>
      </c>
      <c r="F23" s="37">
        <v>42278</v>
      </c>
      <c r="G23" s="37">
        <v>42282</v>
      </c>
      <c r="H23" s="34">
        <v>1201547</v>
      </c>
      <c r="I23" s="34" t="s">
        <v>305</v>
      </c>
      <c r="J23" s="34">
        <v>1201547</v>
      </c>
      <c r="K23" s="34" t="s">
        <v>305</v>
      </c>
      <c r="L23" s="34">
        <v>1201547</v>
      </c>
      <c r="M23" s="34" t="s">
        <v>305</v>
      </c>
      <c r="N23" s="34">
        <v>94963</v>
      </c>
      <c r="O23" s="34" t="s">
        <v>181</v>
      </c>
      <c r="P23" s="34" t="s">
        <v>67</v>
      </c>
      <c r="Q23" s="34" t="s">
        <v>68</v>
      </c>
      <c r="R23" s="34">
        <v>2502.7199999999998</v>
      </c>
      <c r="S23" s="34" t="s">
        <v>182</v>
      </c>
      <c r="T23" s="34" t="s">
        <v>63</v>
      </c>
      <c r="U23" s="34" t="s">
        <v>81</v>
      </c>
      <c r="V23" s="34" t="s">
        <v>88</v>
      </c>
      <c r="W23" s="37">
        <v>42307</v>
      </c>
      <c r="X23" s="34"/>
      <c r="Y23" s="34"/>
      <c r="Z23" s="34"/>
      <c r="AA23" s="34"/>
      <c r="AB23" s="34"/>
      <c r="AC23" s="34" t="s">
        <v>183</v>
      </c>
      <c r="AD23" s="34">
        <v>3527001100</v>
      </c>
      <c r="AE23" s="34" t="s">
        <v>89</v>
      </c>
      <c r="AF23" s="34" t="s">
        <v>274</v>
      </c>
    </row>
    <row r="24" spans="1:32" x14ac:dyDescent="0.2">
      <c r="A24" s="34">
        <v>10019424</v>
      </c>
      <c r="B24" s="34" t="s">
        <v>22</v>
      </c>
      <c r="C24" s="34" t="s">
        <v>78</v>
      </c>
      <c r="D24" s="37">
        <v>42282</v>
      </c>
      <c r="E24" s="34"/>
      <c r="F24" s="34"/>
      <c r="G24" s="34"/>
      <c r="H24" s="34">
        <v>1201547</v>
      </c>
      <c r="I24" s="34" t="s">
        <v>305</v>
      </c>
      <c r="J24" s="34">
        <v>1201547</v>
      </c>
      <c r="K24" s="34" t="s">
        <v>305</v>
      </c>
      <c r="L24" s="34">
        <v>1201547</v>
      </c>
      <c r="M24" s="34" t="s">
        <v>305</v>
      </c>
      <c r="N24" s="34">
        <v>94963</v>
      </c>
      <c r="O24" s="34" t="s">
        <v>181</v>
      </c>
      <c r="P24" s="34"/>
      <c r="Q24" s="34"/>
      <c r="R24" s="34">
        <v>446.4</v>
      </c>
      <c r="S24" s="34" t="s">
        <v>182</v>
      </c>
      <c r="T24" s="34" t="s">
        <v>63</v>
      </c>
      <c r="U24" s="34" t="s">
        <v>94</v>
      </c>
      <c r="V24" s="34" t="s">
        <v>82</v>
      </c>
      <c r="W24" s="37">
        <v>42296</v>
      </c>
      <c r="X24" s="34" t="s">
        <v>64</v>
      </c>
      <c r="Y24" s="37">
        <v>42282</v>
      </c>
      <c r="Z24" s="34"/>
      <c r="AA24" s="34"/>
      <c r="AB24" s="34"/>
      <c r="AC24" s="34" t="s">
        <v>183</v>
      </c>
      <c r="AD24" s="34"/>
      <c r="AE24" s="34" t="s">
        <v>142</v>
      </c>
      <c r="AF24" s="34" t="s">
        <v>841</v>
      </c>
    </row>
    <row r="25" spans="1:32" x14ac:dyDescent="0.2">
      <c r="A25" s="34">
        <v>10019425</v>
      </c>
      <c r="B25" s="34" t="s">
        <v>24</v>
      </c>
      <c r="C25" s="34" t="s">
        <v>78</v>
      </c>
      <c r="D25" s="37">
        <v>42282</v>
      </c>
      <c r="E25" s="34">
        <v>93541326</v>
      </c>
      <c r="F25" s="37">
        <v>42277</v>
      </c>
      <c r="G25" s="37">
        <v>42279</v>
      </c>
      <c r="H25" s="34">
        <v>1334921</v>
      </c>
      <c r="I25" s="34" t="s">
        <v>189</v>
      </c>
      <c r="J25" s="34">
        <v>1334951</v>
      </c>
      <c r="K25" s="34" t="s">
        <v>190</v>
      </c>
      <c r="L25" s="34">
        <v>1334921</v>
      </c>
      <c r="M25" s="34" t="s">
        <v>189</v>
      </c>
      <c r="N25" s="34">
        <v>11371</v>
      </c>
      <c r="O25" s="34" t="s">
        <v>181</v>
      </c>
      <c r="P25" s="34" t="s">
        <v>67</v>
      </c>
      <c r="Q25" s="34" t="s">
        <v>68</v>
      </c>
      <c r="R25" s="34">
        <v>1805.76</v>
      </c>
      <c r="S25" s="34" t="s">
        <v>182</v>
      </c>
      <c r="T25" s="34" t="s">
        <v>69</v>
      </c>
      <c r="U25" s="34" t="s">
        <v>70</v>
      </c>
      <c r="V25" s="34" t="s">
        <v>71</v>
      </c>
      <c r="W25" s="37">
        <v>42285</v>
      </c>
      <c r="X25" s="34" t="s">
        <v>64</v>
      </c>
      <c r="Y25" s="37">
        <v>42282</v>
      </c>
      <c r="Z25" s="34" t="s">
        <v>72</v>
      </c>
      <c r="AA25" s="34">
        <v>61999905</v>
      </c>
      <c r="AB25" s="37">
        <v>42289</v>
      </c>
      <c r="AC25" s="34" t="s">
        <v>183</v>
      </c>
      <c r="AD25" s="34">
        <v>3527000993</v>
      </c>
      <c r="AE25" s="34" t="s">
        <v>73</v>
      </c>
      <c r="AF25" s="34" t="s">
        <v>648</v>
      </c>
    </row>
    <row r="26" spans="1:32" x14ac:dyDescent="0.2">
      <c r="A26" s="34">
        <v>10019426</v>
      </c>
      <c r="B26" s="34" t="s">
        <v>26</v>
      </c>
      <c r="C26" s="34" t="s">
        <v>573</v>
      </c>
      <c r="D26" s="37">
        <v>42283</v>
      </c>
      <c r="E26" s="34">
        <v>93536418</v>
      </c>
      <c r="F26" s="37">
        <v>42272</v>
      </c>
      <c r="G26" s="34"/>
      <c r="H26" s="34">
        <v>1201494</v>
      </c>
      <c r="I26" s="34" t="s">
        <v>161</v>
      </c>
      <c r="J26" s="34">
        <v>1060523</v>
      </c>
      <c r="K26" s="34" t="s">
        <v>427</v>
      </c>
      <c r="L26" s="34">
        <v>1172005</v>
      </c>
      <c r="M26" s="34" t="s">
        <v>161</v>
      </c>
      <c r="N26" s="34">
        <v>37395</v>
      </c>
      <c r="O26" s="34" t="s">
        <v>181</v>
      </c>
      <c r="P26" s="34" t="s">
        <v>102</v>
      </c>
      <c r="Q26" s="34" t="s">
        <v>103</v>
      </c>
      <c r="R26" s="34">
        <v>0</v>
      </c>
      <c r="S26" s="34" t="s">
        <v>182</v>
      </c>
      <c r="T26" s="34" t="s">
        <v>63</v>
      </c>
      <c r="U26" s="34" t="s">
        <v>81</v>
      </c>
      <c r="V26" s="34" t="s">
        <v>82</v>
      </c>
      <c r="W26" s="37">
        <v>42293</v>
      </c>
      <c r="X26" s="34"/>
      <c r="Y26" s="34"/>
      <c r="Z26" s="34"/>
      <c r="AA26" s="34"/>
      <c r="AB26" s="34"/>
      <c r="AC26" s="34" t="s">
        <v>183</v>
      </c>
      <c r="AD26" s="34">
        <v>649275044949</v>
      </c>
      <c r="AE26" s="34" t="s">
        <v>84</v>
      </c>
      <c r="AF26" s="34" t="s">
        <v>842</v>
      </c>
    </row>
    <row r="27" spans="1:32" x14ac:dyDescent="0.2">
      <c r="A27" s="34">
        <v>10019427</v>
      </c>
      <c r="B27" s="34" t="s">
        <v>18</v>
      </c>
      <c r="C27" s="34" t="s">
        <v>78</v>
      </c>
      <c r="D27" s="37">
        <v>42283</v>
      </c>
      <c r="E27" s="34">
        <v>93540844</v>
      </c>
      <c r="F27" s="37">
        <v>42277</v>
      </c>
      <c r="G27" s="37">
        <v>42279</v>
      </c>
      <c r="H27" s="34">
        <v>1022013</v>
      </c>
      <c r="I27" s="34" t="s">
        <v>114</v>
      </c>
      <c r="J27" s="34">
        <v>1335507</v>
      </c>
      <c r="K27" s="34" t="s">
        <v>114</v>
      </c>
      <c r="L27" s="34">
        <v>1022013</v>
      </c>
      <c r="M27" s="34" t="s">
        <v>114</v>
      </c>
      <c r="N27" s="34">
        <v>75371</v>
      </c>
      <c r="O27" s="34" t="s">
        <v>181</v>
      </c>
      <c r="P27" s="34" t="s">
        <v>67</v>
      </c>
      <c r="Q27" s="34" t="s">
        <v>68</v>
      </c>
      <c r="R27" s="34">
        <v>25.32</v>
      </c>
      <c r="S27" s="34" t="s">
        <v>182</v>
      </c>
      <c r="T27" s="34" t="s">
        <v>63</v>
      </c>
      <c r="U27" s="34" t="s">
        <v>70</v>
      </c>
      <c r="V27" s="34" t="s">
        <v>76</v>
      </c>
      <c r="W27" s="37">
        <v>42290</v>
      </c>
      <c r="X27" s="34" t="s">
        <v>64</v>
      </c>
      <c r="Y27" s="37">
        <v>42283</v>
      </c>
      <c r="Z27" s="34"/>
      <c r="AA27" s="34"/>
      <c r="AB27" s="34"/>
      <c r="AC27" s="34" t="s">
        <v>183</v>
      </c>
      <c r="AD27" s="34">
        <v>3527007363</v>
      </c>
      <c r="AE27" s="34" t="s">
        <v>77</v>
      </c>
      <c r="AF27" s="34" t="s">
        <v>376</v>
      </c>
    </row>
    <row r="28" spans="1:32" x14ac:dyDescent="0.2">
      <c r="A28" s="34">
        <v>10019428</v>
      </c>
      <c r="B28" s="34" t="s">
        <v>18</v>
      </c>
      <c r="C28" s="34" t="s">
        <v>573</v>
      </c>
      <c r="D28" s="37">
        <v>42283</v>
      </c>
      <c r="E28" s="34">
        <v>93541177</v>
      </c>
      <c r="F28" s="37">
        <v>42277</v>
      </c>
      <c r="G28" s="37">
        <v>42279</v>
      </c>
      <c r="H28" s="34">
        <v>1201399</v>
      </c>
      <c r="I28" s="34" t="s">
        <v>144</v>
      </c>
      <c r="J28" s="34">
        <v>1334926</v>
      </c>
      <c r="K28" s="34" t="s">
        <v>145</v>
      </c>
      <c r="L28" s="34">
        <v>1171970</v>
      </c>
      <c r="M28" s="34" t="s">
        <v>144</v>
      </c>
      <c r="N28" s="34">
        <v>3005019825</v>
      </c>
      <c r="O28" s="34" t="s">
        <v>181</v>
      </c>
      <c r="P28" s="34" t="s">
        <v>67</v>
      </c>
      <c r="Q28" s="34" t="s">
        <v>68</v>
      </c>
      <c r="R28" s="34">
        <v>1746.36</v>
      </c>
      <c r="S28" s="34" t="s">
        <v>182</v>
      </c>
      <c r="T28" s="34" t="s">
        <v>63</v>
      </c>
      <c r="U28" s="34" t="s">
        <v>70</v>
      </c>
      <c r="V28" s="34" t="s">
        <v>76</v>
      </c>
      <c r="W28" s="37">
        <v>42290</v>
      </c>
      <c r="X28" s="34" t="s">
        <v>64</v>
      </c>
      <c r="Y28" s="37">
        <v>42283</v>
      </c>
      <c r="Z28" s="34"/>
      <c r="AA28" s="34"/>
      <c r="AB28" s="34"/>
      <c r="AC28" s="34" t="s">
        <v>183</v>
      </c>
      <c r="AD28" s="34">
        <v>3527001052</v>
      </c>
      <c r="AE28" s="34" t="s">
        <v>77</v>
      </c>
      <c r="AF28" s="34" t="s">
        <v>170</v>
      </c>
    </row>
    <row r="29" spans="1:32" x14ac:dyDescent="0.2">
      <c r="A29" s="34">
        <v>10019430</v>
      </c>
      <c r="B29" s="34" t="s">
        <v>18</v>
      </c>
      <c r="C29" s="34" t="s">
        <v>573</v>
      </c>
      <c r="D29" s="37">
        <v>42283</v>
      </c>
      <c r="E29" s="34">
        <v>93526926</v>
      </c>
      <c r="F29" s="37">
        <v>42265</v>
      </c>
      <c r="G29" s="37">
        <v>42270</v>
      </c>
      <c r="H29" s="34">
        <v>1201315</v>
      </c>
      <c r="I29" s="34" t="s">
        <v>256</v>
      </c>
      <c r="J29" s="34">
        <v>1321854</v>
      </c>
      <c r="K29" s="34" t="s">
        <v>256</v>
      </c>
      <c r="L29" s="34">
        <v>1201315</v>
      </c>
      <c r="M29" s="34" t="s">
        <v>256</v>
      </c>
      <c r="N29" s="34">
        <v>5623107</v>
      </c>
      <c r="O29" s="34" t="s">
        <v>181</v>
      </c>
      <c r="P29" s="34" t="s">
        <v>67</v>
      </c>
      <c r="Q29" s="34" t="s">
        <v>68</v>
      </c>
      <c r="R29" s="34">
        <v>147.36000000000001</v>
      </c>
      <c r="S29" s="34" t="s">
        <v>182</v>
      </c>
      <c r="T29" s="34" t="s">
        <v>69</v>
      </c>
      <c r="U29" s="34" t="s">
        <v>94</v>
      </c>
      <c r="V29" s="34" t="s">
        <v>71</v>
      </c>
      <c r="W29" s="37">
        <v>42292</v>
      </c>
      <c r="X29" s="34" t="s">
        <v>64</v>
      </c>
      <c r="Y29" s="37">
        <v>42283</v>
      </c>
      <c r="Z29" s="34" t="s">
        <v>72</v>
      </c>
      <c r="AA29" s="34">
        <v>62008388</v>
      </c>
      <c r="AB29" s="37">
        <v>42300</v>
      </c>
      <c r="AC29" s="34" t="s">
        <v>183</v>
      </c>
      <c r="AD29" s="34">
        <v>3527005392</v>
      </c>
      <c r="AE29" s="34" t="s">
        <v>96</v>
      </c>
      <c r="AF29" s="34" t="s">
        <v>843</v>
      </c>
    </row>
    <row r="30" spans="1:32" x14ac:dyDescent="0.2">
      <c r="A30" s="34">
        <v>10019432</v>
      </c>
      <c r="B30" s="34" t="s">
        <v>18</v>
      </c>
      <c r="C30" s="34" t="s">
        <v>573</v>
      </c>
      <c r="D30" s="37">
        <v>42283</v>
      </c>
      <c r="E30" s="34">
        <v>93542814</v>
      </c>
      <c r="F30" s="37">
        <v>42278</v>
      </c>
      <c r="G30" s="37">
        <v>42282</v>
      </c>
      <c r="H30" s="34">
        <v>1201605</v>
      </c>
      <c r="I30" s="34" t="s">
        <v>155</v>
      </c>
      <c r="J30" s="34">
        <v>1023292</v>
      </c>
      <c r="K30" s="34" t="s">
        <v>155</v>
      </c>
      <c r="L30" s="34">
        <v>1172017</v>
      </c>
      <c r="M30" s="34" t="s">
        <v>155</v>
      </c>
      <c r="N30" s="34">
        <v>537950</v>
      </c>
      <c r="O30" s="34" t="s">
        <v>181</v>
      </c>
      <c r="P30" s="34" t="s">
        <v>67</v>
      </c>
      <c r="Q30" s="34" t="s">
        <v>68</v>
      </c>
      <c r="R30" s="34">
        <v>294.77999999999997</v>
      </c>
      <c r="S30" s="34" t="s">
        <v>182</v>
      </c>
      <c r="T30" s="34" t="s">
        <v>63</v>
      </c>
      <c r="U30" s="34" t="s">
        <v>70</v>
      </c>
      <c r="V30" s="34" t="s">
        <v>76</v>
      </c>
      <c r="W30" s="37">
        <v>42290</v>
      </c>
      <c r="X30" s="34" t="s">
        <v>64</v>
      </c>
      <c r="Y30" s="37">
        <v>42283</v>
      </c>
      <c r="Z30" s="34"/>
      <c r="AA30" s="34"/>
      <c r="AB30" s="34"/>
      <c r="AC30" s="34" t="s">
        <v>183</v>
      </c>
      <c r="AD30" s="34">
        <v>3527001133</v>
      </c>
      <c r="AE30" s="34" t="s">
        <v>77</v>
      </c>
      <c r="AF30" s="34" t="s">
        <v>191</v>
      </c>
    </row>
    <row r="31" spans="1:32" x14ac:dyDescent="0.2">
      <c r="A31" s="34">
        <v>10019433</v>
      </c>
      <c r="B31" s="34" t="s">
        <v>24</v>
      </c>
      <c r="C31" s="34" t="s">
        <v>78</v>
      </c>
      <c r="D31" s="37">
        <v>42283</v>
      </c>
      <c r="E31" s="34">
        <v>93536282</v>
      </c>
      <c r="F31" s="37">
        <v>42272</v>
      </c>
      <c r="G31" s="37">
        <v>42282</v>
      </c>
      <c r="H31" s="34">
        <v>1201156</v>
      </c>
      <c r="I31" s="34" t="s">
        <v>131</v>
      </c>
      <c r="J31" s="34">
        <v>1319569</v>
      </c>
      <c r="K31" s="34" t="s">
        <v>132</v>
      </c>
      <c r="L31" s="34">
        <v>1201156</v>
      </c>
      <c r="M31" s="34" t="s">
        <v>131</v>
      </c>
      <c r="N31" s="34">
        <v>8321614</v>
      </c>
      <c r="O31" s="34" t="s">
        <v>181</v>
      </c>
      <c r="P31" s="34" t="s">
        <v>61</v>
      </c>
      <c r="Q31" s="34" t="s">
        <v>62</v>
      </c>
      <c r="R31" s="34">
        <v>548.64</v>
      </c>
      <c r="S31" s="34" t="s">
        <v>182</v>
      </c>
      <c r="T31" s="34" t="s">
        <v>69</v>
      </c>
      <c r="U31" s="34" t="s">
        <v>70</v>
      </c>
      <c r="V31" s="34" t="s">
        <v>71</v>
      </c>
      <c r="W31" s="37">
        <v>42293</v>
      </c>
      <c r="X31" s="34" t="s">
        <v>64</v>
      </c>
      <c r="Y31" s="37">
        <v>42283</v>
      </c>
      <c r="Z31" s="34" t="s">
        <v>72</v>
      </c>
      <c r="AA31" s="34">
        <v>62008390</v>
      </c>
      <c r="AB31" s="37">
        <v>42300</v>
      </c>
      <c r="AC31" s="34" t="s">
        <v>183</v>
      </c>
      <c r="AD31" s="34">
        <v>327764663</v>
      </c>
      <c r="AE31" s="34" t="s">
        <v>73</v>
      </c>
      <c r="AF31" s="34" t="s">
        <v>844</v>
      </c>
    </row>
    <row r="32" spans="1:32" x14ac:dyDescent="0.2">
      <c r="A32" s="34">
        <v>10019436</v>
      </c>
      <c r="B32" s="34" t="s">
        <v>18</v>
      </c>
      <c r="C32" s="34" t="s">
        <v>78</v>
      </c>
      <c r="D32" s="37">
        <v>42283</v>
      </c>
      <c r="E32" s="34">
        <v>93539884</v>
      </c>
      <c r="F32" s="37">
        <v>42276</v>
      </c>
      <c r="G32" s="37">
        <v>42279</v>
      </c>
      <c r="H32" s="34">
        <v>1201057</v>
      </c>
      <c r="I32" s="34" t="s">
        <v>643</v>
      </c>
      <c r="J32" s="34">
        <v>1325925</v>
      </c>
      <c r="K32" s="34" t="s">
        <v>643</v>
      </c>
      <c r="L32" s="34">
        <v>1201057</v>
      </c>
      <c r="M32" s="34" t="s">
        <v>643</v>
      </c>
      <c r="N32" s="34">
        <v>176774</v>
      </c>
      <c r="O32" s="34" t="s">
        <v>181</v>
      </c>
      <c r="P32" s="34" t="s">
        <v>67</v>
      </c>
      <c r="Q32" s="34" t="s">
        <v>68</v>
      </c>
      <c r="R32" s="34">
        <v>49.59</v>
      </c>
      <c r="S32" s="34" t="s">
        <v>182</v>
      </c>
      <c r="T32" s="34" t="s">
        <v>69</v>
      </c>
      <c r="U32" s="34" t="s">
        <v>70</v>
      </c>
      <c r="V32" s="34" t="s">
        <v>76</v>
      </c>
      <c r="W32" s="37">
        <v>42290</v>
      </c>
      <c r="X32" s="34" t="s">
        <v>64</v>
      </c>
      <c r="Y32" s="37">
        <v>42283</v>
      </c>
      <c r="Z32" s="34" t="s">
        <v>100</v>
      </c>
      <c r="AA32" s="34">
        <v>62016692</v>
      </c>
      <c r="AB32" s="37">
        <v>42312</v>
      </c>
      <c r="AC32" s="34" t="s">
        <v>183</v>
      </c>
      <c r="AD32" s="34">
        <v>3527007293</v>
      </c>
      <c r="AE32" s="34" t="s">
        <v>77</v>
      </c>
      <c r="AF32" s="34" t="s">
        <v>845</v>
      </c>
    </row>
    <row r="33" spans="1:32" x14ac:dyDescent="0.2">
      <c r="A33" s="34">
        <v>10019437</v>
      </c>
      <c r="B33" s="34" t="s">
        <v>22</v>
      </c>
      <c r="C33" s="34" t="s">
        <v>78</v>
      </c>
      <c r="D33" s="37">
        <v>42283</v>
      </c>
      <c r="E33" s="34">
        <v>93531270</v>
      </c>
      <c r="F33" s="37">
        <v>42269</v>
      </c>
      <c r="G33" s="37">
        <v>42272</v>
      </c>
      <c r="H33" s="34">
        <v>1201540</v>
      </c>
      <c r="I33" s="34" t="s">
        <v>150</v>
      </c>
      <c r="J33" s="34">
        <v>1312297</v>
      </c>
      <c r="K33" s="34" t="s">
        <v>151</v>
      </c>
      <c r="L33" s="34">
        <v>1201540</v>
      </c>
      <c r="M33" s="34" t="s">
        <v>150</v>
      </c>
      <c r="N33" s="34" t="s">
        <v>795</v>
      </c>
      <c r="O33" s="34" t="s">
        <v>181</v>
      </c>
      <c r="P33" s="34" t="s">
        <v>67</v>
      </c>
      <c r="Q33" s="34" t="s">
        <v>68</v>
      </c>
      <c r="R33" s="34">
        <v>2035.24</v>
      </c>
      <c r="S33" s="34" t="s">
        <v>182</v>
      </c>
      <c r="T33" s="34" t="s">
        <v>63</v>
      </c>
      <c r="U33" s="34"/>
      <c r="V33" s="34"/>
      <c r="W33" s="34"/>
      <c r="X33" s="34" t="s">
        <v>64</v>
      </c>
      <c r="Y33" s="37">
        <v>42283</v>
      </c>
      <c r="Z33" s="34"/>
      <c r="AA33" s="34"/>
      <c r="AB33" s="34"/>
      <c r="AC33" s="34" t="s">
        <v>183</v>
      </c>
      <c r="AD33" s="34">
        <v>3527005856</v>
      </c>
      <c r="AE33" s="34"/>
      <c r="AF33" s="34"/>
    </row>
    <row r="34" spans="1:32" x14ac:dyDescent="0.2">
      <c r="A34" s="34">
        <v>10019439</v>
      </c>
      <c r="B34" s="34" t="s">
        <v>22</v>
      </c>
      <c r="C34" s="34" t="s">
        <v>78</v>
      </c>
      <c r="D34" s="37">
        <v>42283</v>
      </c>
      <c r="E34" s="34"/>
      <c r="F34" s="34"/>
      <c r="G34" s="34"/>
      <c r="H34" s="34">
        <v>1201540</v>
      </c>
      <c r="I34" s="34" t="s">
        <v>150</v>
      </c>
      <c r="J34" s="34">
        <v>1312297</v>
      </c>
      <c r="K34" s="34" t="s">
        <v>151</v>
      </c>
      <c r="L34" s="34">
        <v>1201540</v>
      </c>
      <c r="M34" s="34" t="s">
        <v>150</v>
      </c>
      <c r="N34" s="34" t="s">
        <v>846</v>
      </c>
      <c r="O34" s="34" t="s">
        <v>181</v>
      </c>
      <c r="P34" s="34"/>
      <c r="Q34" s="34"/>
      <c r="R34" s="34">
        <v>22862.76</v>
      </c>
      <c r="S34" s="34" t="s">
        <v>182</v>
      </c>
      <c r="T34" s="34" t="s">
        <v>63</v>
      </c>
      <c r="U34" s="34" t="s">
        <v>94</v>
      </c>
      <c r="V34" s="34" t="s">
        <v>82</v>
      </c>
      <c r="W34" s="37">
        <v>42311</v>
      </c>
      <c r="X34" s="34" t="s">
        <v>64</v>
      </c>
      <c r="Y34" s="37">
        <v>42283</v>
      </c>
      <c r="Z34" s="34"/>
      <c r="AA34" s="34"/>
      <c r="AB34" s="34"/>
      <c r="AC34" s="34" t="s">
        <v>183</v>
      </c>
      <c r="AD34" s="34"/>
      <c r="AE34" s="34" t="s">
        <v>142</v>
      </c>
      <c r="AF34" s="34" t="s">
        <v>847</v>
      </c>
    </row>
    <row r="35" spans="1:32" x14ac:dyDescent="0.2">
      <c r="A35" s="34">
        <v>10019440</v>
      </c>
      <c r="B35" s="34" t="s">
        <v>26</v>
      </c>
      <c r="C35" s="34" t="s">
        <v>78</v>
      </c>
      <c r="D35" s="37">
        <v>42284</v>
      </c>
      <c r="E35" s="34">
        <v>93538561</v>
      </c>
      <c r="F35" s="37">
        <v>42275</v>
      </c>
      <c r="G35" s="34"/>
      <c r="H35" s="34">
        <v>1201120</v>
      </c>
      <c r="I35" s="34" t="s">
        <v>117</v>
      </c>
      <c r="J35" s="34">
        <v>1307782</v>
      </c>
      <c r="K35" s="34" t="s">
        <v>119</v>
      </c>
      <c r="L35" s="34">
        <v>1171090</v>
      </c>
      <c r="M35" s="34" t="s">
        <v>118</v>
      </c>
      <c r="N35" s="34" t="s">
        <v>825</v>
      </c>
      <c r="O35" s="34" t="s">
        <v>181</v>
      </c>
      <c r="P35" s="34" t="s">
        <v>121</v>
      </c>
      <c r="Q35" s="34" t="s">
        <v>122</v>
      </c>
      <c r="R35" s="34">
        <v>38.35</v>
      </c>
      <c r="S35" s="34" t="s">
        <v>182</v>
      </c>
      <c r="T35" s="34" t="s">
        <v>63</v>
      </c>
      <c r="U35" s="34" t="s">
        <v>81</v>
      </c>
      <c r="V35" s="34" t="s">
        <v>88</v>
      </c>
      <c r="W35" s="37">
        <v>42307</v>
      </c>
      <c r="X35" s="34" t="s">
        <v>64</v>
      </c>
      <c r="Y35" s="37">
        <v>42284</v>
      </c>
      <c r="Z35" s="34"/>
      <c r="AA35" s="34"/>
      <c r="AB35" s="34"/>
      <c r="AC35" s="34" t="s">
        <v>183</v>
      </c>
      <c r="AD35" s="34" t="s">
        <v>826</v>
      </c>
      <c r="AE35" s="34" t="s">
        <v>89</v>
      </c>
      <c r="AF35" s="34" t="s">
        <v>848</v>
      </c>
    </row>
    <row r="36" spans="1:32" x14ac:dyDescent="0.2">
      <c r="A36" s="34">
        <v>10019441</v>
      </c>
      <c r="B36" s="34" t="s">
        <v>26</v>
      </c>
      <c r="C36" s="34" t="s">
        <v>78</v>
      </c>
      <c r="D36" s="37">
        <v>42284</v>
      </c>
      <c r="E36" s="34">
        <v>93536035</v>
      </c>
      <c r="F36" s="37">
        <v>42272</v>
      </c>
      <c r="G36" s="34"/>
      <c r="H36" s="34">
        <v>1201047</v>
      </c>
      <c r="I36" s="34" t="s">
        <v>79</v>
      </c>
      <c r="J36" s="34">
        <v>1003696</v>
      </c>
      <c r="K36" s="34" t="s">
        <v>80</v>
      </c>
      <c r="L36" s="34">
        <v>1171089</v>
      </c>
      <c r="M36" s="34" t="s">
        <v>75</v>
      </c>
      <c r="N36" s="34">
        <v>24506712</v>
      </c>
      <c r="O36" s="34" t="s">
        <v>181</v>
      </c>
      <c r="P36" s="34" t="s">
        <v>168</v>
      </c>
      <c r="Q36" s="34" t="s">
        <v>169</v>
      </c>
      <c r="R36" s="34">
        <v>2409.12</v>
      </c>
      <c r="S36" s="34" t="s">
        <v>182</v>
      </c>
      <c r="T36" s="34" t="s">
        <v>63</v>
      </c>
      <c r="U36" s="34" t="s">
        <v>94</v>
      </c>
      <c r="V36" s="34" t="s">
        <v>95</v>
      </c>
      <c r="W36" s="37">
        <v>42285</v>
      </c>
      <c r="X36" s="34" t="s">
        <v>64</v>
      </c>
      <c r="Y36" s="37">
        <v>42284</v>
      </c>
      <c r="Z36" s="34"/>
      <c r="AA36" s="34"/>
      <c r="AB36" s="34"/>
      <c r="AC36" s="34" t="s">
        <v>183</v>
      </c>
      <c r="AD36" s="34" t="s">
        <v>849</v>
      </c>
      <c r="AE36" s="34" t="s">
        <v>96</v>
      </c>
      <c r="AF36" s="34" t="s">
        <v>850</v>
      </c>
    </row>
    <row r="37" spans="1:32" x14ac:dyDescent="0.2">
      <c r="A37" s="34">
        <v>10019442</v>
      </c>
      <c r="B37" s="34" t="s">
        <v>18</v>
      </c>
      <c r="C37" s="34" t="s">
        <v>78</v>
      </c>
      <c r="D37" s="37">
        <v>42284</v>
      </c>
      <c r="E37" s="34">
        <v>93540916</v>
      </c>
      <c r="F37" s="37">
        <v>42277</v>
      </c>
      <c r="G37" s="37">
        <v>42278</v>
      </c>
      <c r="H37" s="34">
        <v>1201047</v>
      </c>
      <c r="I37" s="34" t="s">
        <v>79</v>
      </c>
      <c r="J37" s="34">
        <v>1307128</v>
      </c>
      <c r="K37" s="34" t="s">
        <v>85</v>
      </c>
      <c r="L37" s="34">
        <v>1171089</v>
      </c>
      <c r="M37" s="34" t="s">
        <v>75</v>
      </c>
      <c r="N37" s="34">
        <v>10487439</v>
      </c>
      <c r="O37" s="34" t="s">
        <v>181</v>
      </c>
      <c r="P37" s="34" t="s">
        <v>91</v>
      </c>
      <c r="Q37" s="34" t="s">
        <v>92</v>
      </c>
      <c r="R37" s="34">
        <v>2640.24</v>
      </c>
      <c r="S37" s="34" t="s">
        <v>182</v>
      </c>
      <c r="T37" s="34" t="s">
        <v>69</v>
      </c>
      <c r="U37" s="34" t="s">
        <v>81</v>
      </c>
      <c r="V37" s="34" t="s">
        <v>76</v>
      </c>
      <c r="W37" s="37">
        <v>42290</v>
      </c>
      <c r="X37" s="34" t="s">
        <v>64</v>
      </c>
      <c r="Y37" s="37">
        <v>42284</v>
      </c>
      <c r="Z37" s="34" t="s">
        <v>100</v>
      </c>
      <c r="AA37" s="34">
        <v>62007802</v>
      </c>
      <c r="AB37" s="37">
        <v>42299</v>
      </c>
      <c r="AC37" s="34" t="s">
        <v>183</v>
      </c>
      <c r="AD37" s="34" t="s">
        <v>851</v>
      </c>
      <c r="AE37" s="34" t="s">
        <v>77</v>
      </c>
      <c r="AF37" s="34" t="s">
        <v>345</v>
      </c>
    </row>
    <row r="38" spans="1:32" x14ac:dyDescent="0.2">
      <c r="A38" s="34">
        <v>10019443</v>
      </c>
      <c r="B38" s="34" t="s">
        <v>26</v>
      </c>
      <c r="C38" s="34" t="s">
        <v>78</v>
      </c>
      <c r="D38" s="37">
        <v>42284</v>
      </c>
      <c r="E38" s="34">
        <v>93539826</v>
      </c>
      <c r="F38" s="37">
        <v>42276</v>
      </c>
      <c r="G38" s="34"/>
      <c r="H38" s="34">
        <v>1201047</v>
      </c>
      <c r="I38" s="34" t="s">
        <v>79</v>
      </c>
      <c r="J38" s="34">
        <v>1311011</v>
      </c>
      <c r="K38" s="34" t="s">
        <v>85</v>
      </c>
      <c r="L38" s="34">
        <v>1171089</v>
      </c>
      <c r="M38" s="34" t="s">
        <v>75</v>
      </c>
      <c r="N38" s="34">
        <v>19624016</v>
      </c>
      <c r="O38" s="34" t="s">
        <v>181</v>
      </c>
      <c r="P38" s="34" t="s">
        <v>86</v>
      </c>
      <c r="Q38" s="34" t="s">
        <v>87</v>
      </c>
      <c r="R38" s="34">
        <v>2601.6</v>
      </c>
      <c r="S38" s="34" t="s">
        <v>182</v>
      </c>
      <c r="T38" s="34" t="s">
        <v>63</v>
      </c>
      <c r="U38" s="34" t="s">
        <v>94</v>
      </c>
      <c r="V38" s="34" t="s">
        <v>95</v>
      </c>
      <c r="W38" s="37">
        <v>42285</v>
      </c>
      <c r="X38" s="34" t="s">
        <v>64</v>
      </c>
      <c r="Y38" s="37">
        <v>42284</v>
      </c>
      <c r="Z38" s="34"/>
      <c r="AA38" s="34"/>
      <c r="AB38" s="34"/>
      <c r="AC38" s="34" t="s">
        <v>183</v>
      </c>
      <c r="AD38" s="34" t="s">
        <v>852</v>
      </c>
      <c r="AE38" s="34" t="s">
        <v>96</v>
      </c>
      <c r="AF38" s="34" t="s">
        <v>853</v>
      </c>
    </row>
    <row r="39" spans="1:32" x14ac:dyDescent="0.2">
      <c r="A39" s="34">
        <v>10019444</v>
      </c>
      <c r="B39" s="34" t="s">
        <v>22</v>
      </c>
      <c r="C39" s="34" t="s">
        <v>78</v>
      </c>
      <c r="D39" s="37">
        <v>42284</v>
      </c>
      <c r="E39" s="34">
        <v>93539791</v>
      </c>
      <c r="F39" s="37">
        <v>42276</v>
      </c>
      <c r="G39" s="34"/>
      <c r="H39" s="34">
        <v>1201047</v>
      </c>
      <c r="I39" s="34" t="s">
        <v>79</v>
      </c>
      <c r="J39" s="34">
        <v>1311011</v>
      </c>
      <c r="K39" s="34" t="s">
        <v>85</v>
      </c>
      <c r="L39" s="34">
        <v>1171089</v>
      </c>
      <c r="M39" s="34" t="s">
        <v>75</v>
      </c>
      <c r="N39" s="34">
        <v>19624016</v>
      </c>
      <c r="O39" s="34" t="s">
        <v>181</v>
      </c>
      <c r="P39" s="34" t="s">
        <v>86</v>
      </c>
      <c r="Q39" s="34" t="s">
        <v>87</v>
      </c>
      <c r="R39" s="34">
        <v>5431.68</v>
      </c>
      <c r="S39" s="34" t="s">
        <v>182</v>
      </c>
      <c r="T39" s="34" t="s">
        <v>63</v>
      </c>
      <c r="U39" s="34"/>
      <c r="V39" s="34"/>
      <c r="W39" s="34"/>
      <c r="X39" s="34" t="s">
        <v>64</v>
      </c>
      <c r="Y39" s="37">
        <v>42284</v>
      </c>
      <c r="Z39" s="34"/>
      <c r="AA39" s="34"/>
      <c r="AB39" s="34"/>
      <c r="AC39" s="34" t="s">
        <v>183</v>
      </c>
      <c r="AD39" s="34" t="s">
        <v>854</v>
      </c>
      <c r="AE39" s="34"/>
      <c r="AF39" s="34"/>
    </row>
    <row r="40" spans="1:32" x14ac:dyDescent="0.2">
      <c r="A40" s="34">
        <v>10019445</v>
      </c>
      <c r="B40" s="34" t="s">
        <v>18</v>
      </c>
      <c r="C40" s="34" t="s">
        <v>78</v>
      </c>
      <c r="D40" s="37">
        <v>42284</v>
      </c>
      <c r="E40" s="34">
        <v>93538783</v>
      </c>
      <c r="F40" s="37">
        <v>42275</v>
      </c>
      <c r="G40" s="34"/>
      <c r="H40" s="34">
        <v>1318826</v>
      </c>
      <c r="I40" s="34" t="s">
        <v>110</v>
      </c>
      <c r="J40" s="34">
        <v>1334311</v>
      </c>
      <c r="K40" s="34" t="s">
        <v>113</v>
      </c>
      <c r="L40" s="34">
        <v>1318826</v>
      </c>
      <c r="M40" s="34" t="s">
        <v>110</v>
      </c>
      <c r="N40" s="34">
        <v>2050776</v>
      </c>
      <c r="O40" s="34" t="s">
        <v>181</v>
      </c>
      <c r="P40" s="34" t="s">
        <v>91</v>
      </c>
      <c r="Q40" s="34" t="s">
        <v>92</v>
      </c>
      <c r="R40" s="34">
        <v>7.82</v>
      </c>
      <c r="S40" s="34" t="s">
        <v>182</v>
      </c>
      <c r="T40" s="34" t="s">
        <v>69</v>
      </c>
      <c r="U40" s="34" t="s">
        <v>70</v>
      </c>
      <c r="V40" s="34" t="s">
        <v>76</v>
      </c>
      <c r="W40" s="37">
        <v>42290</v>
      </c>
      <c r="X40" s="34" t="s">
        <v>64</v>
      </c>
      <c r="Y40" s="37">
        <v>42284</v>
      </c>
      <c r="Z40" s="34" t="s">
        <v>100</v>
      </c>
      <c r="AA40" s="34">
        <v>62016690</v>
      </c>
      <c r="AB40" s="37">
        <v>42312</v>
      </c>
      <c r="AC40" s="34" t="s">
        <v>183</v>
      </c>
      <c r="AD40" s="34" t="s">
        <v>855</v>
      </c>
      <c r="AE40" s="34" t="s">
        <v>77</v>
      </c>
      <c r="AF40" s="34" t="s">
        <v>191</v>
      </c>
    </row>
    <row r="41" spans="1:32" x14ac:dyDescent="0.2">
      <c r="A41" s="34">
        <v>10019446</v>
      </c>
      <c r="B41" s="34" t="s">
        <v>18</v>
      </c>
      <c r="C41" s="34" t="s">
        <v>573</v>
      </c>
      <c r="D41" s="37">
        <v>42284</v>
      </c>
      <c r="E41" s="34">
        <v>93538671</v>
      </c>
      <c r="F41" s="37">
        <v>42275</v>
      </c>
      <c r="G41" s="34"/>
      <c r="H41" s="34">
        <v>1201399</v>
      </c>
      <c r="I41" s="34" t="s">
        <v>144</v>
      </c>
      <c r="J41" s="34">
        <v>1334926</v>
      </c>
      <c r="K41" s="34" t="s">
        <v>145</v>
      </c>
      <c r="L41" s="34">
        <v>1171970</v>
      </c>
      <c r="M41" s="34" t="s">
        <v>144</v>
      </c>
      <c r="N41" s="34">
        <v>8106674614</v>
      </c>
      <c r="O41" s="34" t="s">
        <v>181</v>
      </c>
      <c r="P41" s="34" t="s">
        <v>279</v>
      </c>
      <c r="Q41" s="34" t="s">
        <v>280</v>
      </c>
      <c r="R41" s="34">
        <v>46383.839999999997</v>
      </c>
      <c r="S41" s="34" t="s">
        <v>182</v>
      </c>
      <c r="T41" s="34" t="s">
        <v>69</v>
      </c>
      <c r="U41" s="34" t="s">
        <v>70</v>
      </c>
      <c r="V41" s="34" t="s">
        <v>76</v>
      </c>
      <c r="W41" s="37">
        <v>42290</v>
      </c>
      <c r="X41" s="34" t="s">
        <v>83</v>
      </c>
      <c r="Y41" s="37">
        <v>42289</v>
      </c>
      <c r="Z41" s="34" t="s">
        <v>100</v>
      </c>
      <c r="AA41" s="34">
        <v>62009145</v>
      </c>
      <c r="AB41" s="37">
        <v>42303</v>
      </c>
      <c r="AC41" s="34" t="s">
        <v>183</v>
      </c>
      <c r="AD41" s="34" t="s">
        <v>856</v>
      </c>
      <c r="AE41" s="34" t="s">
        <v>77</v>
      </c>
      <c r="AF41" s="34" t="s">
        <v>611</v>
      </c>
    </row>
    <row r="42" spans="1:32" x14ac:dyDescent="0.2">
      <c r="A42" s="34">
        <v>10019447</v>
      </c>
      <c r="B42" s="34" t="s">
        <v>18</v>
      </c>
      <c r="C42" s="34" t="s">
        <v>573</v>
      </c>
      <c r="D42" s="37">
        <v>42284</v>
      </c>
      <c r="E42" s="34">
        <v>93538655</v>
      </c>
      <c r="F42" s="37">
        <v>42275</v>
      </c>
      <c r="G42" s="34"/>
      <c r="H42" s="34">
        <v>1201399</v>
      </c>
      <c r="I42" s="34" t="s">
        <v>144</v>
      </c>
      <c r="J42" s="34">
        <v>1334926</v>
      </c>
      <c r="K42" s="34" t="s">
        <v>145</v>
      </c>
      <c r="L42" s="34">
        <v>1171970</v>
      </c>
      <c r="M42" s="34" t="s">
        <v>144</v>
      </c>
      <c r="N42" s="34">
        <v>8106674525</v>
      </c>
      <c r="O42" s="34" t="s">
        <v>181</v>
      </c>
      <c r="P42" s="34" t="s">
        <v>279</v>
      </c>
      <c r="Q42" s="34" t="s">
        <v>280</v>
      </c>
      <c r="R42" s="34">
        <v>420</v>
      </c>
      <c r="S42" s="34" t="s">
        <v>182</v>
      </c>
      <c r="T42" s="34" t="s">
        <v>69</v>
      </c>
      <c r="U42" s="34" t="s">
        <v>70</v>
      </c>
      <c r="V42" s="34" t="s">
        <v>76</v>
      </c>
      <c r="W42" s="37">
        <v>42290</v>
      </c>
      <c r="X42" s="34" t="s">
        <v>64</v>
      </c>
      <c r="Y42" s="37">
        <v>42284</v>
      </c>
      <c r="Z42" s="34" t="s">
        <v>100</v>
      </c>
      <c r="AA42" s="34">
        <v>62009140</v>
      </c>
      <c r="AB42" s="37">
        <v>42303</v>
      </c>
      <c r="AC42" s="34" t="s">
        <v>183</v>
      </c>
      <c r="AD42" s="34" t="s">
        <v>857</v>
      </c>
      <c r="AE42" s="34" t="s">
        <v>77</v>
      </c>
      <c r="AF42" s="34" t="s">
        <v>858</v>
      </c>
    </row>
    <row r="43" spans="1:32" x14ac:dyDescent="0.2">
      <c r="A43" s="34">
        <v>10019448</v>
      </c>
      <c r="B43" s="34" t="s">
        <v>18</v>
      </c>
      <c r="C43" s="34" t="s">
        <v>78</v>
      </c>
      <c r="D43" s="37">
        <v>42284</v>
      </c>
      <c r="E43" s="34">
        <v>93542813</v>
      </c>
      <c r="F43" s="37">
        <v>42278</v>
      </c>
      <c r="G43" s="37">
        <v>42282</v>
      </c>
      <c r="H43" s="34">
        <v>1201605</v>
      </c>
      <c r="I43" s="34" t="s">
        <v>155</v>
      </c>
      <c r="J43" s="34">
        <v>1310002</v>
      </c>
      <c r="K43" s="34" t="s">
        <v>155</v>
      </c>
      <c r="L43" s="34">
        <v>1172017</v>
      </c>
      <c r="M43" s="34" t="s">
        <v>155</v>
      </c>
      <c r="N43" s="34">
        <v>537952</v>
      </c>
      <c r="O43" s="34" t="s">
        <v>181</v>
      </c>
      <c r="P43" s="34" t="s">
        <v>67</v>
      </c>
      <c r="Q43" s="34" t="s">
        <v>68</v>
      </c>
      <c r="R43" s="34">
        <v>288</v>
      </c>
      <c r="S43" s="34" t="s">
        <v>182</v>
      </c>
      <c r="T43" s="34" t="s">
        <v>63</v>
      </c>
      <c r="U43" s="34" t="s">
        <v>70</v>
      </c>
      <c r="V43" s="34" t="s">
        <v>76</v>
      </c>
      <c r="W43" s="37">
        <v>42290</v>
      </c>
      <c r="X43" s="34" t="s">
        <v>64</v>
      </c>
      <c r="Y43" s="37">
        <v>42284</v>
      </c>
      <c r="Z43" s="34"/>
      <c r="AA43" s="34"/>
      <c r="AB43" s="34"/>
      <c r="AC43" s="34" t="s">
        <v>183</v>
      </c>
      <c r="AD43" s="34">
        <v>3527001144</v>
      </c>
      <c r="AE43" s="34" t="s">
        <v>77</v>
      </c>
      <c r="AF43" s="34" t="s">
        <v>394</v>
      </c>
    </row>
    <row r="44" spans="1:32" x14ac:dyDescent="0.2">
      <c r="A44" s="34">
        <v>10019449</v>
      </c>
      <c r="B44" s="34" t="s">
        <v>18</v>
      </c>
      <c r="C44" s="34" t="s">
        <v>573</v>
      </c>
      <c r="D44" s="37">
        <v>42284</v>
      </c>
      <c r="E44" s="34">
        <v>93536047</v>
      </c>
      <c r="F44" s="37">
        <v>42272</v>
      </c>
      <c r="G44" s="34"/>
      <c r="H44" s="34">
        <v>1201047</v>
      </c>
      <c r="I44" s="34" t="s">
        <v>79</v>
      </c>
      <c r="J44" s="34">
        <v>1003696</v>
      </c>
      <c r="K44" s="34" t="s">
        <v>80</v>
      </c>
      <c r="L44" s="34">
        <v>1171089</v>
      </c>
      <c r="M44" s="34" t="s">
        <v>75</v>
      </c>
      <c r="N44" s="34">
        <v>24506712</v>
      </c>
      <c r="O44" s="34" t="s">
        <v>181</v>
      </c>
      <c r="P44" s="34" t="s">
        <v>168</v>
      </c>
      <c r="Q44" s="34" t="s">
        <v>169</v>
      </c>
      <c r="R44" s="34">
        <v>3583.44</v>
      </c>
      <c r="S44" s="34" t="s">
        <v>182</v>
      </c>
      <c r="T44" s="34" t="s">
        <v>69</v>
      </c>
      <c r="U44" s="34" t="s">
        <v>70</v>
      </c>
      <c r="V44" s="34" t="s">
        <v>76</v>
      </c>
      <c r="W44" s="37">
        <v>42290</v>
      </c>
      <c r="X44" s="34" t="s">
        <v>64</v>
      </c>
      <c r="Y44" s="37">
        <v>42284</v>
      </c>
      <c r="Z44" s="34" t="s">
        <v>100</v>
      </c>
      <c r="AA44" s="34">
        <v>62007799</v>
      </c>
      <c r="AB44" s="37">
        <v>42299</v>
      </c>
      <c r="AC44" s="34" t="s">
        <v>183</v>
      </c>
      <c r="AD44" s="34" t="s">
        <v>849</v>
      </c>
      <c r="AE44" s="34" t="s">
        <v>77</v>
      </c>
      <c r="AF44" s="34" t="s">
        <v>370</v>
      </c>
    </row>
    <row r="45" spans="1:32" x14ac:dyDescent="0.2">
      <c r="A45" s="34">
        <v>10019450</v>
      </c>
      <c r="B45" s="34" t="s">
        <v>26</v>
      </c>
      <c r="C45" s="34" t="s">
        <v>573</v>
      </c>
      <c r="D45" s="37">
        <v>42284</v>
      </c>
      <c r="E45" s="34">
        <v>93538472</v>
      </c>
      <c r="F45" s="37">
        <v>42275</v>
      </c>
      <c r="G45" s="34"/>
      <c r="H45" s="34">
        <v>1201047</v>
      </c>
      <c r="I45" s="34" t="s">
        <v>79</v>
      </c>
      <c r="J45" s="34">
        <v>1022214</v>
      </c>
      <c r="K45" s="34" t="s">
        <v>80</v>
      </c>
      <c r="L45" s="34">
        <v>1171089</v>
      </c>
      <c r="M45" s="34" t="s">
        <v>75</v>
      </c>
      <c r="N45" s="34">
        <v>4741294</v>
      </c>
      <c r="O45" s="34" t="s">
        <v>181</v>
      </c>
      <c r="P45" s="34" t="s">
        <v>859</v>
      </c>
      <c r="Q45" s="34" t="s">
        <v>860</v>
      </c>
      <c r="R45" s="34">
        <v>468</v>
      </c>
      <c r="S45" s="34" t="s">
        <v>182</v>
      </c>
      <c r="T45" s="34" t="s">
        <v>63</v>
      </c>
      <c r="U45" s="34" t="s">
        <v>81</v>
      </c>
      <c r="V45" s="34" t="s">
        <v>82</v>
      </c>
      <c r="W45" s="37">
        <v>42307</v>
      </c>
      <c r="X45" s="34" t="s">
        <v>64</v>
      </c>
      <c r="Y45" s="37">
        <v>42284</v>
      </c>
      <c r="Z45" s="34"/>
      <c r="AA45" s="34"/>
      <c r="AB45" s="34"/>
      <c r="AC45" s="34" t="s">
        <v>183</v>
      </c>
      <c r="AD45" s="34" t="s">
        <v>861</v>
      </c>
      <c r="AE45" s="34" t="s">
        <v>89</v>
      </c>
      <c r="AF45" s="34" t="s">
        <v>862</v>
      </c>
    </row>
    <row r="46" spans="1:32" x14ac:dyDescent="0.2">
      <c r="A46" s="34">
        <v>10019451</v>
      </c>
      <c r="B46" s="34" t="s">
        <v>18</v>
      </c>
      <c r="C46" s="34" t="s">
        <v>573</v>
      </c>
      <c r="D46" s="37">
        <v>42284</v>
      </c>
      <c r="E46" s="34">
        <v>93546168</v>
      </c>
      <c r="F46" s="37">
        <v>42282</v>
      </c>
      <c r="G46" s="34"/>
      <c r="H46" s="34">
        <v>1201047</v>
      </c>
      <c r="I46" s="34" t="s">
        <v>79</v>
      </c>
      <c r="J46" s="34">
        <v>1049975</v>
      </c>
      <c r="K46" s="34" t="s">
        <v>247</v>
      </c>
      <c r="L46" s="34">
        <v>1171089</v>
      </c>
      <c r="M46" s="34" t="s">
        <v>75</v>
      </c>
      <c r="N46" s="34">
        <v>44297538</v>
      </c>
      <c r="O46" s="34" t="s">
        <v>181</v>
      </c>
      <c r="P46" s="34" t="s">
        <v>91</v>
      </c>
      <c r="Q46" s="34" t="s">
        <v>92</v>
      </c>
      <c r="R46" s="34">
        <v>371.16</v>
      </c>
      <c r="S46" s="34" t="s">
        <v>182</v>
      </c>
      <c r="T46" s="34" t="s">
        <v>69</v>
      </c>
      <c r="U46" s="34" t="s">
        <v>70</v>
      </c>
      <c r="V46" s="34" t="s">
        <v>76</v>
      </c>
      <c r="W46" s="37">
        <v>42290</v>
      </c>
      <c r="X46" s="34" t="s">
        <v>64</v>
      </c>
      <c r="Y46" s="37">
        <v>42284</v>
      </c>
      <c r="Z46" s="34" t="s">
        <v>100</v>
      </c>
      <c r="AA46" s="34">
        <v>62007800</v>
      </c>
      <c r="AB46" s="37">
        <v>42299</v>
      </c>
      <c r="AC46" s="34" t="s">
        <v>183</v>
      </c>
      <c r="AD46" s="34" t="s">
        <v>863</v>
      </c>
      <c r="AE46" s="34" t="s">
        <v>77</v>
      </c>
      <c r="AF46" s="34" t="s">
        <v>228</v>
      </c>
    </row>
    <row r="47" spans="1:32" x14ac:dyDescent="0.2">
      <c r="A47" s="34">
        <v>10019452</v>
      </c>
      <c r="B47" s="34" t="s">
        <v>26</v>
      </c>
      <c r="C47" s="34" t="s">
        <v>78</v>
      </c>
      <c r="D47" s="37">
        <v>42284</v>
      </c>
      <c r="E47" s="34">
        <v>93544106</v>
      </c>
      <c r="F47" s="37">
        <v>42279</v>
      </c>
      <c r="G47" s="34"/>
      <c r="H47" s="34">
        <v>1201047</v>
      </c>
      <c r="I47" s="34" t="s">
        <v>79</v>
      </c>
      <c r="J47" s="34">
        <v>1051549</v>
      </c>
      <c r="K47" s="34" t="s">
        <v>85</v>
      </c>
      <c r="L47" s="34">
        <v>1171089</v>
      </c>
      <c r="M47" s="34" t="s">
        <v>75</v>
      </c>
      <c r="N47" s="34">
        <v>12909910</v>
      </c>
      <c r="O47" s="34" t="s">
        <v>181</v>
      </c>
      <c r="P47" s="34" t="s">
        <v>91</v>
      </c>
      <c r="Q47" s="34" t="s">
        <v>92</v>
      </c>
      <c r="R47" s="34">
        <v>13424.76</v>
      </c>
      <c r="S47" s="34" t="s">
        <v>182</v>
      </c>
      <c r="T47" s="34" t="s">
        <v>63</v>
      </c>
      <c r="U47" s="34" t="s">
        <v>81</v>
      </c>
      <c r="V47" s="34" t="s">
        <v>88</v>
      </c>
      <c r="W47" s="37">
        <v>42307</v>
      </c>
      <c r="X47" s="34"/>
      <c r="Y47" s="34"/>
      <c r="Z47" s="34"/>
      <c r="AA47" s="34"/>
      <c r="AB47" s="34"/>
      <c r="AC47" s="34" t="s">
        <v>183</v>
      </c>
      <c r="AD47" s="34" t="s">
        <v>864</v>
      </c>
      <c r="AE47" s="34" t="s">
        <v>89</v>
      </c>
      <c r="AF47" s="34" t="s">
        <v>865</v>
      </c>
    </row>
    <row r="48" spans="1:32" x14ac:dyDescent="0.2">
      <c r="A48" s="34">
        <v>10019453</v>
      </c>
      <c r="B48" s="34" t="s">
        <v>26</v>
      </c>
      <c r="C48" s="34" t="s">
        <v>78</v>
      </c>
      <c r="D48" s="37">
        <v>42284</v>
      </c>
      <c r="E48" s="34">
        <v>93538426</v>
      </c>
      <c r="F48" s="37">
        <v>42275</v>
      </c>
      <c r="G48" s="34"/>
      <c r="H48" s="34">
        <v>1201047</v>
      </c>
      <c r="I48" s="34" t="s">
        <v>79</v>
      </c>
      <c r="J48" s="34">
        <v>1338648</v>
      </c>
      <c r="K48" s="34" t="s">
        <v>93</v>
      </c>
      <c r="L48" s="34">
        <v>1171089</v>
      </c>
      <c r="M48" s="34" t="s">
        <v>75</v>
      </c>
      <c r="N48" s="34">
        <v>63139747</v>
      </c>
      <c r="O48" s="34" t="s">
        <v>181</v>
      </c>
      <c r="P48" s="34" t="s">
        <v>86</v>
      </c>
      <c r="Q48" s="34" t="s">
        <v>87</v>
      </c>
      <c r="R48" s="34">
        <v>3597.12</v>
      </c>
      <c r="S48" s="34" t="s">
        <v>182</v>
      </c>
      <c r="T48" s="34" t="s">
        <v>63</v>
      </c>
      <c r="U48" s="34" t="s">
        <v>94</v>
      </c>
      <c r="V48" s="34" t="s">
        <v>95</v>
      </c>
      <c r="W48" s="37">
        <v>42290</v>
      </c>
      <c r="X48" s="34" t="s">
        <v>64</v>
      </c>
      <c r="Y48" s="37">
        <v>42284</v>
      </c>
      <c r="Z48" s="34"/>
      <c r="AA48" s="34"/>
      <c r="AB48" s="34"/>
      <c r="AC48" s="34" t="s">
        <v>183</v>
      </c>
      <c r="AD48" s="34" t="s">
        <v>866</v>
      </c>
      <c r="AE48" s="34" t="s">
        <v>96</v>
      </c>
      <c r="AF48" s="34" t="s">
        <v>867</v>
      </c>
    </row>
    <row r="49" spans="1:32" x14ac:dyDescent="0.2">
      <c r="A49" s="34">
        <v>10019454</v>
      </c>
      <c r="B49" s="34" t="s">
        <v>26</v>
      </c>
      <c r="C49" s="34" t="s">
        <v>78</v>
      </c>
      <c r="D49" s="37">
        <v>42284</v>
      </c>
      <c r="E49" s="34">
        <v>93539822</v>
      </c>
      <c r="F49" s="37">
        <v>42276</v>
      </c>
      <c r="G49" s="37">
        <v>42277</v>
      </c>
      <c r="H49" s="34">
        <v>1201047</v>
      </c>
      <c r="I49" s="34" t="s">
        <v>79</v>
      </c>
      <c r="J49" s="34">
        <v>1321618</v>
      </c>
      <c r="K49" s="34" t="s">
        <v>85</v>
      </c>
      <c r="L49" s="34">
        <v>1171089</v>
      </c>
      <c r="M49" s="34" t="s">
        <v>75</v>
      </c>
      <c r="N49" s="34">
        <v>55523089</v>
      </c>
      <c r="O49" s="34" t="s">
        <v>181</v>
      </c>
      <c r="P49" s="34" t="s">
        <v>91</v>
      </c>
      <c r="Q49" s="34" t="s">
        <v>92</v>
      </c>
      <c r="R49" s="34">
        <v>1293.1199999999999</v>
      </c>
      <c r="S49" s="34" t="s">
        <v>182</v>
      </c>
      <c r="T49" s="34" t="s">
        <v>63</v>
      </c>
      <c r="U49" s="34" t="s">
        <v>94</v>
      </c>
      <c r="V49" s="34" t="s">
        <v>95</v>
      </c>
      <c r="W49" s="37">
        <v>42290</v>
      </c>
      <c r="X49" s="34" t="s">
        <v>64</v>
      </c>
      <c r="Y49" s="37">
        <v>42284</v>
      </c>
      <c r="Z49" s="34"/>
      <c r="AA49" s="34"/>
      <c r="AB49" s="34"/>
      <c r="AC49" s="34" t="s">
        <v>183</v>
      </c>
      <c r="AD49" s="34" t="s">
        <v>868</v>
      </c>
      <c r="AE49" s="34" t="s">
        <v>96</v>
      </c>
      <c r="AF49" s="34" t="s">
        <v>869</v>
      </c>
    </row>
    <row r="50" spans="1:32" x14ac:dyDescent="0.2">
      <c r="A50" s="34">
        <v>10019455</v>
      </c>
      <c r="B50" s="34" t="s">
        <v>26</v>
      </c>
      <c r="C50" s="34" t="s">
        <v>78</v>
      </c>
      <c r="D50" s="37">
        <v>42284</v>
      </c>
      <c r="E50" s="34">
        <v>93538474</v>
      </c>
      <c r="F50" s="37">
        <v>42275</v>
      </c>
      <c r="G50" s="34"/>
      <c r="H50" s="34">
        <v>1201047</v>
      </c>
      <c r="I50" s="34" t="s">
        <v>79</v>
      </c>
      <c r="J50" s="34">
        <v>1003713</v>
      </c>
      <c r="K50" s="34" t="s">
        <v>80</v>
      </c>
      <c r="L50" s="34">
        <v>1171089</v>
      </c>
      <c r="M50" s="34" t="s">
        <v>75</v>
      </c>
      <c r="N50" s="34">
        <v>32759307</v>
      </c>
      <c r="O50" s="34" t="s">
        <v>181</v>
      </c>
      <c r="P50" s="34" t="s">
        <v>870</v>
      </c>
      <c r="Q50" s="34" t="s">
        <v>871</v>
      </c>
      <c r="R50" s="34">
        <v>1736.52</v>
      </c>
      <c r="S50" s="34" t="s">
        <v>182</v>
      </c>
      <c r="T50" s="34" t="s">
        <v>63</v>
      </c>
      <c r="U50" s="34" t="s">
        <v>81</v>
      </c>
      <c r="V50" s="34" t="s">
        <v>88</v>
      </c>
      <c r="W50" s="37">
        <v>42307</v>
      </c>
      <c r="X50" s="34" t="s">
        <v>64</v>
      </c>
      <c r="Y50" s="37">
        <v>42284</v>
      </c>
      <c r="Z50" s="34"/>
      <c r="AA50" s="34"/>
      <c r="AB50" s="34"/>
      <c r="AC50" s="34" t="s">
        <v>183</v>
      </c>
      <c r="AD50" s="34">
        <v>2205068</v>
      </c>
      <c r="AE50" s="34" t="s">
        <v>89</v>
      </c>
      <c r="AF50" s="34" t="s">
        <v>872</v>
      </c>
    </row>
    <row r="51" spans="1:32" x14ac:dyDescent="0.2">
      <c r="A51" s="34">
        <v>10019456</v>
      </c>
      <c r="B51" s="34" t="s">
        <v>22</v>
      </c>
      <c r="C51" s="34" t="s">
        <v>78</v>
      </c>
      <c r="D51" s="37">
        <v>42284</v>
      </c>
      <c r="E51" s="34">
        <v>93538474</v>
      </c>
      <c r="F51" s="37">
        <v>42275</v>
      </c>
      <c r="G51" s="34"/>
      <c r="H51" s="34">
        <v>1201047</v>
      </c>
      <c r="I51" s="34" t="s">
        <v>79</v>
      </c>
      <c r="J51" s="34">
        <v>1003713</v>
      </c>
      <c r="K51" s="34" t="s">
        <v>80</v>
      </c>
      <c r="L51" s="34">
        <v>1171089</v>
      </c>
      <c r="M51" s="34" t="s">
        <v>75</v>
      </c>
      <c r="N51" s="34">
        <v>32759307</v>
      </c>
      <c r="O51" s="34" t="s">
        <v>181</v>
      </c>
      <c r="P51" s="34" t="s">
        <v>870</v>
      </c>
      <c r="Q51" s="34" t="s">
        <v>871</v>
      </c>
      <c r="R51" s="34">
        <v>1591.32</v>
      </c>
      <c r="S51" s="34" t="s">
        <v>182</v>
      </c>
      <c r="T51" s="34" t="s">
        <v>63</v>
      </c>
      <c r="U51" s="34"/>
      <c r="V51" s="34"/>
      <c r="W51" s="34"/>
      <c r="X51" s="34" t="s">
        <v>64</v>
      </c>
      <c r="Y51" s="37">
        <v>42284</v>
      </c>
      <c r="Z51" s="34"/>
      <c r="AA51" s="34"/>
      <c r="AB51" s="34"/>
      <c r="AC51" s="34" t="s">
        <v>183</v>
      </c>
      <c r="AD51" s="34">
        <v>2205068</v>
      </c>
      <c r="AE51" s="34"/>
      <c r="AF51" s="34"/>
    </row>
    <row r="52" spans="1:32" x14ac:dyDescent="0.2">
      <c r="A52" s="34">
        <v>10019457</v>
      </c>
      <c r="B52" s="34" t="s">
        <v>18</v>
      </c>
      <c r="C52" s="34" t="s">
        <v>78</v>
      </c>
      <c r="D52" s="37">
        <v>42284</v>
      </c>
      <c r="E52" s="34">
        <v>93507975</v>
      </c>
      <c r="F52" s="37">
        <v>42249</v>
      </c>
      <c r="G52" s="37">
        <v>42250</v>
      </c>
      <c r="H52" s="34">
        <v>1201483</v>
      </c>
      <c r="I52" s="34" t="s">
        <v>147</v>
      </c>
      <c r="J52" s="34">
        <v>1001169</v>
      </c>
      <c r="K52" s="34" t="s">
        <v>148</v>
      </c>
      <c r="L52" s="34">
        <v>1201483</v>
      </c>
      <c r="M52" s="34" t="s">
        <v>147</v>
      </c>
      <c r="N52" s="34">
        <v>93510</v>
      </c>
      <c r="O52" s="34" t="s">
        <v>181</v>
      </c>
      <c r="P52" s="34" t="s">
        <v>67</v>
      </c>
      <c r="Q52" s="34" t="s">
        <v>68</v>
      </c>
      <c r="R52" s="34">
        <v>23.56</v>
      </c>
      <c r="S52" s="34" t="s">
        <v>182</v>
      </c>
      <c r="T52" s="34" t="s">
        <v>63</v>
      </c>
      <c r="U52" s="34" t="s">
        <v>70</v>
      </c>
      <c r="V52" s="34" t="s">
        <v>76</v>
      </c>
      <c r="W52" s="37">
        <v>42290</v>
      </c>
      <c r="X52" s="34" t="s">
        <v>64</v>
      </c>
      <c r="Y52" s="37">
        <v>42284</v>
      </c>
      <c r="Z52" s="34"/>
      <c r="AA52" s="34"/>
      <c r="AB52" s="34"/>
      <c r="AC52" s="34" t="s">
        <v>183</v>
      </c>
      <c r="AD52" s="34">
        <v>2795192282</v>
      </c>
      <c r="AE52" s="34" t="s">
        <v>77</v>
      </c>
      <c r="AF52" s="34" t="s">
        <v>191</v>
      </c>
    </row>
    <row r="53" spans="1:32" x14ac:dyDescent="0.2">
      <c r="A53" s="34">
        <v>10019458</v>
      </c>
      <c r="B53" s="34" t="s">
        <v>18</v>
      </c>
      <c r="C53" s="34" t="s">
        <v>573</v>
      </c>
      <c r="D53" s="37">
        <v>42284</v>
      </c>
      <c r="E53" s="34">
        <v>93526917</v>
      </c>
      <c r="F53" s="37">
        <v>42265</v>
      </c>
      <c r="G53" s="34"/>
      <c r="H53" s="34">
        <v>1201259</v>
      </c>
      <c r="I53" s="34" t="s">
        <v>525</v>
      </c>
      <c r="J53" s="34">
        <v>1201259</v>
      </c>
      <c r="K53" s="34" t="s">
        <v>525</v>
      </c>
      <c r="L53" s="34">
        <v>1171974</v>
      </c>
      <c r="M53" s="34" t="s">
        <v>525</v>
      </c>
      <c r="N53" s="34">
        <v>15061</v>
      </c>
      <c r="O53" s="34" t="s">
        <v>181</v>
      </c>
      <c r="P53" s="34" t="s">
        <v>168</v>
      </c>
      <c r="Q53" s="34" t="s">
        <v>169</v>
      </c>
      <c r="R53" s="34">
        <v>16.2</v>
      </c>
      <c r="S53" s="34" t="s">
        <v>182</v>
      </c>
      <c r="T53" s="34" t="s">
        <v>69</v>
      </c>
      <c r="U53" s="34" t="s">
        <v>70</v>
      </c>
      <c r="V53" s="34" t="s">
        <v>76</v>
      </c>
      <c r="W53" s="37">
        <v>42290</v>
      </c>
      <c r="X53" s="34" t="s">
        <v>83</v>
      </c>
      <c r="Y53" s="37">
        <v>42289</v>
      </c>
      <c r="Z53" s="34" t="s">
        <v>100</v>
      </c>
      <c r="AA53" s="34">
        <v>62016689</v>
      </c>
      <c r="AB53" s="37">
        <v>42312</v>
      </c>
      <c r="AC53" s="34" t="s">
        <v>183</v>
      </c>
      <c r="AD53" s="34" t="s">
        <v>873</v>
      </c>
      <c r="AE53" s="34" t="s">
        <v>77</v>
      </c>
      <c r="AF53" s="34" t="s">
        <v>355</v>
      </c>
    </row>
    <row r="54" spans="1:32" x14ac:dyDescent="0.2">
      <c r="A54" s="34">
        <v>10019459</v>
      </c>
      <c r="B54" s="34" t="s">
        <v>18</v>
      </c>
      <c r="C54" s="34" t="s">
        <v>78</v>
      </c>
      <c r="D54" s="37">
        <v>42285</v>
      </c>
      <c r="E54" s="34">
        <v>93539802</v>
      </c>
      <c r="F54" s="37">
        <v>42276</v>
      </c>
      <c r="G54" s="37">
        <v>42277</v>
      </c>
      <c r="H54" s="34">
        <v>1201047</v>
      </c>
      <c r="I54" s="34" t="s">
        <v>79</v>
      </c>
      <c r="J54" s="34">
        <v>1311671</v>
      </c>
      <c r="K54" s="34" t="s">
        <v>90</v>
      </c>
      <c r="L54" s="34">
        <v>1171089</v>
      </c>
      <c r="M54" s="34" t="s">
        <v>75</v>
      </c>
      <c r="N54" s="34">
        <v>21461132</v>
      </c>
      <c r="O54" s="34" t="s">
        <v>181</v>
      </c>
      <c r="P54" s="34" t="s">
        <v>91</v>
      </c>
      <c r="Q54" s="34" t="s">
        <v>92</v>
      </c>
      <c r="R54" s="34">
        <v>43.23</v>
      </c>
      <c r="S54" s="34" t="s">
        <v>182</v>
      </c>
      <c r="T54" s="34" t="s">
        <v>69</v>
      </c>
      <c r="U54" s="34" t="s">
        <v>70</v>
      </c>
      <c r="V54" s="34" t="s">
        <v>76</v>
      </c>
      <c r="W54" s="37">
        <v>42290</v>
      </c>
      <c r="X54" s="34" t="s">
        <v>64</v>
      </c>
      <c r="Y54" s="37">
        <v>42285</v>
      </c>
      <c r="Z54" s="34" t="s">
        <v>100</v>
      </c>
      <c r="AA54" s="34">
        <v>62007801</v>
      </c>
      <c r="AB54" s="37">
        <v>42299</v>
      </c>
      <c r="AC54" s="34" t="s">
        <v>183</v>
      </c>
      <c r="AD54" s="34" t="s">
        <v>833</v>
      </c>
      <c r="AE54" s="34" t="s">
        <v>77</v>
      </c>
      <c r="AF54" s="34" t="s">
        <v>228</v>
      </c>
    </row>
    <row r="55" spans="1:32" x14ac:dyDescent="0.2">
      <c r="A55" s="34">
        <v>10019460</v>
      </c>
      <c r="B55" s="34" t="s">
        <v>18</v>
      </c>
      <c r="C55" s="34" t="s">
        <v>573</v>
      </c>
      <c r="D55" s="37">
        <v>42285</v>
      </c>
      <c r="E55" s="34">
        <v>93539981</v>
      </c>
      <c r="F55" s="37">
        <v>42276</v>
      </c>
      <c r="G55" s="34"/>
      <c r="H55" s="34">
        <v>1201399</v>
      </c>
      <c r="I55" s="34" t="s">
        <v>144</v>
      </c>
      <c r="J55" s="34">
        <v>1334926</v>
      </c>
      <c r="K55" s="34" t="s">
        <v>145</v>
      </c>
      <c r="L55" s="34">
        <v>1171970</v>
      </c>
      <c r="M55" s="34" t="s">
        <v>144</v>
      </c>
      <c r="N55" s="34">
        <v>8106674562</v>
      </c>
      <c r="O55" s="34" t="s">
        <v>181</v>
      </c>
      <c r="P55" s="34" t="s">
        <v>91</v>
      </c>
      <c r="Q55" s="34" t="s">
        <v>92</v>
      </c>
      <c r="R55" s="34">
        <v>28252.5</v>
      </c>
      <c r="S55" s="34" t="s">
        <v>182</v>
      </c>
      <c r="T55" s="34" t="s">
        <v>63</v>
      </c>
      <c r="U55" s="34" t="s">
        <v>70</v>
      </c>
      <c r="V55" s="34" t="s">
        <v>76</v>
      </c>
      <c r="W55" s="37">
        <v>42290</v>
      </c>
      <c r="X55" s="34" t="s">
        <v>83</v>
      </c>
      <c r="Y55" s="37">
        <v>42289</v>
      </c>
      <c r="Z55" s="34"/>
      <c r="AA55" s="34"/>
      <c r="AB55" s="34"/>
      <c r="AC55" s="34" t="s">
        <v>183</v>
      </c>
      <c r="AD55" s="34" t="s">
        <v>874</v>
      </c>
      <c r="AE55" s="34" t="s">
        <v>77</v>
      </c>
      <c r="AF55" s="34" t="s">
        <v>875</v>
      </c>
    </row>
    <row r="56" spans="1:32" x14ac:dyDescent="0.2">
      <c r="A56" s="34">
        <v>10019461</v>
      </c>
      <c r="B56" s="34" t="s">
        <v>18</v>
      </c>
      <c r="C56" s="34" t="s">
        <v>78</v>
      </c>
      <c r="D56" s="37">
        <v>42285</v>
      </c>
      <c r="E56" s="34">
        <v>93544356</v>
      </c>
      <c r="F56" s="37">
        <v>42279</v>
      </c>
      <c r="G56" s="34"/>
      <c r="H56" s="34">
        <v>1201120</v>
      </c>
      <c r="I56" s="34" t="s">
        <v>117</v>
      </c>
      <c r="J56" s="34">
        <v>1307782</v>
      </c>
      <c r="K56" s="34" t="s">
        <v>119</v>
      </c>
      <c r="L56" s="34">
        <v>1171090</v>
      </c>
      <c r="M56" s="34" t="s">
        <v>118</v>
      </c>
      <c r="N56" s="34" t="s">
        <v>876</v>
      </c>
      <c r="O56" s="34" t="s">
        <v>181</v>
      </c>
      <c r="P56" s="34" t="s">
        <v>91</v>
      </c>
      <c r="Q56" s="34" t="s">
        <v>92</v>
      </c>
      <c r="R56" s="34">
        <v>57.51</v>
      </c>
      <c r="S56" s="34" t="s">
        <v>182</v>
      </c>
      <c r="T56" s="34" t="s">
        <v>69</v>
      </c>
      <c r="U56" s="34" t="s">
        <v>70</v>
      </c>
      <c r="V56" s="34" t="s">
        <v>76</v>
      </c>
      <c r="W56" s="37">
        <v>42290</v>
      </c>
      <c r="X56" s="34" t="s">
        <v>64</v>
      </c>
      <c r="Y56" s="37">
        <v>42285</v>
      </c>
      <c r="Z56" s="34" t="s">
        <v>100</v>
      </c>
      <c r="AA56" s="34">
        <v>62007803</v>
      </c>
      <c r="AB56" s="37">
        <v>42299</v>
      </c>
      <c r="AC56" s="34" t="s">
        <v>183</v>
      </c>
      <c r="AD56" s="34" t="s">
        <v>877</v>
      </c>
      <c r="AE56" s="34" t="s">
        <v>77</v>
      </c>
      <c r="AF56" s="34" t="s">
        <v>184</v>
      </c>
    </row>
    <row r="57" spans="1:32" x14ac:dyDescent="0.2">
      <c r="A57" s="34">
        <v>10019462</v>
      </c>
      <c r="B57" s="34" t="s">
        <v>18</v>
      </c>
      <c r="C57" s="34" t="s">
        <v>573</v>
      </c>
      <c r="D57" s="37">
        <v>42285</v>
      </c>
      <c r="E57" s="34">
        <v>93538655</v>
      </c>
      <c r="F57" s="37">
        <v>42275</v>
      </c>
      <c r="G57" s="34"/>
      <c r="H57" s="34">
        <v>1201399</v>
      </c>
      <c r="I57" s="34" t="s">
        <v>144</v>
      </c>
      <c r="J57" s="34">
        <v>1334926</v>
      </c>
      <c r="K57" s="34" t="s">
        <v>145</v>
      </c>
      <c r="L57" s="34">
        <v>1171970</v>
      </c>
      <c r="M57" s="34" t="s">
        <v>144</v>
      </c>
      <c r="N57" s="34">
        <v>8106674525</v>
      </c>
      <c r="O57" s="34" t="s">
        <v>181</v>
      </c>
      <c r="P57" s="34" t="s">
        <v>279</v>
      </c>
      <c r="Q57" s="34" t="s">
        <v>280</v>
      </c>
      <c r="R57" s="34">
        <v>312</v>
      </c>
      <c r="S57" s="34" t="s">
        <v>182</v>
      </c>
      <c r="T57" s="34" t="s">
        <v>69</v>
      </c>
      <c r="U57" s="34" t="s">
        <v>70</v>
      </c>
      <c r="V57" s="34" t="s">
        <v>76</v>
      </c>
      <c r="W57" s="37">
        <v>42290</v>
      </c>
      <c r="X57" s="34" t="s">
        <v>64</v>
      </c>
      <c r="Y57" s="37">
        <v>42285</v>
      </c>
      <c r="Z57" s="34" t="s">
        <v>100</v>
      </c>
      <c r="AA57" s="34">
        <v>62011451</v>
      </c>
      <c r="AB57" s="37">
        <v>42305</v>
      </c>
      <c r="AC57" s="34" t="s">
        <v>183</v>
      </c>
      <c r="AD57" s="34" t="s">
        <v>857</v>
      </c>
      <c r="AE57" s="34" t="s">
        <v>77</v>
      </c>
      <c r="AF57" s="34" t="s">
        <v>388</v>
      </c>
    </row>
    <row r="58" spans="1:32" x14ac:dyDescent="0.2">
      <c r="A58" s="34">
        <v>10019463</v>
      </c>
      <c r="B58" s="34" t="s">
        <v>22</v>
      </c>
      <c r="C58" s="34" t="s">
        <v>573</v>
      </c>
      <c r="D58" s="37">
        <v>42285</v>
      </c>
      <c r="E58" s="34">
        <v>93546345</v>
      </c>
      <c r="F58" s="37">
        <v>42282</v>
      </c>
      <c r="G58" s="37">
        <v>42284</v>
      </c>
      <c r="H58" s="34">
        <v>1201367</v>
      </c>
      <c r="I58" s="34" t="s">
        <v>878</v>
      </c>
      <c r="J58" s="34">
        <v>1131720</v>
      </c>
      <c r="K58" s="34" t="s">
        <v>878</v>
      </c>
      <c r="L58" s="34">
        <v>1172009</v>
      </c>
      <c r="M58" s="34" t="s">
        <v>878</v>
      </c>
      <c r="N58" s="34">
        <v>18504</v>
      </c>
      <c r="O58" s="34" t="s">
        <v>181</v>
      </c>
      <c r="P58" s="34" t="s">
        <v>67</v>
      </c>
      <c r="Q58" s="34" t="s">
        <v>68</v>
      </c>
      <c r="R58" s="34">
        <v>47623.68</v>
      </c>
      <c r="S58" s="34" t="s">
        <v>182</v>
      </c>
      <c r="T58" s="34" t="s">
        <v>69</v>
      </c>
      <c r="U58" s="34" t="s">
        <v>104</v>
      </c>
      <c r="V58" s="34" t="s">
        <v>71</v>
      </c>
      <c r="W58" s="37">
        <v>42292</v>
      </c>
      <c r="X58" s="34" t="s">
        <v>64</v>
      </c>
      <c r="Y58" s="37">
        <v>42285</v>
      </c>
      <c r="Z58" s="34" t="s">
        <v>72</v>
      </c>
      <c r="AA58" s="34">
        <v>62006473</v>
      </c>
      <c r="AB58" s="37">
        <v>42298</v>
      </c>
      <c r="AC58" s="34" t="s">
        <v>183</v>
      </c>
      <c r="AD58" s="34">
        <v>3527000400</v>
      </c>
      <c r="AE58" s="34" t="s">
        <v>352</v>
      </c>
      <c r="AF58" s="34" t="s">
        <v>879</v>
      </c>
    </row>
    <row r="59" spans="1:32" x14ac:dyDescent="0.2">
      <c r="A59" s="34">
        <v>10019464</v>
      </c>
      <c r="B59" s="34" t="s">
        <v>18</v>
      </c>
      <c r="C59" s="34" t="s">
        <v>573</v>
      </c>
      <c r="D59" s="37">
        <v>42285</v>
      </c>
      <c r="E59" s="34">
        <v>93544359</v>
      </c>
      <c r="F59" s="37">
        <v>42279</v>
      </c>
      <c r="G59" s="34"/>
      <c r="H59" s="34">
        <v>1201120</v>
      </c>
      <c r="I59" s="34" t="s">
        <v>117</v>
      </c>
      <c r="J59" s="34">
        <v>1307782</v>
      </c>
      <c r="K59" s="34" t="s">
        <v>119</v>
      </c>
      <c r="L59" s="34">
        <v>1171090</v>
      </c>
      <c r="M59" s="34" t="s">
        <v>118</v>
      </c>
      <c r="N59" s="34" t="s">
        <v>880</v>
      </c>
      <c r="O59" s="34" t="s">
        <v>181</v>
      </c>
      <c r="P59" s="34" t="s">
        <v>123</v>
      </c>
      <c r="Q59" s="34" t="s">
        <v>124</v>
      </c>
      <c r="R59" s="34">
        <v>4201.8</v>
      </c>
      <c r="S59" s="34" t="s">
        <v>182</v>
      </c>
      <c r="T59" s="34" t="s">
        <v>63</v>
      </c>
      <c r="U59" s="34" t="s">
        <v>70</v>
      </c>
      <c r="V59" s="34" t="s">
        <v>76</v>
      </c>
      <c r="W59" s="37">
        <v>42290</v>
      </c>
      <c r="X59" s="34" t="s">
        <v>64</v>
      </c>
      <c r="Y59" s="37">
        <v>42285</v>
      </c>
      <c r="Z59" s="34"/>
      <c r="AA59" s="34"/>
      <c r="AB59" s="34"/>
      <c r="AC59" s="34" t="s">
        <v>183</v>
      </c>
      <c r="AD59" s="34" t="s">
        <v>881</v>
      </c>
      <c r="AE59" s="34" t="s">
        <v>77</v>
      </c>
      <c r="AF59" s="34" t="s">
        <v>882</v>
      </c>
    </row>
    <row r="60" spans="1:32" x14ac:dyDescent="0.2">
      <c r="A60" s="34">
        <v>10019465</v>
      </c>
      <c r="B60" s="34" t="s">
        <v>18</v>
      </c>
      <c r="C60" s="34" t="s">
        <v>573</v>
      </c>
      <c r="D60" s="37">
        <v>42285</v>
      </c>
      <c r="E60" s="34">
        <v>93544353</v>
      </c>
      <c r="F60" s="37">
        <v>42279</v>
      </c>
      <c r="G60" s="34"/>
      <c r="H60" s="34">
        <v>1201120</v>
      </c>
      <c r="I60" s="34" t="s">
        <v>117</v>
      </c>
      <c r="J60" s="34">
        <v>1307782</v>
      </c>
      <c r="K60" s="34" t="s">
        <v>119</v>
      </c>
      <c r="L60" s="34">
        <v>1171090</v>
      </c>
      <c r="M60" s="34" t="s">
        <v>118</v>
      </c>
      <c r="N60" s="34" t="s">
        <v>883</v>
      </c>
      <c r="O60" s="34" t="s">
        <v>181</v>
      </c>
      <c r="P60" s="34" t="s">
        <v>91</v>
      </c>
      <c r="Q60" s="34" t="s">
        <v>92</v>
      </c>
      <c r="R60" s="34">
        <v>1200.25</v>
      </c>
      <c r="S60" s="34" t="s">
        <v>182</v>
      </c>
      <c r="T60" s="34" t="s">
        <v>69</v>
      </c>
      <c r="U60" s="34" t="s">
        <v>70</v>
      </c>
      <c r="V60" s="34" t="s">
        <v>76</v>
      </c>
      <c r="W60" s="37">
        <v>42290</v>
      </c>
      <c r="X60" s="34" t="s">
        <v>64</v>
      </c>
      <c r="Y60" s="37">
        <v>42285</v>
      </c>
      <c r="Z60" s="34" t="s">
        <v>100</v>
      </c>
      <c r="AA60" s="34">
        <v>62007804</v>
      </c>
      <c r="AB60" s="37">
        <v>42299</v>
      </c>
      <c r="AC60" s="34" t="s">
        <v>183</v>
      </c>
      <c r="AD60" s="34" t="s">
        <v>877</v>
      </c>
      <c r="AE60" s="34" t="s">
        <v>77</v>
      </c>
      <c r="AF60" s="34" t="s">
        <v>187</v>
      </c>
    </row>
    <row r="61" spans="1:32" x14ac:dyDescent="0.2">
      <c r="A61" s="34">
        <v>10019466</v>
      </c>
      <c r="B61" s="34" t="s">
        <v>18</v>
      </c>
      <c r="C61" s="34" t="s">
        <v>78</v>
      </c>
      <c r="D61" s="37">
        <v>42285</v>
      </c>
      <c r="E61" s="34">
        <v>93546498</v>
      </c>
      <c r="F61" s="37">
        <v>42282</v>
      </c>
      <c r="G61" s="37">
        <v>42285</v>
      </c>
      <c r="H61" s="34">
        <v>1201646</v>
      </c>
      <c r="I61" s="34" t="s">
        <v>164</v>
      </c>
      <c r="J61" s="34">
        <v>1201646</v>
      </c>
      <c r="K61" s="34" t="s">
        <v>164</v>
      </c>
      <c r="L61" s="34">
        <v>1201646</v>
      </c>
      <c r="M61" s="34" t="s">
        <v>164</v>
      </c>
      <c r="N61" s="34">
        <v>8045511</v>
      </c>
      <c r="O61" s="34" t="s">
        <v>181</v>
      </c>
      <c r="P61" s="34" t="s">
        <v>67</v>
      </c>
      <c r="Q61" s="34" t="s">
        <v>68</v>
      </c>
      <c r="R61" s="34">
        <v>42.17</v>
      </c>
      <c r="S61" s="34" t="s">
        <v>182</v>
      </c>
      <c r="T61" s="34" t="s">
        <v>69</v>
      </c>
      <c r="U61" s="34" t="s">
        <v>70</v>
      </c>
      <c r="V61" s="34" t="s">
        <v>76</v>
      </c>
      <c r="W61" s="37">
        <v>42290</v>
      </c>
      <c r="X61" s="34" t="s">
        <v>64</v>
      </c>
      <c r="Y61" s="37">
        <v>42285</v>
      </c>
      <c r="Z61" s="34" t="s">
        <v>100</v>
      </c>
      <c r="AA61" s="34">
        <v>62010588</v>
      </c>
      <c r="AB61" s="37">
        <v>42304</v>
      </c>
      <c r="AC61" s="34" t="s">
        <v>183</v>
      </c>
      <c r="AD61" s="34">
        <v>3527000411</v>
      </c>
      <c r="AE61" s="34" t="s">
        <v>77</v>
      </c>
      <c r="AF61" s="34" t="s">
        <v>360</v>
      </c>
    </row>
    <row r="62" spans="1:32" x14ac:dyDescent="0.2">
      <c r="A62" s="34">
        <v>10019467</v>
      </c>
      <c r="B62" s="34" t="s">
        <v>18</v>
      </c>
      <c r="C62" s="34" t="s">
        <v>573</v>
      </c>
      <c r="D62" s="37">
        <v>42285</v>
      </c>
      <c r="E62" s="34">
        <v>93546474</v>
      </c>
      <c r="F62" s="37">
        <v>42282</v>
      </c>
      <c r="G62" s="37">
        <v>42284</v>
      </c>
      <c r="H62" s="34">
        <v>1201605</v>
      </c>
      <c r="I62" s="34" t="s">
        <v>155</v>
      </c>
      <c r="J62" s="34">
        <v>1310002</v>
      </c>
      <c r="K62" s="34" t="s">
        <v>155</v>
      </c>
      <c r="L62" s="34">
        <v>1172017</v>
      </c>
      <c r="M62" s="34" t="s">
        <v>155</v>
      </c>
      <c r="N62" s="34">
        <v>538504</v>
      </c>
      <c r="O62" s="34" t="s">
        <v>181</v>
      </c>
      <c r="P62" s="34" t="s">
        <v>67</v>
      </c>
      <c r="Q62" s="34" t="s">
        <v>68</v>
      </c>
      <c r="R62" s="34">
        <v>199.32</v>
      </c>
      <c r="S62" s="34" t="s">
        <v>182</v>
      </c>
      <c r="T62" s="34" t="s">
        <v>63</v>
      </c>
      <c r="U62" s="34" t="s">
        <v>70</v>
      </c>
      <c r="V62" s="34" t="s">
        <v>76</v>
      </c>
      <c r="W62" s="37">
        <v>42290</v>
      </c>
      <c r="X62" s="34" t="s">
        <v>64</v>
      </c>
      <c r="Y62" s="37">
        <v>42285</v>
      </c>
      <c r="Z62" s="34"/>
      <c r="AA62" s="34"/>
      <c r="AB62" s="34"/>
      <c r="AC62" s="34" t="s">
        <v>183</v>
      </c>
      <c r="AD62" s="34">
        <v>3527001354</v>
      </c>
      <c r="AE62" s="34" t="s">
        <v>77</v>
      </c>
      <c r="AF62" s="34" t="s">
        <v>386</v>
      </c>
    </row>
    <row r="63" spans="1:32" x14ac:dyDescent="0.2">
      <c r="A63" s="34">
        <v>10019468</v>
      </c>
      <c r="B63" s="34" t="s">
        <v>18</v>
      </c>
      <c r="C63" s="34" t="s">
        <v>573</v>
      </c>
      <c r="D63" s="37">
        <v>42285</v>
      </c>
      <c r="E63" s="34">
        <v>93546506</v>
      </c>
      <c r="F63" s="37">
        <v>42282</v>
      </c>
      <c r="G63" s="37">
        <v>42284</v>
      </c>
      <c r="H63" s="34">
        <v>1201675</v>
      </c>
      <c r="I63" s="34" t="s">
        <v>165</v>
      </c>
      <c r="J63" s="34">
        <v>1201675</v>
      </c>
      <c r="K63" s="34" t="s">
        <v>165</v>
      </c>
      <c r="L63" s="34">
        <v>1172015</v>
      </c>
      <c r="M63" s="34" t="s">
        <v>165</v>
      </c>
      <c r="N63" s="34" t="s">
        <v>884</v>
      </c>
      <c r="O63" s="34" t="s">
        <v>181</v>
      </c>
      <c r="P63" s="34" t="s">
        <v>67</v>
      </c>
      <c r="Q63" s="34" t="s">
        <v>68</v>
      </c>
      <c r="R63" s="34">
        <v>264</v>
      </c>
      <c r="S63" s="34" t="s">
        <v>182</v>
      </c>
      <c r="T63" s="34" t="s">
        <v>69</v>
      </c>
      <c r="U63" s="34" t="s">
        <v>70</v>
      </c>
      <c r="V63" s="34" t="s">
        <v>76</v>
      </c>
      <c r="W63" s="37">
        <v>42290</v>
      </c>
      <c r="X63" s="34" t="s">
        <v>64</v>
      </c>
      <c r="Y63" s="37">
        <v>42285</v>
      </c>
      <c r="Z63" s="34" t="s">
        <v>100</v>
      </c>
      <c r="AA63" s="34">
        <v>62010589</v>
      </c>
      <c r="AB63" s="37">
        <v>42304</v>
      </c>
      <c r="AC63" s="34" t="s">
        <v>183</v>
      </c>
      <c r="AD63" s="34">
        <v>3527000396</v>
      </c>
      <c r="AE63" s="34" t="s">
        <v>77</v>
      </c>
      <c r="AF63" s="34" t="s">
        <v>386</v>
      </c>
    </row>
    <row r="64" spans="1:32" x14ac:dyDescent="0.2">
      <c r="A64" s="34">
        <v>10019469</v>
      </c>
      <c r="B64" s="34" t="s">
        <v>24</v>
      </c>
      <c r="C64" s="34" t="s">
        <v>78</v>
      </c>
      <c r="D64" s="37">
        <v>42286</v>
      </c>
      <c r="E64" s="34">
        <v>93542758</v>
      </c>
      <c r="F64" s="37">
        <v>42278</v>
      </c>
      <c r="G64" s="37">
        <v>42283</v>
      </c>
      <c r="H64" s="34">
        <v>1201432</v>
      </c>
      <c r="I64" s="34" t="s">
        <v>659</v>
      </c>
      <c r="J64" s="34">
        <v>1306711</v>
      </c>
      <c r="K64" s="34" t="s">
        <v>660</v>
      </c>
      <c r="L64" s="34">
        <v>1172008</v>
      </c>
      <c r="M64" s="34" t="s">
        <v>661</v>
      </c>
      <c r="N64" s="34">
        <v>338128</v>
      </c>
      <c r="O64" s="34" t="s">
        <v>181</v>
      </c>
      <c r="P64" s="34" t="s">
        <v>67</v>
      </c>
      <c r="Q64" s="34" t="s">
        <v>68</v>
      </c>
      <c r="R64" s="34">
        <v>534.24</v>
      </c>
      <c r="S64" s="34" t="s">
        <v>182</v>
      </c>
      <c r="T64" s="34" t="s">
        <v>63</v>
      </c>
      <c r="U64" s="34"/>
      <c r="V64" s="34"/>
      <c r="W64" s="34"/>
      <c r="X64" s="34" t="s">
        <v>64</v>
      </c>
      <c r="Y64" s="37">
        <v>42286</v>
      </c>
      <c r="Z64" s="34"/>
      <c r="AA64" s="34"/>
      <c r="AB64" s="34"/>
      <c r="AC64" s="34" t="s">
        <v>183</v>
      </c>
      <c r="AD64" s="34">
        <v>3527001096</v>
      </c>
      <c r="AE64" s="34"/>
      <c r="AF64" s="34"/>
    </row>
    <row r="65" spans="1:32" x14ac:dyDescent="0.2">
      <c r="A65" s="34">
        <v>10019470</v>
      </c>
      <c r="B65" s="34" t="s">
        <v>24</v>
      </c>
      <c r="C65" s="34" t="s">
        <v>573</v>
      </c>
      <c r="D65" s="37">
        <v>42286</v>
      </c>
      <c r="E65" s="34">
        <v>93549393</v>
      </c>
      <c r="F65" s="37">
        <v>42284</v>
      </c>
      <c r="G65" s="37">
        <v>42285</v>
      </c>
      <c r="H65" s="34">
        <v>1016311</v>
      </c>
      <c r="I65" s="34" t="s">
        <v>152</v>
      </c>
      <c r="J65" s="34">
        <v>1132034</v>
      </c>
      <c r="K65" s="34" t="s">
        <v>152</v>
      </c>
      <c r="L65" s="34">
        <v>1016311</v>
      </c>
      <c r="M65" s="34" t="s">
        <v>152</v>
      </c>
      <c r="N65" s="34">
        <v>232961</v>
      </c>
      <c r="O65" s="34" t="s">
        <v>181</v>
      </c>
      <c r="P65" s="34" t="s">
        <v>67</v>
      </c>
      <c r="Q65" s="34" t="s">
        <v>68</v>
      </c>
      <c r="R65" s="34">
        <v>52.08</v>
      </c>
      <c r="S65" s="34" t="s">
        <v>182</v>
      </c>
      <c r="T65" s="34" t="s">
        <v>69</v>
      </c>
      <c r="U65" s="34" t="s">
        <v>70</v>
      </c>
      <c r="V65" s="34" t="s">
        <v>71</v>
      </c>
      <c r="W65" s="37">
        <v>42296</v>
      </c>
      <c r="X65" s="34" t="s">
        <v>64</v>
      </c>
      <c r="Y65" s="37">
        <v>42286</v>
      </c>
      <c r="Z65" s="34" t="s">
        <v>72</v>
      </c>
      <c r="AA65" s="34">
        <v>62008391</v>
      </c>
      <c r="AB65" s="37">
        <v>42300</v>
      </c>
      <c r="AC65" s="34" t="s">
        <v>183</v>
      </c>
      <c r="AD65" s="34">
        <v>3527000783</v>
      </c>
      <c r="AE65" s="34" t="s">
        <v>73</v>
      </c>
      <c r="AF65" s="34" t="s">
        <v>885</v>
      </c>
    </row>
    <row r="66" spans="1:32" x14ac:dyDescent="0.2">
      <c r="A66" s="34">
        <v>10019471</v>
      </c>
      <c r="B66" s="34" t="s">
        <v>26</v>
      </c>
      <c r="C66" s="34" t="s">
        <v>78</v>
      </c>
      <c r="D66" s="37">
        <v>42286</v>
      </c>
      <c r="E66" s="34">
        <v>93549854</v>
      </c>
      <c r="F66" s="37">
        <v>42284</v>
      </c>
      <c r="G66" s="34"/>
      <c r="H66" s="34">
        <v>1318826</v>
      </c>
      <c r="I66" s="34" t="s">
        <v>110</v>
      </c>
      <c r="J66" s="34">
        <v>1061223</v>
      </c>
      <c r="K66" s="34" t="s">
        <v>113</v>
      </c>
      <c r="L66" s="34">
        <v>1318826</v>
      </c>
      <c r="M66" s="34" t="s">
        <v>110</v>
      </c>
      <c r="N66" s="34">
        <v>1031233</v>
      </c>
      <c r="O66" s="34" t="s">
        <v>181</v>
      </c>
      <c r="P66" s="34" t="s">
        <v>91</v>
      </c>
      <c r="Q66" s="34" t="s">
        <v>92</v>
      </c>
      <c r="R66" s="34">
        <v>7.03</v>
      </c>
      <c r="S66" s="34" t="s">
        <v>182</v>
      </c>
      <c r="T66" s="34" t="s">
        <v>63</v>
      </c>
      <c r="U66" s="34" t="s">
        <v>105</v>
      </c>
      <c r="V66" s="34" t="s">
        <v>82</v>
      </c>
      <c r="W66" s="37">
        <v>42305</v>
      </c>
      <c r="X66" s="34" t="s">
        <v>83</v>
      </c>
      <c r="Y66" s="37">
        <v>42293</v>
      </c>
      <c r="Z66" s="34"/>
      <c r="AA66" s="34"/>
      <c r="AB66" s="34"/>
      <c r="AC66" s="34" t="s">
        <v>183</v>
      </c>
      <c r="AD66" s="34" t="s">
        <v>886</v>
      </c>
      <c r="AE66" s="34" t="s">
        <v>89</v>
      </c>
      <c r="AF66" s="34" t="s">
        <v>887</v>
      </c>
    </row>
    <row r="67" spans="1:32" x14ac:dyDescent="0.2">
      <c r="A67" s="34">
        <v>10019472</v>
      </c>
      <c r="B67" s="34" t="s">
        <v>18</v>
      </c>
      <c r="C67" s="34" t="s">
        <v>78</v>
      </c>
      <c r="D67" s="37">
        <v>42286</v>
      </c>
      <c r="E67" s="34">
        <v>93546472</v>
      </c>
      <c r="F67" s="37">
        <v>42282</v>
      </c>
      <c r="G67" s="37">
        <v>42284</v>
      </c>
      <c r="H67" s="34">
        <v>1201605</v>
      </c>
      <c r="I67" s="34" t="s">
        <v>155</v>
      </c>
      <c r="J67" s="34">
        <v>1023292</v>
      </c>
      <c r="K67" s="34" t="s">
        <v>155</v>
      </c>
      <c r="L67" s="34">
        <v>1172017</v>
      </c>
      <c r="M67" s="34" t="s">
        <v>155</v>
      </c>
      <c r="N67" s="34">
        <v>537159</v>
      </c>
      <c r="O67" s="34" t="s">
        <v>181</v>
      </c>
      <c r="P67" s="34" t="s">
        <v>67</v>
      </c>
      <c r="Q67" s="34" t="s">
        <v>68</v>
      </c>
      <c r="R67" s="34">
        <v>658.96</v>
      </c>
      <c r="S67" s="34" t="s">
        <v>182</v>
      </c>
      <c r="T67" s="34" t="s">
        <v>63</v>
      </c>
      <c r="U67" s="34" t="s">
        <v>70</v>
      </c>
      <c r="V67" s="34" t="s">
        <v>76</v>
      </c>
      <c r="W67" s="37">
        <v>42290</v>
      </c>
      <c r="X67" s="34" t="s">
        <v>64</v>
      </c>
      <c r="Y67" s="37">
        <v>42286</v>
      </c>
      <c r="Z67" s="34"/>
      <c r="AA67" s="34"/>
      <c r="AB67" s="34"/>
      <c r="AC67" s="34" t="s">
        <v>183</v>
      </c>
      <c r="AD67" s="34">
        <v>3527001203</v>
      </c>
      <c r="AE67" s="34" t="s">
        <v>77</v>
      </c>
      <c r="AF67" s="34" t="s">
        <v>216</v>
      </c>
    </row>
    <row r="68" spans="1:32" x14ac:dyDescent="0.2">
      <c r="A68" s="34">
        <v>10019473</v>
      </c>
      <c r="B68" s="34" t="s">
        <v>24</v>
      </c>
      <c r="C68" s="34" t="s">
        <v>78</v>
      </c>
      <c r="D68" s="37">
        <v>42286</v>
      </c>
      <c r="E68" s="34">
        <v>93534881</v>
      </c>
      <c r="F68" s="37">
        <v>42271</v>
      </c>
      <c r="G68" s="37">
        <v>42275</v>
      </c>
      <c r="H68" s="34">
        <v>1334921</v>
      </c>
      <c r="I68" s="34" t="s">
        <v>189</v>
      </c>
      <c r="J68" s="34">
        <v>1334951</v>
      </c>
      <c r="K68" s="34" t="s">
        <v>190</v>
      </c>
      <c r="L68" s="34">
        <v>1334921</v>
      </c>
      <c r="M68" s="34" t="s">
        <v>189</v>
      </c>
      <c r="N68" s="34">
        <v>21152</v>
      </c>
      <c r="O68" s="34" t="s">
        <v>181</v>
      </c>
      <c r="P68" s="34" t="s">
        <v>67</v>
      </c>
      <c r="Q68" s="34" t="s">
        <v>68</v>
      </c>
      <c r="R68" s="34">
        <v>890.76</v>
      </c>
      <c r="S68" s="34" t="s">
        <v>182</v>
      </c>
      <c r="T68" s="34" t="s">
        <v>63</v>
      </c>
      <c r="U68" s="34"/>
      <c r="V68" s="34"/>
      <c r="W68" s="34"/>
      <c r="X68" s="34" t="s">
        <v>64</v>
      </c>
      <c r="Y68" s="37">
        <v>42286</v>
      </c>
      <c r="Z68" s="34"/>
      <c r="AA68" s="34"/>
      <c r="AB68" s="34"/>
      <c r="AC68" s="34" t="s">
        <v>183</v>
      </c>
      <c r="AD68" s="34">
        <v>3527006265</v>
      </c>
      <c r="AE68" s="34"/>
      <c r="AF68" s="34"/>
    </row>
    <row r="69" spans="1:32" x14ac:dyDescent="0.2">
      <c r="A69" s="34">
        <v>10019476</v>
      </c>
      <c r="B69" s="34" t="s">
        <v>26</v>
      </c>
      <c r="C69" s="34" t="s">
        <v>573</v>
      </c>
      <c r="D69" s="37">
        <v>42286</v>
      </c>
      <c r="E69" s="34">
        <v>93538430</v>
      </c>
      <c r="F69" s="37">
        <v>42275</v>
      </c>
      <c r="G69" s="34"/>
      <c r="H69" s="34">
        <v>1201047</v>
      </c>
      <c r="I69" s="34" t="s">
        <v>79</v>
      </c>
      <c r="J69" s="34">
        <v>1042228</v>
      </c>
      <c r="K69" s="34" t="s">
        <v>80</v>
      </c>
      <c r="L69" s="34">
        <v>1171089</v>
      </c>
      <c r="M69" s="34" t="s">
        <v>75</v>
      </c>
      <c r="N69" s="34">
        <v>37953694</v>
      </c>
      <c r="O69" s="34" t="s">
        <v>181</v>
      </c>
      <c r="P69" s="34" t="s">
        <v>91</v>
      </c>
      <c r="Q69" s="34" t="s">
        <v>92</v>
      </c>
      <c r="R69" s="34">
        <v>2146.56</v>
      </c>
      <c r="S69" s="34" t="s">
        <v>182</v>
      </c>
      <c r="T69" s="34" t="s">
        <v>63</v>
      </c>
      <c r="U69" s="34" t="s">
        <v>81</v>
      </c>
      <c r="V69" s="34" t="s">
        <v>88</v>
      </c>
      <c r="W69" s="37">
        <v>42305</v>
      </c>
      <c r="X69" s="34" t="s">
        <v>64</v>
      </c>
      <c r="Y69" s="37">
        <v>42286</v>
      </c>
      <c r="Z69" s="34"/>
      <c r="AA69" s="34"/>
      <c r="AB69" s="34"/>
      <c r="AC69" s="34" t="s">
        <v>183</v>
      </c>
      <c r="AD69" s="34" t="s">
        <v>888</v>
      </c>
      <c r="AE69" s="34" t="s">
        <v>89</v>
      </c>
      <c r="AF69" s="34" t="s">
        <v>274</v>
      </c>
    </row>
    <row r="70" spans="1:32" x14ac:dyDescent="0.2">
      <c r="A70" s="34">
        <v>10019477</v>
      </c>
      <c r="B70" s="34" t="s">
        <v>26</v>
      </c>
      <c r="C70" s="34" t="s">
        <v>573</v>
      </c>
      <c r="D70" s="37">
        <v>42286</v>
      </c>
      <c r="E70" s="34">
        <v>93549464</v>
      </c>
      <c r="F70" s="37">
        <v>42284</v>
      </c>
      <c r="G70" s="34"/>
      <c r="H70" s="34">
        <v>1201047</v>
      </c>
      <c r="I70" s="34" t="s">
        <v>79</v>
      </c>
      <c r="J70" s="34">
        <v>1311011</v>
      </c>
      <c r="K70" s="34" t="s">
        <v>85</v>
      </c>
      <c r="L70" s="34">
        <v>1171089</v>
      </c>
      <c r="M70" s="34" t="s">
        <v>75</v>
      </c>
      <c r="N70" s="34">
        <v>19624788</v>
      </c>
      <c r="O70" s="34" t="s">
        <v>181</v>
      </c>
      <c r="P70" s="34" t="s">
        <v>86</v>
      </c>
      <c r="Q70" s="34" t="s">
        <v>87</v>
      </c>
      <c r="R70" s="34">
        <v>4129.92</v>
      </c>
      <c r="S70" s="34" t="s">
        <v>182</v>
      </c>
      <c r="T70" s="34" t="s">
        <v>63</v>
      </c>
      <c r="U70" s="34" t="s">
        <v>94</v>
      </c>
      <c r="V70" s="34" t="s">
        <v>95</v>
      </c>
      <c r="W70" s="37">
        <v>42304</v>
      </c>
      <c r="X70" s="34" t="s">
        <v>64</v>
      </c>
      <c r="Y70" s="37">
        <v>42286</v>
      </c>
      <c r="Z70" s="34"/>
      <c r="AA70" s="34"/>
      <c r="AB70" s="34"/>
      <c r="AC70" s="34" t="s">
        <v>183</v>
      </c>
      <c r="AD70" s="34" t="s">
        <v>889</v>
      </c>
      <c r="AE70" s="34" t="s">
        <v>96</v>
      </c>
      <c r="AF70" s="34" t="s">
        <v>890</v>
      </c>
    </row>
    <row r="71" spans="1:32" x14ac:dyDescent="0.2">
      <c r="A71" s="34">
        <v>10019478</v>
      </c>
      <c r="B71" s="34" t="s">
        <v>18</v>
      </c>
      <c r="C71" s="34" t="s">
        <v>573</v>
      </c>
      <c r="D71" s="37">
        <v>42286</v>
      </c>
      <c r="E71" s="34">
        <v>93525601</v>
      </c>
      <c r="F71" s="37">
        <v>42264</v>
      </c>
      <c r="G71" s="34"/>
      <c r="H71" s="34">
        <v>1201120</v>
      </c>
      <c r="I71" s="34" t="s">
        <v>117</v>
      </c>
      <c r="J71" s="34">
        <v>1131196</v>
      </c>
      <c r="K71" s="34" t="s">
        <v>119</v>
      </c>
      <c r="L71" s="34">
        <v>1171090</v>
      </c>
      <c r="M71" s="34" t="s">
        <v>118</v>
      </c>
      <c r="N71" s="34">
        <v>62348</v>
      </c>
      <c r="O71" s="34" t="s">
        <v>181</v>
      </c>
      <c r="P71" s="34" t="s">
        <v>97</v>
      </c>
      <c r="Q71" s="34" t="s">
        <v>98</v>
      </c>
      <c r="R71" s="34">
        <v>3222.18</v>
      </c>
      <c r="S71" s="34" t="s">
        <v>182</v>
      </c>
      <c r="T71" s="34" t="s">
        <v>63</v>
      </c>
      <c r="U71" s="34" t="s">
        <v>105</v>
      </c>
      <c r="V71" s="34" t="s">
        <v>82</v>
      </c>
      <c r="W71" s="37">
        <v>42290</v>
      </c>
      <c r="X71" s="34" t="s">
        <v>64</v>
      </c>
      <c r="Y71" s="37">
        <v>42286</v>
      </c>
      <c r="Z71" s="34"/>
      <c r="AA71" s="34"/>
      <c r="AB71" s="34"/>
      <c r="AC71" s="34" t="s">
        <v>183</v>
      </c>
      <c r="AD71" s="34">
        <v>87944972517496</v>
      </c>
      <c r="AE71" s="34" t="s">
        <v>106</v>
      </c>
      <c r="AF71" s="34" t="s">
        <v>891</v>
      </c>
    </row>
    <row r="72" spans="1:32" x14ac:dyDescent="0.2">
      <c r="A72" s="34">
        <v>10019479</v>
      </c>
      <c r="B72" s="34" t="s">
        <v>26</v>
      </c>
      <c r="C72" s="34" t="s">
        <v>78</v>
      </c>
      <c r="D72" s="37">
        <v>42286</v>
      </c>
      <c r="E72" s="34">
        <v>93551238</v>
      </c>
      <c r="F72" s="37">
        <v>42285</v>
      </c>
      <c r="G72" s="34"/>
      <c r="H72" s="34">
        <v>1201630</v>
      </c>
      <c r="I72" s="34" t="s">
        <v>157</v>
      </c>
      <c r="J72" s="34">
        <v>1000687</v>
      </c>
      <c r="K72" s="34" t="s">
        <v>158</v>
      </c>
      <c r="L72" s="34">
        <v>1201630</v>
      </c>
      <c r="M72" s="34" t="s">
        <v>157</v>
      </c>
      <c r="N72" s="34">
        <v>48729494</v>
      </c>
      <c r="O72" s="34" t="s">
        <v>181</v>
      </c>
      <c r="P72" s="34" t="s">
        <v>97</v>
      </c>
      <c r="Q72" s="34" t="s">
        <v>98</v>
      </c>
      <c r="R72" s="34">
        <v>0</v>
      </c>
      <c r="S72" s="34" t="s">
        <v>182</v>
      </c>
      <c r="T72" s="34" t="s">
        <v>63</v>
      </c>
      <c r="U72" s="34" t="s">
        <v>70</v>
      </c>
      <c r="V72" s="34" t="s">
        <v>82</v>
      </c>
      <c r="W72" s="37">
        <v>42307</v>
      </c>
      <c r="X72" s="34" t="s">
        <v>64</v>
      </c>
      <c r="Y72" s="37">
        <v>42286</v>
      </c>
      <c r="Z72" s="34"/>
      <c r="AA72" s="34"/>
      <c r="AB72" s="34"/>
      <c r="AC72" s="34" t="s">
        <v>183</v>
      </c>
      <c r="AD72" s="34" t="s">
        <v>892</v>
      </c>
      <c r="AE72" s="34" t="s">
        <v>893</v>
      </c>
      <c r="AF72" s="34" t="s">
        <v>894</v>
      </c>
    </row>
    <row r="73" spans="1:32" x14ac:dyDescent="0.2">
      <c r="A73" s="34">
        <v>10019480</v>
      </c>
      <c r="B73" s="34" t="s">
        <v>22</v>
      </c>
      <c r="C73" s="34" t="s">
        <v>573</v>
      </c>
      <c r="D73" s="37">
        <v>42286</v>
      </c>
      <c r="E73" s="34">
        <v>93538561</v>
      </c>
      <c r="F73" s="37">
        <v>42275</v>
      </c>
      <c r="G73" s="34"/>
      <c r="H73" s="34">
        <v>1201120</v>
      </c>
      <c r="I73" s="34" t="s">
        <v>117</v>
      </c>
      <c r="J73" s="34">
        <v>1307782</v>
      </c>
      <c r="K73" s="34" t="s">
        <v>119</v>
      </c>
      <c r="L73" s="34">
        <v>1171090</v>
      </c>
      <c r="M73" s="34" t="s">
        <v>118</v>
      </c>
      <c r="N73" s="34" t="s">
        <v>825</v>
      </c>
      <c r="O73" s="34" t="s">
        <v>181</v>
      </c>
      <c r="P73" s="34" t="s">
        <v>121</v>
      </c>
      <c r="Q73" s="34" t="s">
        <v>122</v>
      </c>
      <c r="R73" s="34">
        <v>38.35</v>
      </c>
      <c r="S73" s="34" t="s">
        <v>182</v>
      </c>
      <c r="T73" s="34" t="s">
        <v>63</v>
      </c>
      <c r="U73" s="34"/>
      <c r="V73" s="34"/>
      <c r="W73" s="34"/>
      <c r="X73" s="34" t="s">
        <v>64</v>
      </c>
      <c r="Y73" s="37">
        <v>42286</v>
      </c>
      <c r="Z73" s="34"/>
      <c r="AA73" s="34"/>
      <c r="AB73" s="34"/>
      <c r="AC73" s="34" t="s">
        <v>183</v>
      </c>
      <c r="AD73" s="34" t="s">
        <v>826</v>
      </c>
      <c r="AE73" s="34"/>
      <c r="AF73" s="34"/>
    </row>
    <row r="74" spans="1:32" x14ac:dyDescent="0.2">
      <c r="A74" s="34">
        <v>10019481</v>
      </c>
      <c r="B74" s="34" t="s">
        <v>25</v>
      </c>
      <c r="C74" s="34" t="s">
        <v>78</v>
      </c>
      <c r="D74" s="37">
        <v>42286</v>
      </c>
      <c r="E74" s="34">
        <v>93480327</v>
      </c>
      <c r="F74" s="37">
        <v>42229</v>
      </c>
      <c r="G74" s="34"/>
      <c r="H74" s="34">
        <v>1201766</v>
      </c>
      <c r="I74" s="34" t="s">
        <v>143</v>
      </c>
      <c r="J74" s="34">
        <v>1157939</v>
      </c>
      <c r="K74" s="34" t="s">
        <v>143</v>
      </c>
      <c r="L74" s="34">
        <v>1201766</v>
      </c>
      <c r="M74" s="34" t="s">
        <v>143</v>
      </c>
      <c r="N74" s="34">
        <v>60649</v>
      </c>
      <c r="O74" s="34" t="s">
        <v>181</v>
      </c>
      <c r="P74" s="34" t="s">
        <v>97</v>
      </c>
      <c r="Q74" s="34" t="s">
        <v>98</v>
      </c>
      <c r="R74" s="34">
        <v>14138.74</v>
      </c>
      <c r="S74" s="34" t="s">
        <v>182</v>
      </c>
      <c r="T74" s="34" t="s">
        <v>63</v>
      </c>
      <c r="U74" s="34" t="s">
        <v>81</v>
      </c>
      <c r="V74" s="34" t="s">
        <v>71</v>
      </c>
      <c r="W74" s="37">
        <v>42298</v>
      </c>
      <c r="X74" s="34" t="s">
        <v>64</v>
      </c>
      <c r="Y74" s="37">
        <v>42286</v>
      </c>
      <c r="Z74" s="34"/>
      <c r="AA74" s="34"/>
      <c r="AB74" s="34"/>
      <c r="AC74" s="34" t="s">
        <v>183</v>
      </c>
      <c r="AD74" s="34">
        <v>87944972392765</v>
      </c>
      <c r="AE74" s="34" t="s">
        <v>465</v>
      </c>
      <c r="AF74" s="34" t="s">
        <v>895</v>
      </c>
    </row>
    <row r="75" spans="1:32" x14ac:dyDescent="0.2">
      <c r="A75" s="34">
        <v>10019482</v>
      </c>
      <c r="B75" s="34" t="s">
        <v>18</v>
      </c>
      <c r="C75" s="34" t="s">
        <v>573</v>
      </c>
      <c r="D75" s="37">
        <v>42286</v>
      </c>
      <c r="E75" s="34">
        <v>93544376</v>
      </c>
      <c r="F75" s="37">
        <v>42279</v>
      </c>
      <c r="G75" s="34"/>
      <c r="H75" s="34">
        <v>1201120</v>
      </c>
      <c r="I75" s="34" t="s">
        <v>117</v>
      </c>
      <c r="J75" s="34">
        <v>1307782</v>
      </c>
      <c r="K75" s="34" t="s">
        <v>119</v>
      </c>
      <c r="L75" s="34">
        <v>1171090</v>
      </c>
      <c r="M75" s="34" t="s">
        <v>118</v>
      </c>
      <c r="N75" s="34" t="s">
        <v>805</v>
      </c>
      <c r="O75" s="34" t="s">
        <v>181</v>
      </c>
      <c r="P75" s="34" t="s">
        <v>97</v>
      </c>
      <c r="Q75" s="34" t="s">
        <v>98</v>
      </c>
      <c r="R75" s="34">
        <v>7122.06</v>
      </c>
      <c r="S75" s="34" t="s">
        <v>182</v>
      </c>
      <c r="T75" s="34" t="s">
        <v>69</v>
      </c>
      <c r="U75" s="34" t="s">
        <v>70</v>
      </c>
      <c r="V75" s="34" t="s">
        <v>76</v>
      </c>
      <c r="W75" s="37">
        <v>42290</v>
      </c>
      <c r="X75" s="34" t="s">
        <v>64</v>
      </c>
      <c r="Y75" s="37">
        <v>42286</v>
      </c>
      <c r="Z75" s="34" t="s">
        <v>100</v>
      </c>
      <c r="AA75" s="34">
        <v>62010582</v>
      </c>
      <c r="AB75" s="37">
        <v>42304</v>
      </c>
      <c r="AC75" s="34" t="s">
        <v>183</v>
      </c>
      <c r="AD75" s="34" t="s">
        <v>896</v>
      </c>
      <c r="AE75" s="34" t="s">
        <v>77</v>
      </c>
      <c r="AF75" s="34" t="s">
        <v>897</v>
      </c>
    </row>
    <row r="76" spans="1:32" x14ac:dyDescent="0.2">
      <c r="A76" s="34">
        <v>10019483</v>
      </c>
      <c r="B76" s="34" t="s">
        <v>25</v>
      </c>
      <c r="C76" s="34" t="s">
        <v>78</v>
      </c>
      <c r="D76" s="37">
        <v>42286</v>
      </c>
      <c r="E76" s="34">
        <v>93391020</v>
      </c>
      <c r="F76" s="37">
        <v>42159</v>
      </c>
      <c r="G76" s="34"/>
      <c r="H76" s="34">
        <v>1201766</v>
      </c>
      <c r="I76" s="34" t="s">
        <v>143</v>
      </c>
      <c r="J76" s="34">
        <v>1157939</v>
      </c>
      <c r="K76" s="34" t="s">
        <v>143</v>
      </c>
      <c r="L76" s="34">
        <v>1201766</v>
      </c>
      <c r="M76" s="34" t="s">
        <v>143</v>
      </c>
      <c r="N76" s="34">
        <v>59557</v>
      </c>
      <c r="O76" s="34" t="s">
        <v>181</v>
      </c>
      <c r="P76" s="34" t="s">
        <v>97</v>
      </c>
      <c r="Q76" s="34" t="s">
        <v>98</v>
      </c>
      <c r="R76" s="34">
        <v>322.39999999999998</v>
      </c>
      <c r="S76" s="34" t="s">
        <v>182</v>
      </c>
      <c r="T76" s="34" t="s">
        <v>63</v>
      </c>
      <c r="U76" s="34" t="s">
        <v>81</v>
      </c>
      <c r="V76" s="34" t="s">
        <v>71</v>
      </c>
      <c r="W76" s="37">
        <v>42298</v>
      </c>
      <c r="X76" s="34" t="s">
        <v>64</v>
      </c>
      <c r="Y76" s="37">
        <v>42286</v>
      </c>
      <c r="Z76" s="34"/>
      <c r="AA76" s="34"/>
      <c r="AB76" s="34"/>
      <c r="AC76" s="34" t="s">
        <v>183</v>
      </c>
      <c r="AD76" s="34">
        <v>87944972117214</v>
      </c>
      <c r="AE76" s="34" t="s">
        <v>465</v>
      </c>
      <c r="AF76" s="34" t="s">
        <v>898</v>
      </c>
    </row>
    <row r="77" spans="1:32" x14ac:dyDescent="0.2">
      <c r="A77" s="34">
        <v>10019484</v>
      </c>
      <c r="B77" s="34" t="s">
        <v>25</v>
      </c>
      <c r="C77" s="34" t="s">
        <v>78</v>
      </c>
      <c r="D77" s="37">
        <v>42286</v>
      </c>
      <c r="E77" s="34">
        <v>93276593</v>
      </c>
      <c r="F77" s="37">
        <v>42074</v>
      </c>
      <c r="G77" s="34"/>
      <c r="H77" s="34">
        <v>1201766</v>
      </c>
      <c r="I77" s="34" t="s">
        <v>143</v>
      </c>
      <c r="J77" s="34">
        <v>1157939</v>
      </c>
      <c r="K77" s="34" t="s">
        <v>143</v>
      </c>
      <c r="L77" s="34">
        <v>1201766</v>
      </c>
      <c r="M77" s="34" t="s">
        <v>143</v>
      </c>
      <c r="N77" s="34">
        <v>57947</v>
      </c>
      <c r="O77" s="34" t="s">
        <v>181</v>
      </c>
      <c r="P77" s="34" t="s">
        <v>97</v>
      </c>
      <c r="Q77" s="34" t="s">
        <v>98</v>
      </c>
      <c r="R77" s="34">
        <v>11452.2</v>
      </c>
      <c r="S77" s="34" t="s">
        <v>182</v>
      </c>
      <c r="T77" s="34" t="s">
        <v>63</v>
      </c>
      <c r="U77" s="34" t="s">
        <v>81</v>
      </c>
      <c r="V77" s="34" t="s">
        <v>71</v>
      </c>
      <c r="W77" s="37">
        <v>42299</v>
      </c>
      <c r="X77" s="34" t="s">
        <v>64</v>
      </c>
      <c r="Y77" s="37">
        <v>42298</v>
      </c>
      <c r="Z77" s="34"/>
      <c r="AA77" s="34"/>
      <c r="AB77" s="34"/>
      <c r="AC77" s="34" t="s">
        <v>183</v>
      </c>
      <c r="AD77" s="34">
        <v>87944971775804</v>
      </c>
      <c r="AE77" s="34" t="s">
        <v>465</v>
      </c>
      <c r="AF77" s="34" t="s">
        <v>899</v>
      </c>
    </row>
    <row r="78" spans="1:32" x14ac:dyDescent="0.2">
      <c r="A78" s="34">
        <v>10019485</v>
      </c>
      <c r="B78" s="34" t="s">
        <v>25</v>
      </c>
      <c r="C78" s="34" t="s">
        <v>78</v>
      </c>
      <c r="D78" s="37">
        <v>42286</v>
      </c>
      <c r="E78" s="34">
        <v>93234345</v>
      </c>
      <c r="F78" s="37">
        <v>42047</v>
      </c>
      <c r="G78" s="34"/>
      <c r="H78" s="34">
        <v>1201766</v>
      </c>
      <c r="I78" s="34" t="s">
        <v>143</v>
      </c>
      <c r="J78" s="34">
        <v>1157939</v>
      </c>
      <c r="K78" s="34" t="s">
        <v>143</v>
      </c>
      <c r="L78" s="34">
        <v>1201766</v>
      </c>
      <c r="M78" s="34" t="s">
        <v>143</v>
      </c>
      <c r="N78" s="34">
        <v>57315</v>
      </c>
      <c r="O78" s="34" t="s">
        <v>181</v>
      </c>
      <c r="P78" s="34" t="s">
        <v>97</v>
      </c>
      <c r="Q78" s="34" t="s">
        <v>98</v>
      </c>
      <c r="R78" s="34">
        <v>532.79999999999995</v>
      </c>
      <c r="S78" s="34" t="s">
        <v>182</v>
      </c>
      <c r="T78" s="34" t="s">
        <v>63</v>
      </c>
      <c r="U78" s="34" t="s">
        <v>81</v>
      </c>
      <c r="V78" s="34" t="s">
        <v>71</v>
      </c>
      <c r="W78" s="37">
        <v>42298</v>
      </c>
      <c r="X78" s="34" t="s">
        <v>64</v>
      </c>
      <c r="Y78" s="37">
        <v>42286</v>
      </c>
      <c r="Z78" s="34"/>
      <c r="AA78" s="34"/>
      <c r="AB78" s="34"/>
      <c r="AC78" s="34" t="s">
        <v>183</v>
      </c>
      <c r="AD78" s="34">
        <v>87944971643219</v>
      </c>
      <c r="AE78" s="34" t="s">
        <v>465</v>
      </c>
      <c r="AF78" s="34" t="s">
        <v>900</v>
      </c>
    </row>
    <row r="79" spans="1:32" x14ac:dyDescent="0.2">
      <c r="A79" s="34">
        <v>10019486</v>
      </c>
      <c r="B79" s="34" t="s">
        <v>25</v>
      </c>
      <c r="C79" s="34" t="s">
        <v>78</v>
      </c>
      <c r="D79" s="37">
        <v>42286</v>
      </c>
      <c r="E79" s="34">
        <v>93203768</v>
      </c>
      <c r="F79" s="37">
        <v>42032</v>
      </c>
      <c r="G79" s="34"/>
      <c r="H79" s="34">
        <v>1201766</v>
      </c>
      <c r="I79" s="34" t="s">
        <v>143</v>
      </c>
      <c r="J79" s="34">
        <v>1157939</v>
      </c>
      <c r="K79" s="34" t="s">
        <v>143</v>
      </c>
      <c r="L79" s="34">
        <v>1201766</v>
      </c>
      <c r="M79" s="34" t="s">
        <v>143</v>
      </c>
      <c r="N79" s="34">
        <v>57315</v>
      </c>
      <c r="O79" s="34" t="s">
        <v>181</v>
      </c>
      <c r="P79" s="34" t="s">
        <v>97</v>
      </c>
      <c r="Q79" s="34" t="s">
        <v>98</v>
      </c>
      <c r="R79" s="34">
        <v>1605.36</v>
      </c>
      <c r="S79" s="34" t="s">
        <v>182</v>
      </c>
      <c r="T79" s="34" t="s">
        <v>63</v>
      </c>
      <c r="U79" s="34" t="s">
        <v>81</v>
      </c>
      <c r="V79" s="34" t="s">
        <v>71</v>
      </c>
      <c r="W79" s="37">
        <v>42298</v>
      </c>
      <c r="X79" s="34" t="s">
        <v>64</v>
      </c>
      <c r="Y79" s="37">
        <v>42286</v>
      </c>
      <c r="Z79" s="34"/>
      <c r="AA79" s="34"/>
      <c r="AB79" s="34"/>
      <c r="AC79" s="34" t="s">
        <v>183</v>
      </c>
      <c r="AD79" s="34">
        <v>87944971574544</v>
      </c>
      <c r="AE79" s="34" t="s">
        <v>465</v>
      </c>
      <c r="AF79" s="34" t="s">
        <v>901</v>
      </c>
    </row>
    <row r="80" spans="1:32" x14ac:dyDescent="0.2">
      <c r="A80" s="34">
        <v>10019487</v>
      </c>
      <c r="B80" s="34" t="s">
        <v>24</v>
      </c>
      <c r="C80" s="34" t="s">
        <v>78</v>
      </c>
      <c r="D80" s="37">
        <v>42286</v>
      </c>
      <c r="E80" s="34">
        <v>93188435</v>
      </c>
      <c r="F80" s="37">
        <v>42023</v>
      </c>
      <c r="G80" s="34"/>
      <c r="H80" s="34">
        <v>1201766</v>
      </c>
      <c r="I80" s="34" t="s">
        <v>143</v>
      </c>
      <c r="J80" s="34">
        <v>1157939</v>
      </c>
      <c r="K80" s="34" t="s">
        <v>143</v>
      </c>
      <c r="L80" s="34">
        <v>1201766</v>
      </c>
      <c r="M80" s="34" t="s">
        <v>143</v>
      </c>
      <c r="N80" s="34">
        <v>57037</v>
      </c>
      <c r="O80" s="34" t="s">
        <v>181</v>
      </c>
      <c r="P80" s="34" t="s">
        <v>97</v>
      </c>
      <c r="Q80" s="34" t="s">
        <v>98</v>
      </c>
      <c r="R80" s="34">
        <v>6144.6</v>
      </c>
      <c r="S80" s="34" t="s">
        <v>182</v>
      </c>
      <c r="T80" s="34" t="s">
        <v>63</v>
      </c>
      <c r="U80" s="34" t="s">
        <v>81</v>
      </c>
      <c r="V80" s="34" t="s">
        <v>71</v>
      </c>
      <c r="W80" s="37">
        <v>42299</v>
      </c>
      <c r="X80" s="34" t="s">
        <v>64</v>
      </c>
      <c r="Y80" s="37">
        <v>42286</v>
      </c>
      <c r="Z80" s="34"/>
      <c r="AA80" s="34"/>
      <c r="AB80" s="34"/>
      <c r="AC80" s="34" t="s">
        <v>183</v>
      </c>
      <c r="AD80" s="34">
        <v>87944971537334</v>
      </c>
      <c r="AE80" s="34" t="s">
        <v>465</v>
      </c>
      <c r="AF80" s="34" t="s">
        <v>902</v>
      </c>
    </row>
    <row r="81" spans="1:32" x14ac:dyDescent="0.2">
      <c r="A81" s="34">
        <v>10019488</v>
      </c>
      <c r="B81" s="34" t="s">
        <v>25</v>
      </c>
      <c r="C81" s="34" t="s">
        <v>78</v>
      </c>
      <c r="D81" s="37">
        <v>42286</v>
      </c>
      <c r="E81" s="34">
        <v>93183378</v>
      </c>
      <c r="F81" s="37">
        <v>42019</v>
      </c>
      <c r="G81" s="34"/>
      <c r="H81" s="34">
        <v>1201766</v>
      </c>
      <c r="I81" s="34" t="s">
        <v>143</v>
      </c>
      <c r="J81" s="34">
        <v>1157939</v>
      </c>
      <c r="K81" s="34" t="s">
        <v>143</v>
      </c>
      <c r="L81" s="34">
        <v>1201766</v>
      </c>
      <c r="M81" s="34" t="s">
        <v>143</v>
      </c>
      <c r="N81" s="34">
        <v>56860</v>
      </c>
      <c r="O81" s="34" t="s">
        <v>181</v>
      </c>
      <c r="P81" s="34" t="s">
        <v>97</v>
      </c>
      <c r="Q81" s="34" t="s">
        <v>98</v>
      </c>
      <c r="R81" s="34">
        <v>346.47</v>
      </c>
      <c r="S81" s="34" t="s">
        <v>182</v>
      </c>
      <c r="T81" s="34" t="s">
        <v>63</v>
      </c>
      <c r="U81" s="34" t="s">
        <v>81</v>
      </c>
      <c r="V81" s="34" t="s">
        <v>71</v>
      </c>
      <c r="W81" s="37">
        <v>42299</v>
      </c>
      <c r="X81" s="34" t="s">
        <v>64</v>
      </c>
      <c r="Y81" s="37">
        <v>42286</v>
      </c>
      <c r="Z81" s="34"/>
      <c r="AA81" s="34"/>
      <c r="AB81" s="34"/>
      <c r="AC81" s="34" t="s">
        <v>183</v>
      </c>
      <c r="AD81" s="34">
        <v>87944971529674</v>
      </c>
      <c r="AE81" s="34" t="s">
        <v>465</v>
      </c>
      <c r="AF81" s="34" t="s">
        <v>903</v>
      </c>
    </row>
    <row r="82" spans="1:32" x14ac:dyDescent="0.2">
      <c r="A82" s="34">
        <v>10019489</v>
      </c>
      <c r="B82" s="34" t="s">
        <v>25</v>
      </c>
      <c r="C82" s="34" t="s">
        <v>78</v>
      </c>
      <c r="D82" s="37">
        <v>42286</v>
      </c>
      <c r="E82" s="34">
        <v>93176283</v>
      </c>
      <c r="F82" s="37">
        <v>42016</v>
      </c>
      <c r="G82" s="34"/>
      <c r="H82" s="34">
        <v>1201766</v>
      </c>
      <c r="I82" s="34" t="s">
        <v>143</v>
      </c>
      <c r="J82" s="34">
        <v>1157939</v>
      </c>
      <c r="K82" s="34" t="s">
        <v>143</v>
      </c>
      <c r="L82" s="34">
        <v>1201766</v>
      </c>
      <c r="M82" s="34" t="s">
        <v>143</v>
      </c>
      <c r="N82" s="34">
        <v>56860</v>
      </c>
      <c r="O82" s="34" t="s">
        <v>181</v>
      </c>
      <c r="P82" s="34" t="s">
        <v>97</v>
      </c>
      <c r="Q82" s="34" t="s">
        <v>98</v>
      </c>
      <c r="R82" s="34">
        <v>1070.24</v>
      </c>
      <c r="S82" s="34" t="s">
        <v>182</v>
      </c>
      <c r="T82" s="34" t="s">
        <v>63</v>
      </c>
      <c r="U82" s="34" t="s">
        <v>81</v>
      </c>
      <c r="V82" s="34" t="s">
        <v>71</v>
      </c>
      <c r="W82" s="37">
        <v>42299</v>
      </c>
      <c r="X82" s="34" t="s">
        <v>64</v>
      </c>
      <c r="Y82" s="37">
        <v>42286</v>
      </c>
      <c r="Z82" s="34"/>
      <c r="AA82" s="34"/>
      <c r="AB82" s="34"/>
      <c r="AC82" s="34" t="s">
        <v>183</v>
      </c>
      <c r="AD82" s="34">
        <v>87944971507535</v>
      </c>
      <c r="AE82" s="34" t="s">
        <v>465</v>
      </c>
      <c r="AF82" s="34" t="s">
        <v>904</v>
      </c>
    </row>
    <row r="83" spans="1:32" x14ac:dyDescent="0.2">
      <c r="A83" s="34">
        <v>10019490</v>
      </c>
      <c r="B83" s="34" t="s">
        <v>25</v>
      </c>
      <c r="C83" s="34" t="s">
        <v>78</v>
      </c>
      <c r="D83" s="37">
        <v>42286</v>
      </c>
      <c r="E83" s="34">
        <v>93166620</v>
      </c>
      <c r="F83" s="37">
        <v>42011</v>
      </c>
      <c r="G83" s="34"/>
      <c r="H83" s="34">
        <v>1201766</v>
      </c>
      <c r="I83" s="34" t="s">
        <v>143</v>
      </c>
      <c r="J83" s="34">
        <v>1157939</v>
      </c>
      <c r="K83" s="34" t="s">
        <v>143</v>
      </c>
      <c r="L83" s="34">
        <v>1201766</v>
      </c>
      <c r="M83" s="34" t="s">
        <v>143</v>
      </c>
      <c r="N83" s="34">
        <v>56735</v>
      </c>
      <c r="O83" s="34" t="s">
        <v>181</v>
      </c>
      <c r="P83" s="34" t="s">
        <v>97</v>
      </c>
      <c r="Q83" s="34" t="s">
        <v>98</v>
      </c>
      <c r="R83" s="34">
        <v>5543.52</v>
      </c>
      <c r="S83" s="34" t="s">
        <v>182</v>
      </c>
      <c r="T83" s="34" t="s">
        <v>63</v>
      </c>
      <c r="U83" s="34" t="s">
        <v>81</v>
      </c>
      <c r="V83" s="34" t="s">
        <v>71</v>
      </c>
      <c r="W83" s="37">
        <v>42299</v>
      </c>
      <c r="X83" s="34" t="s">
        <v>64</v>
      </c>
      <c r="Y83" s="37">
        <v>42286</v>
      </c>
      <c r="Z83" s="34"/>
      <c r="AA83" s="34"/>
      <c r="AB83" s="34"/>
      <c r="AC83" s="34" t="s">
        <v>183</v>
      </c>
      <c r="AD83" s="34">
        <v>87944971487493</v>
      </c>
      <c r="AE83" s="34" t="s">
        <v>465</v>
      </c>
      <c r="AF83" s="34" t="s">
        <v>905</v>
      </c>
    </row>
    <row r="84" spans="1:32" x14ac:dyDescent="0.2">
      <c r="A84" s="34">
        <v>10019491</v>
      </c>
      <c r="B84" s="34" t="s">
        <v>25</v>
      </c>
      <c r="C84" s="34" t="s">
        <v>78</v>
      </c>
      <c r="D84" s="37">
        <v>42286</v>
      </c>
      <c r="E84" s="34">
        <v>93163302</v>
      </c>
      <c r="F84" s="37">
        <v>42009</v>
      </c>
      <c r="G84" s="34"/>
      <c r="H84" s="34">
        <v>1201766</v>
      </c>
      <c r="I84" s="34" t="s">
        <v>143</v>
      </c>
      <c r="J84" s="34">
        <v>1157939</v>
      </c>
      <c r="K84" s="34" t="s">
        <v>143</v>
      </c>
      <c r="L84" s="34">
        <v>1201766</v>
      </c>
      <c r="M84" s="34" t="s">
        <v>143</v>
      </c>
      <c r="N84" s="34">
        <v>56816</v>
      </c>
      <c r="O84" s="34" t="s">
        <v>181</v>
      </c>
      <c r="P84" s="34" t="s">
        <v>102</v>
      </c>
      <c r="Q84" s="34" t="s">
        <v>103</v>
      </c>
      <c r="R84" s="34">
        <v>78685.3</v>
      </c>
      <c r="S84" s="34" t="s">
        <v>182</v>
      </c>
      <c r="T84" s="34" t="s">
        <v>63</v>
      </c>
      <c r="U84" s="34" t="s">
        <v>81</v>
      </c>
      <c r="V84" s="34" t="s">
        <v>71</v>
      </c>
      <c r="W84" s="37">
        <v>42298</v>
      </c>
      <c r="X84" s="34" t="s">
        <v>64</v>
      </c>
      <c r="Y84" s="37">
        <v>42286</v>
      </c>
      <c r="Z84" s="34"/>
      <c r="AA84" s="34"/>
      <c r="AB84" s="34"/>
      <c r="AC84" s="34" t="s">
        <v>183</v>
      </c>
      <c r="AD84" s="34">
        <v>626414829494</v>
      </c>
      <c r="AE84" s="34" t="s">
        <v>465</v>
      </c>
      <c r="AF84" s="34" t="s">
        <v>906</v>
      </c>
    </row>
    <row r="85" spans="1:32" x14ac:dyDescent="0.2">
      <c r="A85" s="34">
        <v>10019492</v>
      </c>
      <c r="B85" s="34" t="s">
        <v>25</v>
      </c>
      <c r="C85" s="34" t="s">
        <v>78</v>
      </c>
      <c r="D85" s="37">
        <v>42286</v>
      </c>
      <c r="E85" s="34">
        <v>93126980</v>
      </c>
      <c r="F85" s="37">
        <v>41982</v>
      </c>
      <c r="G85" s="34"/>
      <c r="H85" s="34">
        <v>1201766</v>
      </c>
      <c r="I85" s="34" t="s">
        <v>143</v>
      </c>
      <c r="J85" s="34">
        <v>1157939</v>
      </c>
      <c r="K85" s="34" t="s">
        <v>143</v>
      </c>
      <c r="L85" s="34">
        <v>1201766</v>
      </c>
      <c r="M85" s="34" t="s">
        <v>143</v>
      </c>
      <c r="N85" s="34">
        <v>56371</v>
      </c>
      <c r="O85" s="34" t="s">
        <v>181</v>
      </c>
      <c r="P85" s="34" t="s">
        <v>97</v>
      </c>
      <c r="Q85" s="34" t="s">
        <v>98</v>
      </c>
      <c r="R85" s="34">
        <v>2998.98</v>
      </c>
      <c r="S85" s="34" t="s">
        <v>182</v>
      </c>
      <c r="T85" s="34" t="s">
        <v>63</v>
      </c>
      <c r="U85" s="34" t="s">
        <v>81</v>
      </c>
      <c r="V85" s="34" t="s">
        <v>71</v>
      </c>
      <c r="W85" s="37">
        <v>42299</v>
      </c>
      <c r="X85" s="34" t="s">
        <v>64</v>
      </c>
      <c r="Y85" s="37">
        <v>42286</v>
      </c>
      <c r="Z85" s="34"/>
      <c r="AA85" s="34"/>
      <c r="AB85" s="34"/>
      <c r="AC85" s="34" t="s">
        <v>183</v>
      </c>
      <c r="AD85" s="34">
        <v>87944971419593</v>
      </c>
      <c r="AE85" s="34" t="s">
        <v>465</v>
      </c>
      <c r="AF85" s="34" t="s">
        <v>907</v>
      </c>
    </row>
    <row r="86" spans="1:32" x14ac:dyDescent="0.2">
      <c r="A86" s="34">
        <v>10019493</v>
      </c>
      <c r="B86" s="34" t="s">
        <v>25</v>
      </c>
      <c r="C86" s="34" t="s">
        <v>78</v>
      </c>
      <c r="D86" s="37">
        <v>42286</v>
      </c>
      <c r="E86" s="34">
        <v>93114747</v>
      </c>
      <c r="F86" s="37">
        <v>41975</v>
      </c>
      <c r="G86" s="34"/>
      <c r="H86" s="34">
        <v>1201766</v>
      </c>
      <c r="I86" s="34" t="s">
        <v>143</v>
      </c>
      <c r="J86" s="34">
        <v>1157939</v>
      </c>
      <c r="K86" s="34" t="s">
        <v>143</v>
      </c>
      <c r="L86" s="34">
        <v>1201766</v>
      </c>
      <c r="M86" s="34" t="s">
        <v>143</v>
      </c>
      <c r="N86" s="34">
        <v>56147</v>
      </c>
      <c r="O86" s="34" t="s">
        <v>181</v>
      </c>
      <c r="P86" s="34" t="s">
        <v>97</v>
      </c>
      <c r="Q86" s="34" t="s">
        <v>98</v>
      </c>
      <c r="R86" s="34">
        <v>346.47</v>
      </c>
      <c r="S86" s="34" t="s">
        <v>182</v>
      </c>
      <c r="T86" s="34" t="s">
        <v>63</v>
      </c>
      <c r="U86" s="34"/>
      <c r="V86" s="34"/>
      <c r="W86" s="34"/>
      <c r="X86" s="34" t="s">
        <v>64</v>
      </c>
      <c r="Y86" s="37">
        <v>42286</v>
      </c>
      <c r="Z86" s="34"/>
      <c r="AA86" s="34"/>
      <c r="AB86" s="34"/>
      <c r="AC86" s="34" t="s">
        <v>183</v>
      </c>
      <c r="AD86" s="34">
        <v>87944971391844</v>
      </c>
      <c r="AE86" s="34"/>
      <c r="AF86" s="34"/>
    </row>
    <row r="87" spans="1:32" x14ac:dyDescent="0.2">
      <c r="A87" s="34">
        <v>10019494</v>
      </c>
      <c r="B87" s="34" t="s">
        <v>25</v>
      </c>
      <c r="C87" s="34" t="s">
        <v>78</v>
      </c>
      <c r="D87" s="37">
        <v>42286</v>
      </c>
      <c r="E87" s="34">
        <v>93097054</v>
      </c>
      <c r="F87" s="37">
        <v>41962</v>
      </c>
      <c r="G87" s="34"/>
      <c r="H87" s="34">
        <v>1201766</v>
      </c>
      <c r="I87" s="34" t="s">
        <v>143</v>
      </c>
      <c r="J87" s="34">
        <v>1157939</v>
      </c>
      <c r="K87" s="34" t="s">
        <v>143</v>
      </c>
      <c r="L87" s="34">
        <v>1201766</v>
      </c>
      <c r="M87" s="34" t="s">
        <v>143</v>
      </c>
      <c r="N87" s="34">
        <v>56043</v>
      </c>
      <c r="O87" s="34" t="s">
        <v>181</v>
      </c>
      <c r="P87" s="34" t="s">
        <v>97</v>
      </c>
      <c r="Q87" s="34" t="s">
        <v>98</v>
      </c>
      <c r="R87" s="34">
        <v>564.78</v>
      </c>
      <c r="S87" s="34" t="s">
        <v>182</v>
      </c>
      <c r="T87" s="34" t="s">
        <v>63</v>
      </c>
      <c r="U87" s="34" t="s">
        <v>81</v>
      </c>
      <c r="V87" s="34" t="s">
        <v>71</v>
      </c>
      <c r="W87" s="37">
        <v>42298</v>
      </c>
      <c r="X87" s="34" t="s">
        <v>64</v>
      </c>
      <c r="Y87" s="37">
        <v>42286</v>
      </c>
      <c r="Z87" s="34"/>
      <c r="AA87" s="34"/>
      <c r="AB87" s="34"/>
      <c r="AC87" s="34" t="s">
        <v>183</v>
      </c>
      <c r="AD87" s="34">
        <v>87944971348992</v>
      </c>
      <c r="AE87" s="34" t="s">
        <v>465</v>
      </c>
      <c r="AF87" s="34" t="s">
        <v>908</v>
      </c>
    </row>
    <row r="88" spans="1:32" x14ac:dyDescent="0.2">
      <c r="A88" s="34">
        <v>10019495</v>
      </c>
      <c r="B88" s="34" t="s">
        <v>25</v>
      </c>
      <c r="C88" s="34" t="s">
        <v>78</v>
      </c>
      <c r="D88" s="37">
        <v>42286</v>
      </c>
      <c r="E88" s="34">
        <v>93049328</v>
      </c>
      <c r="F88" s="37">
        <v>41935</v>
      </c>
      <c r="G88" s="34"/>
      <c r="H88" s="34">
        <v>1201766</v>
      </c>
      <c r="I88" s="34" t="s">
        <v>143</v>
      </c>
      <c r="J88" s="34">
        <v>1157939</v>
      </c>
      <c r="K88" s="34" t="s">
        <v>143</v>
      </c>
      <c r="L88" s="34">
        <v>1201766</v>
      </c>
      <c r="M88" s="34" t="s">
        <v>143</v>
      </c>
      <c r="N88" s="34">
        <v>55556</v>
      </c>
      <c r="O88" s="34" t="s">
        <v>181</v>
      </c>
      <c r="P88" s="34" t="s">
        <v>97</v>
      </c>
      <c r="Q88" s="34" t="s">
        <v>98</v>
      </c>
      <c r="R88" s="34">
        <v>2771.76</v>
      </c>
      <c r="S88" s="34" t="s">
        <v>182</v>
      </c>
      <c r="T88" s="34" t="s">
        <v>63</v>
      </c>
      <c r="U88" s="34" t="s">
        <v>81</v>
      </c>
      <c r="V88" s="34" t="s">
        <v>71</v>
      </c>
      <c r="W88" s="37">
        <v>42298</v>
      </c>
      <c r="X88" s="34" t="s">
        <v>64</v>
      </c>
      <c r="Y88" s="37">
        <v>42286</v>
      </c>
      <c r="Z88" s="34"/>
      <c r="AA88" s="34"/>
      <c r="AB88" s="34"/>
      <c r="AC88" s="34" t="s">
        <v>183</v>
      </c>
      <c r="AD88" s="34">
        <v>87944971256310</v>
      </c>
      <c r="AE88" s="34" t="s">
        <v>465</v>
      </c>
      <c r="AF88" s="34" t="s">
        <v>909</v>
      </c>
    </row>
    <row r="89" spans="1:32" x14ac:dyDescent="0.2">
      <c r="A89" s="34">
        <v>10019496</v>
      </c>
      <c r="B89" s="34" t="s">
        <v>25</v>
      </c>
      <c r="C89" s="34" t="s">
        <v>78</v>
      </c>
      <c r="D89" s="37">
        <v>42286</v>
      </c>
      <c r="E89" s="34">
        <v>93035635</v>
      </c>
      <c r="F89" s="37">
        <v>41927</v>
      </c>
      <c r="G89" s="34"/>
      <c r="H89" s="34">
        <v>1201766</v>
      </c>
      <c r="I89" s="34" t="s">
        <v>143</v>
      </c>
      <c r="J89" s="34">
        <v>1157939</v>
      </c>
      <c r="K89" s="34" t="s">
        <v>143</v>
      </c>
      <c r="L89" s="34">
        <v>1201766</v>
      </c>
      <c r="M89" s="34" t="s">
        <v>143</v>
      </c>
      <c r="N89" s="34">
        <v>55276</v>
      </c>
      <c r="O89" s="34" t="s">
        <v>181</v>
      </c>
      <c r="P89" s="34" t="s">
        <v>97</v>
      </c>
      <c r="Q89" s="34" t="s">
        <v>98</v>
      </c>
      <c r="R89" s="34">
        <v>44.4</v>
      </c>
      <c r="S89" s="34" t="s">
        <v>182</v>
      </c>
      <c r="T89" s="34" t="s">
        <v>63</v>
      </c>
      <c r="U89" s="34" t="s">
        <v>81</v>
      </c>
      <c r="V89" s="34" t="s">
        <v>71</v>
      </c>
      <c r="W89" s="37">
        <v>42298</v>
      </c>
      <c r="X89" s="34" t="s">
        <v>64</v>
      </c>
      <c r="Y89" s="37">
        <v>42286</v>
      </c>
      <c r="Z89" s="34"/>
      <c r="AA89" s="34"/>
      <c r="AB89" s="34"/>
      <c r="AC89" s="34" t="s">
        <v>183</v>
      </c>
      <c r="AD89" s="34">
        <v>87944971227693</v>
      </c>
      <c r="AE89" s="34" t="s">
        <v>465</v>
      </c>
      <c r="AF89" s="34" t="s">
        <v>910</v>
      </c>
    </row>
    <row r="90" spans="1:32" x14ac:dyDescent="0.2">
      <c r="A90" s="34">
        <v>10019497</v>
      </c>
      <c r="B90" s="34" t="s">
        <v>25</v>
      </c>
      <c r="C90" s="34" t="s">
        <v>78</v>
      </c>
      <c r="D90" s="37">
        <v>42286</v>
      </c>
      <c r="E90" s="34">
        <v>93002587</v>
      </c>
      <c r="F90" s="37">
        <v>41906</v>
      </c>
      <c r="G90" s="34"/>
      <c r="H90" s="34">
        <v>1201766</v>
      </c>
      <c r="I90" s="34" t="s">
        <v>143</v>
      </c>
      <c r="J90" s="34">
        <v>1157939</v>
      </c>
      <c r="K90" s="34" t="s">
        <v>143</v>
      </c>
      <c r="L90" s="34">
        <v>1201766</v>
      </c>
      <c r="M90" s="34" t="s">
        <v>143</v>
      </c>
      <c r="N90" s="34">
        <v>55004</v>
      </c>
      <c r="O90" s="34" t="s">
        <v>181</v>
      </c>
      <c r="P90" s="34" t="s">
        <v>97</v>
      </c>
      <c r="Q90" s="34" t="s">
        <v>98</v>
      </c>
      <c r="R90" s="34">
        <v>376.52</v>
      </c>
      <c r="S90" s="34" t="s">
        <v>182</v>
      </c>
      <c r="T90" s="34" t="s">
        <v>63</v>
      </c>
      <c r="U90" s="34" t="s">
        <v>81</v>
      </c>
      <c r="V90" s="34" t="s">
        <v>71</v>
      </c>
      <c r="W90" s="37">
        <v>42299</v>
      </c>
      <c r="X90" s="34" t="s">
        <v>64</v>
      </c>
      <c r="Y90" s="37">
        <v>42286</v>
      </c>
      <c r="Z90" s="34"/>
      <c r="AA90" s="34"/>
      <c r="AB90" s="34"/>
      <c r="AC90" s="34" t="s">
        <v>183</v>
      </c>
      <c r="AD90" s="34">
        <v>87944971157372</v>
      </c>
      <c r="AE90" s="34" t="s">
        <v>465</v>
      </c>
      <c r="AF90" s="34" t="s">
        <v>911</v>
      </c>
    </row>
    <row r="91" spans="1:32" x14ac:dyDescent="0.2">
      <c r="A91" s="34">
        <v>10019498</v>
      </c>
      <c r="B91" s="34" t="s">
        <v>25</v>
      </c>
      <c r="C91" s="34" t="s">
        <v>78</v>
      </c>
      <c r="D91" s="37">
        <v>42286</v>
      </c>
      <c r="E91" s="34">
        <v>92955751</v>
      </c>
      <c r="F91" s="37">
        <v>41862</v>
      </c>
      <c r="G91" s="34"/>
      <c r="H91" s="34">
        <v>1201766</v>
      </c>
      <c r="I91" s="34" t="s">
        <v>143</v>
      </c>
      <c r="J91" s="34">
        <v>1157939</v>
      </c>
      <c r="K91" s="34" t="s">
        <v>143</v>
      </c>
      <c r="L91" s="34">
        <v>1201766</v>
      </c>
      <c r="M91" s="34" t="s">
        <v>143</v>
      </c>
      <c r="N91" s="34">
        <v>54108</v>
      </c>
      <c r="O91" s="34" t="s">
        <v>181</v>
      </c>
      <c r="P91" s="34" t="s">
        <v>97</v>
      </c>
      <c r="Q91" s="34" t="s">
        <v>98</v>
      </c>
      <c r="R91" s="34">
        <v>502.32</v>
      </c>
      <c r="S91" s="34" t="s">
        <v>182</v>
      </c>
      <c r="T91" s="34" t="s">
        <v>63</v>
      </c>
      <c r="U91" s="34" t="s">
        <v>81</v>
      </c>
      <c r="V91" s="34" t="s">
        <v>71</v>
      </c>
      <c r="W91" s="37">
        <v>42299</v>
      </c>
      <c r="X91" s="34" t="s">
        <v>64</v>
      </c>
      <c r="Y91" s="37">
        <v>42286</v>
      </c>
      <c r="Z91" s="34"/>
      <c r="AA91" s="34"/>
      <c r="AB91" s="34"/>
      <c r="AC91" s="34" t="s">
        <v>183</v>
      </c>
      <c r="AD91" s="34">
        <v>87944971018130</v>
      </c>
      <c r="AE91" s="34" t="s">
        <v>465</v>
      </c>
      <c r="AF91" s="34" t="s">
        <v>912</v>
      </c>
    </row>
    <row r="92" spans="1:32" x14ac:dyDescent="0.2">
      <c r="A92" s="34">
        <v>10019499</v>
      </c>
      <c r="B92" s="34" t="s">
        <v>25</v>
      </c>
      <c r="C92" s="34" t="s">
        <v>78</v>
      </c>
      <c r="D92" s="37">
        <v>42286</v>
      </c>
      <c r="E92" s="34">
        <v>92943857</v>
      </c>
      <c r="F92" s="37">
        <v>41851</v>
      </c>
      <c r="G92" s="34"/>
      <c r="H92" s="34">
        <v>1201766</v>
      </c>
      <c r="I92" s="34" t="s">
        <v>143</v>
      </c>
      <c r="J92" s="34">
        <v>1157939</v>
      </c>
      <c r="K92" s="34" t="s">
        <v>143</v>
      </c>
      <c r="L92" s="34">
        <v>1201766</v>
      </c>
      <c r="M92" s="34" t="s">
        <v>143</v>
      </c>
      <c r="N92" s="34">
        <v>53979</v>
      </c>
      <c r="O92" s="34" t="s">
        <v>181</v>
      </c>
      <c r="P92" s="34" t="s">
        <v>97</v>
      </c>
      <c r="Q92" s="34" t="s">
        <v>98</v>
      </c>
      <c r="R92" s="34">
        <v>3684.66</v>
      </c>
      <c r="S92" s="34" t="s">
        <v>182</v>
      </c>
      <c r="T92" s="34" t="s">
        <v>63</v>
      </c>
      <c r="U92" s="34" t="s">
        <v>81</v>
      </c>
      <c r="V92" s="34" t="s">
        <v>71</v>
      </c>
      <c r="W92" s="37">
        <v>42299</v>
      </c>
      <c r="X92" s="34" t="s">
        <v>64</v>
      </c>
      <c r="Y92" s="37">
        <v>42286</v>
      </c>
      <c r="Z92" s="34"/>
      <c r="AA92" s="34"/>
      <c r="AB92" s="34"/>
      <c r="AC92" s="34" t="s">
        <v>183</v>
      </c>
      <c r="AD92" s="34">
        <v>87944970986997</v>
      </c>
      <c r="AE92" s="34" t="s">
        <v>465</v>
      </c>
      <c r="AF92" s="34" t="s">
        <v>913</v>
      </c>
    </row>
    <row r="93" spans="1:32" x14ac:dyDescent="0.2">
      <c r="A93" s="34">
        <v>10019500</v>
      </c>
      <c r="B93" s="34" t="s">
        <v>25</v>
      </c>
      <c r="C93" s="34" t="s">
        <v>78</v>
      </c>
      <c r="D93" s="37">
        <v>42286</v>
      </c>
      <c r="E93" s="34">
        <v>92932389</v>
      </c>
      <c r="F93" s="37">
        <v>41841</v>
      </c>
      <c r="G93" s="34"/>
      <c r="H93" s="34">
        <v>1201766</v>
      </c>
      <c r="I93" s="34" t="s">
        <v>143</v>
      </c>
      <c r="J93" s="34">
        <v>1157939</v>
      </c>
      <c r="K93" s="34" t="s">
        <v>143</v>
      </c>
      <c r="L93" s="34">
        <v>1201766</v>
      </c>
      <c r="M93" s="34" t="s">
        <v>143</v>
      </c>
      <c r="N93" s="34">
        <v>53741</v>
      </c>
      <c r="O93" s="34" t="s">
        <v>181</v>
      </c>
      <c r="P93" s="34" t="s">
        <v>97</v>
      </c>
      <c r="Q93" s="34" t="s">
        <v>98</v>
      </c>
      <c r="R93" s="34">
        <v>2763.2</v>
      </c>
      <c r="S93" s="34" t="s">
        <v>182</v>
      </c>
      <c r="T93" s="34" t="s">
        <v>63</v>
      </c>
      <c r="U93" s="34"/>
      <c r="V93" s="34"/>
      <c r="W93" s="34"/>
      <c r="X93" s="34" t="s">
        <v>64</v>
      </c>
      <c r="Y93" s="37">
        <v>42286</v>
      </c>
      <c r="Z93" s="34"/>
      <c r="AA93" s="34"/>
      <c r="AB93" s="34"/>
      <c r="AC93" s="34" t="s">
        <v>183</v>
      </c>
      <c r="AD93" s="34">
        <v>87944970949831</v>
      </c>
      <c r="AE93" s="34"/>
      <c r="AF93" s="34"/>
    </row>
    <row r="94" spans="1:32" x14ac:dyDescent="0.2">
      <c r="A94" s="34">
        <v>10019501</v>
      </c>
      <c r="B94" s="34" t="s">
        <v>24</v>
      </c>
      <c r="C94" s="34" t="s">
        <v>78</v>
      </c>
      <c r="D94" s="37">
        <v>42286</v>
      </c>
      <c r="E94" s="34">
        <v>92929174</v>
      </c>
      <c r="F94" s="37">
        <v>41837</v>
      </c>
      <c r="G94" s="34"/>
      <c r="H94" s="34">
        <v>1201766</v>
      </c>
      <c r="I94" s="34" t="s">
        <v>143</v>
      </c>
      <c r="J94" s="34">
        <v>1157939</v>
      </c>
      <c r="K94" s="34" t="s">
        <v>143</v>
      </c>
      <c r="L94" s="34">
        <v>1201766</v>
      </c>
      <c r="M94" s="34" t="s">
        <v>143</v>
      </c>
      <c r="N94" s="34">
        <v>53672</v>
      </c>
      <c r="O94" s="34" t="s">
        <v>181</v>
      </c>
      <c r="P94" s="34" t="s">
        <v>97</v>
      </c>
      <c r="Q94" s="34" t="s">
        <v>98</v>
      </c>
      <c r="R94" s="34">
        <v>2053.1999999999998</v>
      </c>
      <c r="S94" s="34" t="s">
        <v>182</v>
      </c>
      <c r="T94" s="34" t="s">
        <v>63</v>
      </c>
      <c r="U94" s="34" t="s">
        <v>81</v>
      </c>
      <c r="V94" s="34" t="s">
        <v>71</v>
      </c>
      <c r="W94" s="37">
        <v>42299</v>
      </c>
      <c r="X94" s="34" t="s">
        <v>64</v>
      </c>
      <c r="Y94" s="37">
        <v>42286</v>
      </c>
      <c r="Z94" s="34"/>
      <c r="AA94" s="34"/>
      <c r="AB94" s="34"/>
      <c r="AC94" s="34" t="s">
        <v>183</v>
      </c>
      <c r="AD94" s="34">
        <v>87944970942351</v>
      </c>
      <c r="AE94" s="34" t="s">
        <v>465</v>
      </c>
      <c r="AF94" s="34" t="s">
        <v>914</v>
      </c>
    </row>
    <row r="95" spans="1:32" x14ac:dyDescent="0.2">
      <c r="A95" s="34">
        <v>10019502</v>
      </c>
      <c r="B95" s="34" t="s">
        <v>24</v>
      </c>
      <c r="C95" s="34" t="s">
        <v>78</v>
      </c>
      <c r="D95" s="37">
        <v>42286</v>
      </c>
      <c r="E95" s="34">
        <v>92917290</v>
      </c>
      <c r="F95" s="37">
        <v>41828</v>
      </c>
      <c r="G95" s="34"/>
      <c r="H95" s="34">
        <v>1201766</v>
      </c>
      <c r="I95" s="34" t="s">
        <v>143</v>
      </c>
      <c r="J95" s="34">
        <v>1157939</v>
      </c>
      <c r="K95" s="34" t="s">
        <v>143</v>
      </c>
      <c r="L95" s="34">
        <v>1201766</v>
      </c>
      <c r="M95" s="34" t="s">
        <v>143</v>
      </c>
      <c r="N95" s="34">
        <v>53491</v>
      </c>
      <c r="O95" s="34" t="s">
        <v>181</v>
      </c>
      <c r="P95" s="34" t="s">
        <v>97</v>
      </c>
      <c r="Q95" s="34" t="s">
        <v>98</v>
      </c>
      <c r="R95" s="34">
        <v>684.4</v>
      </c>
      <c r="S95" s="34" t="s">
        <v>182</v>
      </c>
      <c r="T95" s="34" t="s">
        <v>63</v>
      </c>
      <c r="U95" s="34" t="s">
        <v>81</v>
      </c>
      <c r="V95" s="34" t="s">
        <v>71</v>
      </c>
      <c r="W95" s="37">
        <v>42299</v>
      </c>
      <c r="X95" s="34" t="s">
        <v>64</v>
      </c>
      <c r="Y95" s="37">
        <v>42286</v>
      </c>
      <c r="Z95" s="34"/>
      <c r="AA95" s="34"/>
      <c r="AB95" s="34"/>
      <c r="AC95" s="34" t="s">
        <v>183</v>
      </c>
      <c r="AD95" s="34">
        <v>87944970906018</v>
      </c>
      <c r="AE95" s="34" t="s">
        <v>465</v>
      </c>
      <c r="AF95" s="34" t="s">
        <v>915</v>
      </c>
    </row>
    <row r="96" spans="1:32" x14ac:dyDescent="0.2">
      <c r="A96" s="34">
        <v>10019503</v>
      </c>
      <c r="B96" s="34" t="s">
        <v>25</v>
      </c>
      <c r="C96" s="34" t="s">
        <v>78</v>
      </c>
      <c r="D96" s="37">
        <v>42286</v>
      </c>
      <c r="E96" s="34">
        <v>92917290</v>
      </c>
      <c r="F96" s="37">
        <v>41828</v>
      </c>
      <c r="G96" s="34"/>
      <c r="H96" s="34">
        <v>1201766</v>
      </c>
      <c r="I96" s="34" t="s">
        <v>143</v>
      </c>
      <c r="J96" s="34">
        <v>1157939</v>
      </c>
      <c r="K96" s="34" t="s">
        <v>143</v>
      </c>
      <c r="L96" s="34">
        <v>1201766</v>
      </c>
      <c r="M96" s="34" t="s">
        <v>143</v>
      </c>
      <c r="N96" s="34">
        <v>53491</v>
      </c>
      <c r="O96" s="34" t="s">
        <v>181</v>
      </c>
      <c r="P96" s="34" t="s">
        <v>97</v>
      </c>
      <c r="Q96" s="34" t="s">
        <v>98</v>
      </c>
      <c r="R96" s="34">
        <v>1506.4</v>
      </c>
      <c r="S96" s="34" t="s">
        <v>182</v>
      </c>
      <c r="T96" s="34" t="s">
        <v>63</v>
      </c>
      <c r="U96" s="34" t="s">
        <v>81</v>
      </c>
      <c r="V96" s="34" t="s">
        <v>71</v>
      </c>
      <c r="W96" s="37">
        <v>42299</v>
      </c>
      <c r="X96" s="34" t="s">
        <v>64</v>
      </c>
      <c r="Y96" s="37">
        <v>42286</v>
      </c>
      <c r="Z96" s="34"/>
      <c r="AA96" s="34"/>
      <c r="AB96" s="34"/>
      <c r="AC96" s="34" t="s">
        <v>183</v>
      </c>
      <c r="AD96" s="34">
        <v>87944970906018</v>
      </c>
      <c r="AE96" s="34" t="s">
        <v>465</v>
      </c>
      <c r="AF96" s="34" t="s">
        <v>916</v>
      </c>
    </row>
    <row r="97" spans="1:32" x14ac:dyDescent="0.2">
      <c r="A97" s="34">
        <v>10019504</v>
      </c>
      <c r="B97" s="34" t="s">
        <v>25</v>
      </c>
      <c r="C97" s="34" t="s">
        <v>78</v>
      </c>
      <c r="D97" s="37">
        <v>42286</v>
      </c>
      <c r="E97" s="34">
        <v>92891572</v>
      </c>
      <c r="F97" s="37">
        <v>41807</v>
      </c>
      <c r="G97" s="34"/>
      <c r="H97" s="34">
        <v>1201766</v>
      </c>
      <c r="I97" s="34" t="s">
        <v>143</v>
      </c>
      <c r="J97" s="34">
        <v>1157939</v>
      </c>
      <c r="K97" s="34" t="s">
        <v>143</v>
      </c>
      <c r="L97" s="34">
        <v>1201766</v>
      </c>
      <c r="M97" s="34" t="s">
        <v>143</v>
      </c>
      <c r="N97" s="34">
        <v>53151</v>
      </c>
      <c r="O97" s="34" t="s">
        <v>181</v>
      </c>
      <c r="P97" s="34" t="s">
        <v>97</v>
      </c>
      <c r="Q97" s="34" t="s">
        <v>98</v>
      </c>
      <c r="R97" s="34">
        <v>4157.6400000000003</v>
      </c>
      <c r="S97" s="34" t="s">
        <v>182</v>
      </c>
      <c r="T97" s="34" t="s">
        <v>63</v>
      </c>
      <c r="U97" s="34" t="s">
        <v>81</v>
      </c>
      <c r="V97" s="34" t="s">
        <v>71</v>
      </c>
      <c r="W97" s="37">
        <v>42299</v>
      </c>
      <c r="X97" s="34" t="s">
        <v>64</v>
      </c>
      <c r="Y97" s="37">
        <v>42286</v>
      </c>
      <c r="Z97" s="34"/>
      <c r="AA97" s="34"/>
      <c r="AB97" s="34"/>
      <c r="AC97" s="34" t="s">
        <v>183</v>
      </c>
      <c r="AD97" s="34">
        <v>87944970851622</v>
      </c>
      <c r="AE97" s="34" t="s">
        <v>465</v>
      </c>
      <c r="AF97" s="34" t="s">
        <v>917</v>
      </c>
    </row>
    <row r="98" spans="1:32" x14ac:dyDescent="0.2">
      <c r="A98" s="34">
        <v>10019505</v>
      </c>
      <c r="B98" s="34" t="s">
        <v>25</v>
      </c>
      <c r="C98" s="34" t="s">
        <v>78</v>
      </c>
      <c r="D98" s="37">
        <v>42286</v>
      </c>
      <c r="E98" s="34">
        <v>92774930</v>
      </c>
      <c r="F98" s="37">
        <v>41695</v>
      </c>
      <c r="G98" s="34"/>
      <c r="H98" s="34">
        <v>1201766</v>
      </c>
      <c r="I98" s="34" t="s">
        <v>143</v>
      </c>
      <c r="J98" s="34">
        <v>1157939</v>
      </c>
      <c r="K98" s="34" t="s">
        <v>143</v>
      </c>
      <c r="L98" s="34">
        <v>1201766</v>
      </c>
      <c r="M98" s="34" t="s">
        <v>143</v>
      </c>
      <c r="N98" s="34">
        <v>51366</v>
      </c>
      <c r="O98" s="34" t="s">
        <v>181</v>
      </c>
      <c r="P98" s="34" t="s">
        <v>97</v>
      </c>
      <c r="Q98" s="34" t="s">
        <v>98</v>
      </c>
      <c r="R98" s="34">
        <v>3906.96</v>
      </c>
      <c r="S98" s="34" t="s">
        <v>182</v>
      </c>
      <c r="T98" s="34" t="s">
        <v>63</v>
      </c>
      <c r="U98" s="34" t="s">
        <v>81</v>
      </c>
      <c r="V98" s="34" t="s">
        <v>71</v>
      </c>
      <c r="W98" s="37">
        <v>42299</v>
      </c>
      <c r="X98" s="34" t="s">
        <v>64</v>
      </c>
      <c r="Y98" s="37">
        <v>42286</v>
      </c>
      <c r="Z98" s="34"/>
      <c r="AA98" s="34"/>
      <c r="AB98" s="34"/>
      <c r="AC98" s="34" t="s">
        <v>183</v>
      </c>
      <c r="AD98" s="34">
        <v>87944970441342</v>
      </c>
      <c r="AE98" s="34" t="s">
        <v>465</v>
      </c>
      <c r="AF98" s="34" t="s">
        <v>918</v>
      </c>
    </row>
    <row r="99" spans="1:32" x14ac:dyDescent="0.2">
      <c r="A99" s="34">
        <v>10019506</v>
      </c>
      <c r="B99" s="34" t="s">
        <v>25</v>
      </c>
      <c r="C99" s="34" t="s">
        <v>78</v>
      </c>
      <c r="D99" s="37">
        <v>42286</v>
      </c>
      <c r="E99" s="34">
        <v>92884270</v>
      </c>
      <c r="F99" s="37">
        <v>41799</v>
      </c>
      <c r="G99" s="34"/>
      <c r="H99" s="34">
        <v>1201766</v>
      </c>
      <c r="I99" s="34" t="s">
        <v>143</v>
      </c>
      <c r="J99" s="34">
        <v>1157939</v>
      </c>
      <c r="K99" s="34" t="s">
        <v>143</v>
      </c>
      <c r="L99" s="34">
        <v>1201766</v>
      </c>
      <c r="M99" s="34" t="s">
        <v>143</v>
      </c>
      <c r="N99" s="34">
        <v>52988</v>
      </c>
      <c r="O99" s="34" t="s">
        <v>181</v>
      </c>
      <c r="P99" s="34" t="s">
        <v>97</v>
      </c>
      <c r="Q99" s="34" t="s">
        <v>98</v>
      </c>
      <c r="R99" s="34">
        <v>501.9</v>
      </c>
      <c r="S99" s="34" t="s">
        <v>182</v>
      </c>
      <c r="T99" s="34" t="s">
        <v>63</v>
      </c>
      <c r="U99" s="34" t="s">
        <v>81</v>
      </c>
      <c r="V99" s="34" t="s">
        <v>71</v>
      </c>
      <c r="W99" s="37">
        <v>42299</v>
      </c>
      <c r="X99" s="34" t="s">
        <v>64</v>
      </c>
      <c r="Y99" s="37">
        <v>42286</v>
      </c>
      <c r="Z99" s="34"/>
      <c r="AA99" s="34"/>
      <c r="AB99" s="34"/>
      <c r="AC99" s="34" t="s">
        <v>183</v>
      </c>
      <c r="AD99" s="34">
        <v>87944970825975</v>
      </c>
      <c r="AE99" s="34" t="s">
        <v>465</v>
      </c>
      <c r="AF99" s="34" t="s">
        <v>919</v>
      </c>
    </row>
    <row r="100" spans="1:32" x14ac:dyDescent="0.2">
      <c r="A100" s="34">
        <v>10019507</v>
      </c>
      <c r="B100" s="34" t="s">
        <v>25</v>
      </c>
      <c r="C100" s="34" t="s">
        <v>78</v>
      </c>
      <c r="D100" s="37">
        <v>42286</v>
      </c>
      <c r="E100" s="34">
        <v>92736888</v>
      </c>
      <c r="F100" s="37">
        <v>41662</v>
      </c>
      <c r="G100" s="34"/>
      <c r="H100" s="34">
        <v>1201766</v>
      </c>
      <c r="I100" s="34" t="s">
        <v>143</v>
      </c>
      <c r="J100" s="34">
        <v>1157939</v>
      </c>
      <c r="K100" s="34" t="s">
        <v>143</v>
      </c>
      <c r="L100" s="34">
        <v>1201766</v>
      </c>
      <c r="M100" s="34" t="s">
        <v>143</v>
      </c>
      <c r="N100" s="34">
        <v>50770</v>
      </c>
      <c r="O100" s="34" t="s">
        <v>181</v>
      </c>
      <c r="P100" s="34" t="s">
        <v>97</v>
      </c>
      <c r="Q100" s="34" t="s">
        <v>98</v>
      </c>
      <c r="R100" s="34">
        <v>600</v>
      </c>
      <c r="S100" s="34" t="s">
        <v>182</v>
      </c>
      <c r="T100" s="34" t="s">
        <v>63</v>
      </c>
      <c r="U100" s="34" t="s">
        <v>81</v>
      </c>
      <c r="V100" s="34" t="s">
        <v>71</v>
      </c>
      <c r="W100" s="37">
        <v>42299</v>
      </c>
      <c r="X100" s="34" t="s">
        <v>64</v>
      </c>
      <c r="Y100" s="37">
        <v>42286</v>
      </c>
      <c r="Z100" s="34"/>
      <c r="AA100" s="34"/>
      <c r="AB100" s="34"/>
      <c r="AC100" s="34" t="s">
        <v>183</v>
      </c>
      <c r="AD100" s="34">
        <v>87944970303251</v>
      </c>
      <c r="AE100" s="34" t="s">
        <v>465</v>
      </c>
      <c r="AF100" s="34" t="s">
        <v>914</v>
      </c>
    </row>
    <row r="101" spans="1:32" x14ac:dyDescent="0.2">
      <c r="A101" s="34">
        <v>10019508</v>
      </c>
      <c r="B101" s="34" t="s">
        <v>25</v>
      </c>
      <c r="C101" s="34" t="s">
        <v>78</v>
      </c>
      <c r="D101" s="37">
        <v>42286</v>
      </c>
      <c r="E101" s="34">
        <v>92723918</v>
      </c>
      <c r="F101" s="37">
        <v>41652</v>
      </c>
      <c r="G101" s="34"/>
      <c r="H101" s="34">
        <v>1201766</v>
      </c>
      <c r="I101" s="34" t="s">
        <v>143</v>
      </c>
      <c r="J101" s="34">
        <v>1157939</v>
      </c>
      <c r="K101" s="34" t="s">
        <v>143</v>
      </c>
      <c r="L101" s="34">
        <v>1201766</v>
      </c>
      <c r="M101" s="34" t="s">
        <v>143</v>
      </c>
      <c r="N101" s="34">
        <v>50474</v>
      </c>
      <c r="O101" s="34" t="s">
        <v>181</v>
      </c>
      <c r="P101" s="34" t="s">
        <v>97</v>
      </c>
      <c r="Q101" s="34" t="s">
        <v>98</v>
      </c>
      <c r="R101" s="34">
        <v>4607.72</v>
      </c>
      <c r="S101" s="34" t="s">
        <v>182</v>
      </c>
      <c r="T101" s="34" t="s">
        <v>63</v>
      </c>
      <c r="U101" s="34" t="s">
        <v>81</v>
      </c>
      <c r="V101" s="34" t="s">
        <v>71</v>
      </c>
      <c r="W101" s="37">
        <v>42299</v>
      </c>
      <c r="X101" s="34" t="s">
        <v>64</v>
      </c>
      <c r="Y101" s="37">
        <v>42286</v>
      </c>
      <c r="Z101" s="34"/>
      <c r="AA101" s="34"/>
      <c r="AB101" s="34"/>
      <c r="AC101" s="34" t="s">
        <v>183</v>
      </c>
      <c r="AD101" s="34">
        <v>87944970250241</v>
      </c>
      <c r="AE101" s="34" t="s">
        <v>465</v>
      </c>
      <c r="AF101" s="34" t="s">
        <v>920</v>
      </c>
    </row>
    <row r="102" spans="1:32" x14ac:dyDescent="0.2">
      <c r="A102" s="34">
        <v>10019509</v>
      </c>
      <c r="B102" s="34" t="s">
        <v>18</v>
      </c>
      <c r="C102" s="34" t="s">
        <v>573</v>
      </c>
      <c r="D102" s="37">
        <v>42289</v>
      </c>
      <c r="E102" s="34">
        <v>93544070</v>
      </c>
      <c r="F102" s="37">
        <v>42279</v>
      </c>
      <c r="G102" s="34"/>
      <c r="H102" s="34">
        <v>1201047</v>
      </c>
      <c r="I102" s="34" t="s">
        <v>79</v>
      </c>
      <c r="J102" s="34">
        <v>1051549</v>
      </c>
      <c r="K102" s="34" t="s">
        <v>85</v>
      </c>
      <c r="L102" s="34">
        <v>1171089</v>
      </c>
      <c r="M102" s="34" t="s">
        <v>75</v>
      </c>
      <c r="N102" s="34">
        <v>12909783</v>
      </c>
      <c r="O102" s="34" t="s">
        <v>181</v>
      </c>
      <c r="P102" s="34" t="s">
        <v>91</v>
      </c>
      <c r="Q102" s="34" t="s">
        <v>92</v>
      </c>
      <c r="R102" s="34">
        <v>508.69</v>
      </c>
      <c r="S102" s="34" t="s">
        <v>182</v>
      </c>
      <c r="T102" s="34" t="s">
        <v>63</v>
      </c>
      <c r="U102" s="34" t="s">
        <v>70</v>
      </c>
      <c r="V102" s="34" t="s">
        <v>76</v>
      </c>
      <c r="W102" s="37">
        <v>42290</v>
      </c>
      <c r="X102" s="34" t="s">
        <v>64</v>
      </c>
      <c r="Y102" s="37">
        <v>42289</v>
      </c>
      <c r="Z102" s="34"/>
      <c r="AA102" s="34"/>
      <c r="AB102" s="34"/>
      <c r="AC102" s="34" t="s">
        <v>183</v>
      </c>
      <c r="AD102" s="34" t="s">
        <v>864</v>
      </c>
      <c r="AE102" s="34" t="s">
        <v>77</v>
      </c>
      <c r="AF102" s="34" t="s">
        <v>345</v>
      </c>
    </row>
    <row r="103" spans="1:32" x14ac:dyDescent="0.2">
      <c r="A103" s="34">
        <v>10019510</v>
      </c>
      <c r="B103" s="34" t="s">
        <v>25</v>
      </c>
      <c r="C103" s="34" t="s">
        <v>78</v>
      </c>
      <c r="D103" s="37">
        <v>42289</v>
      </c>
      <c r="E103" s="34">
        <v>92679781</v>
      </c>
      <c r="F103" s="37">
        <v>41610</v>
      </c>
      <c r="G103" s="34"/>
      <c r="H103" s="34">
        <v>1201766</v>
      </c>
      <c r="I103" s="34" t="s">
        <v>143</v>
      </c>
      <c r="J103" s="34">
        <v>1157939</v>
      </c>
      <c r="K103" s="34" t="s">
        <v>143</v>
      </c>
      <c r="L103" s="34">
        <v>1201766</v>
      </c>
      <c r="M103" s="34" t="s">
        <v>143</v>
      </c>
      <c r="N103" s="34">
        <v>49881</v>
      </c>
      <c r="O103" s="34" t="s">
        <v>181</v>
      </c>
      <c r="P103" s="34" t="s">
        <v>97</v>
      </c>
      <c r="Q103" s="34" t="s">
        <v>98</v>
      </c>
      <c r="R103" s="34">
        <v>3360.6</v>
      </c>
      <c r="S103" s="34" t="s">
        <v>182</v>
      </c>
      <c r="T103" s="34" t="s">
        <v>63</v>
      </c>
      <c r="U103" s="34" t="s">
        <v>81</v>
      </c>
      <c r="V103" s="34" t="s">
        <v>71</v>
      </c>
      <c r="W103" s="37">
        <v>42299</v>
      </c>
      <c r="X103" s="34" t="s">
        <v>64</v>
      </c>
      <c r="Y103" s="37">
        <v>42289</v>
      </c>
      <c r="Z103" s="34"/>
      <c r="AA103" s="34"/>
      <c r="AB103" s="34"/>
      <c r="AC103" s="34" t="s">
        <v>183</v>
      </c>
      <c r="AD103" s="34">
        <v>87944970105558</v>
      </c>
      <c r="AE103" s="34" t="s">
        <v>465</v>
      </c>
      <c r="AF103" s="34" t="s">
        <v>921</v>
      </c>
    </row>
    <row r="104" spans="1:32" x14ac:dyDescent="0.2">
      <c r="A104" s="34">
        <v>10019511</v>
      </c>
      <c r="B104" s="34" t="s">
        <v>18</v>
      </c>
      <c r="C104" s="34" t="s">
        <v>573</v>
      </c>
      <c r="D104" s="37">
        <v>42289</v>
      </c>
      <c r="E104" s="34">
        <v>93544347</v>
      </c>
      <c r="F104" s="37">
        <v>42279</v>
      </c>
      <c r="G104" s="34"/>
      <c r="H104" s="34">
        <v>1201120</v>
      </c>
      <c r="I104" s="34" t="s">
        <v>117</v>
      </c>
      <c r="J104" s="34">
        <v>1307782</v>
      </c>
      <c r="K104" s="34" t="s">
        <v>119</v>
      </c>
      <c r="L104" s="34">
        <v>1171090</v>
      </c>
      <c r="M104" s="34" t="s">
        <v>118</v>
      </c>
      <c r="N104" s="34" t="s">
        <v>922</v>
      </c>
      <c r="O104" s="34" t="s">
        <v>181</v>
      </c>
      <c r="P104" s="34" t="s">
        <v>97</v>
      </c>
      <c r="Q104" s="34" t="s">
        <v>98</v>
      </c>
      <c r="R104" s="34">
        <v>214.2</v>
      </c>
      <c r="S104" s="34" t="s">
        <v>182</v>
      </c>
      <c r="T104" s="34" t="s">
        <v>69</v>
      </c>
      <c r="U104" s="34" t="s">
        <v>70</v>
      </c>
      <c r="V104" s="34" t="s">
        <v>76</v>
      </c>
      <c r="W104" s="37">
        <v>42290</v>
      </c>
      <c r="X104" s="34" t="s">
        <v>64</v>
      </c>
      <c r="Y104" s="37">
        <v>42289</v>
      </c>
      <c r="Z104" s="34" t="s">
        <v>100</v>
      </c>
      <c r="AA104" s="34">
        <v>62010585</v>
      </c>
      <c r="AB104" s="37">
        <v>42304</v>
      </c>
      <c r="AC104" s="34" t="s">
        <v>183</v>
      </c>
      <c r="AD104" s="34" t="s">
        <v>923</v>
      </c>
      <c r="AE104" s="34" t="s">
        <v>77</v>
      </c>
      <c r="AF104" s="34" t="s">
        <v>658</v>
      </c>
    </row>
    <row r="105" spans="1:32" x14ac:dyDescent="0.2">
      <c r="A105" s="34">
        <v>10019512</v>
      </c>
      <c r="B105" s="34" t="s">
        <v>25</v>
      </c>
      <c r="C105" s="34" t="s">
        <v>78</v>
      </c>
      <c r="D105" s="37">
        <v>42289</v>
      </c>
      <c r="E105" s="34">
        <v>92700468</v>
      </c>
      <c r="F105" s="37">
        <v>41627</v>
      </c>
      <c r="G105" s="34"/>
      <c r="H105" s="34">
        <v>1201766</v>
      </c>
      <c r="I105" s="34" t="s">
        <v>143</v>
      </c>
      <c r="J105" s="34">
        <v>1157939</v>
      </c>
      <c r="K105" s="34" t="s">
        <v>143</v>
      </c>
      <c r="L105" s="34">
        <v>1201766</v>
      </c>
      <c r="M105" s="34" t="s">
        <v>143</v>
      </c>
      <c r="N105" s="34">
        <v>50231</v>
      </c>
      <c r="O105" s="34" t="s">
        <v>181</v>
      </c>
      <c r="P105" s="34" t="s">
        <v>97</v>
      </c>
      <c r="Q105" s="34" t="s">
        <v>98</v>
      </c>
      <c r="R105" s="34">
        <v>4032.72</v>
      </c>
      <c r="S105" s="34" t="s">
        <v>182</v>
      </c>
      <c r="T105" s="34" t="s">
        <v>63</v>
      </c>
      <c r="U105" s="34" t="s">
        <v>81</v>
      </c>
      <c r="V105" s="34" t="s">
        <v>71</v>
      </c>
      <c r="W105" s="37">
        <v>42299</v>
      </c>
      <c r="X105" s="34" t="s">
        <v>64</v>
      </c>
      <c r="Y105" s="37">
        <v>42289</v>
      </c>
      <c r="Z105" s="34"/>
      <c r="AA105" s="34"/>
      <c r="AB105" s="34"/>
      <c r="AC105" s="34" t="s">
        <v>183</v>
      </c>
      <c r="AD105" s="34">
        <v>87944970180913</v>
      </c>
      <c r="AE105" s="34" t="s">
        <v>465</v>
      </c>
      <c r="AF105" s="34" t="s">
        <v>913</v>
      </c>
    </row>
    <row r="106" spans="1:32" x14ac:dyDescent="0.2">
      <c r="A106" s="34">
        <v>10019513</v>
      </c>
      <c r="B106" s="34" t="s">
        <v>25</v>
      </c>
      <c r="C106" s="34" t="s">
        <v>78</v>
      </c>
      <c r="D106" s="37">
        <v>42289</v>
      </c>
      <c r="E106" s="34">
        <v>92633311</v>
      </c>
      <c r="F106" s="37">
        <v>41562</v>
      </c>
      <c r="G106" s="34"/>
      <c r="H106" s="34">
        <v>1201766</v>
      </c>
      <c r="I106" s="34" t="s">
        <v>143</v>
      </c>
      <c r="J106" s="34">
        <v>1157939</v>
      </c>
      <c r="K106" s="34" t="s">
        <v>143</v>
      </c>
      <c r="L106" s="34">
        <v>1201766</v>
      </c>
      <c r="M106" s="34" t="s">
        <v>143</v>
      </c>
      <c r="N106" s="34">
        <v>49064</v>
      </c>
      <c r="O106" s="34" t="s">
        <v>181</v>
      </c>
      <c r="P106" s="34" t="s">
        <v>97</v>
      </c>
      <c r="Q106" s="34" t="s">
        <v>98</v>
      </c>
      <c r="R106" s="34">
        <v>513.75</v>
      </c>
      <c r="S106" s="34" t="s">
        <v>182</v>
      </c>
      <c r="T106" s="34" t="s">
        <v>63</v>
      </c>
      <c r="U106" s="34" t="s">
        <v>81</v>
      </c>
      <c r="V106" s="34" t="s">
        <v>71</v>
      </c>
      <c r="W106" s="37">
        <v>42299</v>
      </c>
      <c r="X106" s="34" t="s">
        <v>64</v>
      </c>
      <c r="Y106" s="37">
        <v>42289</v>
      </c>
      <c r="Z106" s="34"/>
      <c r="AA106" s="34"/>
      <c r="AB106" s="34"/>
      <c r="AC106" s="34" t="s">
        <v>183</v>
      </c>
      <c r="AD106" s="34">
        <v>87944980872709</v>
      </c>
      <c r="AE106" s="34" t="s">
        <v>465</v>
      </c>
      <c r="AF106" s="34" t="s">
        <v>924</v>
      </c>
    </row>
    <row r="107" spans="1:32" x14ac:dyDescent="0.2">
      <c r="A107" s="34">
        <v>10019514</v>
      </c>
      <c r="B107" s="34" t="s">
        <v>25</v>
      </c>
      <c r="C107" s="34" t="s">
        <v>78</v>
      </c>
      <c r="D107" s="37">
        <v>42289</v>
      </c>
      <c r="E107" s="34">
        <v>92633310</v>
      </c>
      <c r="F107" s="37">
        <v>41562</v>
      </c>
      <c r="G107" s="34"/>
      <c r="H107" s="34">
        <v>1201766</v>
      </c>
      <c r="I107" s="34" t="s">
        <v>143</v>
      </c>
      <c r="J107" s="34">
        <v>1157939</v>
      </c>
      <c r="K107" s="34" t="s">
        <v>143</v>
      </c>
      <c r="L107" s="34">
        <v>1201766</v>
      </c>
      <c r="M107" s="34" t="s">
        <v>143</v>
      </c>
      <c r="N107" s="34">
        <v>48798</v>
      </c>
      <c r="O107" s="34" t="s">
        <v>181</v>
      </c>
      <c r="P107" s="34" t="s">
        <v>97</v>
      </c>
      <c r="Q107" s="34" t="s">
        <v>98</v>
      </c>
      <c r="R107" s="34">
        <v>411</v>
      </c>
      <c r="S107" s="34" t="s">
        <v>182</v>
      </c>
      <c r="T107" s="34" t="s">
        <v>63</v>
      </c>
      <c r="U107" s="34" t="s">
        <v>81</v>
      </c>
      <c r="V107" s="34" t="s">
        <v>71</v>
      </c>
      <c r="W107" s="37">
        <v>42299</v>
      </c>
      <c r="X107" s="34" t="s">
        <v>64</v>
      </c>
      <c r="Y107" s="37">
        <v>42289</v>
      </c>
      <c r="Z107" s="34"/>
      <c r="AA107" s="34"/>
      <c r="AB107" s="34"/>
      <c r="AC107" s="34" t="s">
        <v>183</v>
      </c>
      <c r="AD107" s="34">
        <v>87944980870279</v>
      </c>
      <c r="AE107" s="34" t="s">
        <v>465</v>
      </c>
      <c r="AF107" s="34" t="s">
        <v>925</v>
      </c>
    </row>
    <row r="108" spans="1:32" x14ac:dyDescent="0.2">
      <c r="A108" s="34">
        <v>10019515</v>
      </c>
      <c r="B108" s="34" t="s">
        <v>25</v>
      </c>
      <c r="C108" s="34" t="s">
        <v>78</v>
      </c>
      <c r="D108" s="37">
        <v>42289</v>
      </c>
      <c r="E108" s="34">
        <v>92671038</v>
      </c>
      <c r="F108" s="37">
        <v>41599</v>
      </c>
      <c r="G108" s="34"/>
      <c r="H108" s="34">
        <v>1201766</v>
      </c>
      <c r="I108" s="34" t="s">
        <v>143</v>
      </c>
      <c r="J108" s="34">
        <v>1157939</v>
      </c>
      <c r="K108" s="34" t="s">
        <v>143</v>
      </c>
      <c r="L108" s="34">
        <v>1201766</v>
      </c>
      <c r="M108" s="34" t="s">
        <v>143</v>
      </c>
      <c r="N108" s="34">
        <v>49770</v>
      </c>
      <c r="O108" s="34" t="s">
        <v>181</v>
      </c>
      <c r="P108" s="34" t="s">
        <v>97</v>
      </c>
      <c r="Q108" s="34" t="s">
        <v>98</v>
      </c>
      <c r="R108" s="34">
        <v>411</v>
      </c>
      <c r="S108" s="34" t="s">
        <v>182</v>
      </c>
      <c r="T108" s="34" t="s">
        <v>63</v>
      </c>
      <c r="U108" s="34" t="s">
        <v>81</v>
      </c>
      <c r="V108" s="34" t="s">
        <v>71</v>
      </c>
      <c r="W108" s="37">
        <v>42299</v>
      </c>
      <c r="X108" s="34" t="s">
        <v>64</v>
      </c>
      <c r="Y108" s="37">
        <v>42289</v>
      </c>
      <c r="Z108" s="34"/>
      <c r="AA108" s="34"/>
      <c r="AB108" s="34"/>
      <c r="AC108" s="34" t="s">
        <v>183</v>
      </c>
      <c r="AD108" s="34">
        <v>87944970078975</v>
      </c>
      <c r="AE108" s="34" t="s">
        <v>465</v>
      </c>
      <c r="AF108" s="34" t="s">
        <v>925</v>
      </c>
    </row>
    <row r="109" spans="1:32" x14ac:dyDescent="0.2">
      <c r="A109" s="34">
        <v>10019517</v>
      </c>
      <c r="B109" s="34" t="s">
        <v>25</v>
      </c>
      <c r="C109" s="34" t="s">
        <v>78</v>
      </c>
      <c r="D109" s="37">
        <v>42289</v>
      </c>
      <c r="E109" s="34">
        <v>92565112</v>
      </c>
      <c r="F109" s="37">
        <v>41487</v>
      </c>
      <c r="G109" s="34"/>
      <c r="H109" s="34">
        <v>1201766</v>
      </c>
      <c r="I109" s="34" t="s">
        <v>143</v>
      </c>
      <c r="J109" s="34">
        <v>1157939</v>
      </c>
      <c r="K109" s="34" t="s">
        <v>143</v>
      </c>
      <c r="L109" s="34">
        <v>1201766</v>
      </c>
      <c r="M109" s="34" t="s">
        <v>143</v>
      </c>
      <c r="N109" s="34">
        <v>47993</v>
      </c>
      <c r="O109" s="34" t="s">
        <v>181</v>
      </c>
      <c r="P109" s="34" t="s">
        <v>97</v>
      </c>
      <c r="Q109" s="34" t="s">
        <v>98</v>
      </c>
      <c r="R109" s="34">
        <v>18.2</v>
      </c>
      <c r="S109" s="34" t="s">
        <v>182</v>
      </c>
      <c r="T109" s="34" t="s">
        <v>63</v>
      </c>
      <c r="U109" s="34" t="s">
        <v>81</v>
      </c>
      <c r="V109" s="34" t="s">
        <v>71</v>
      </c>
      <c r="W109" s="37">
        <v>42303</v>
      </c>
      <c r="X109" s="34" t="s">
        <v>64</v>
      </c>
      <c r="Y109" s="37">
        <v>42289</v>
      </c>
      <c r="Z109" s="34"/>
      <c r="AA109" s="34"/>
      <c r="AB109" s="34"/>
      <c r="AC109" s="34" t="s">
        <v>183</v>
      </c>
      <c r="AD109" s="34">
        <v>87944980627866</v>
      </c>
      <c r="AE109" s="34" t="s">
        <v>465</v>
      </c>
      <c r="AF109" s="34" t="s">
        <v>926</v>
      </c>
    </row>
    <row r="110" spans="1:32" x14ac:dyDescent="0.2">
      <c r="A110" s="34">
        <v>10019518</v>
      </c>
      <c r="B110" s="34" t="s">
        <v>25</v>
      </c>
      <c r="C110" s="34" t="s">
        <v>78</v>
      </c>
      <c r="D110" s="37">
        <v>42289</v>
      </c>
      <c r="E110" s="34">
        <v>92649446</v>
      </c>
      <c r="F110" s="37">
        <v>41578</v>
      </c>
      <c r="G110" s="34"/>
      <c r="H110" s="34">
        <v>1201766</v>
      </c>
      <c r="I110" s="34" t="s">
        <v>143</v>
      </c>
      <c r="J110" s="34">
        <v>1157939</v>
      </c>
      <c r="K110" s="34" t="s">
        <v>143</v>
      </c>
      <c r="L110" s="34">
        <v>1201766</v>
      </c>
      <c r="M110" s="34" t="s">
        <v>143</v>
      </c>
      <c r="N110" s="34">
        <v>49367</v>
      </c>
      <c r="O110" s="34" t="s">
        <v>181</v>
      </c>
      <c r="P110" s="34" t="s">
        <v>97</v>
      </c>
      <c r="Q110" s="34" t="s">
        <v>98</v>
      </c>
      <c r="R110" s="34">
        <v>104.85</v>
      </c>
      <c r="S110" s="34" t="s">
        <v>182</v>
      </c>
      <c r="T110" s="34" t="s">
        <v>63</v>
      </c>
      <c r="U110" s="34" t="s">
        <v>81</v>
      </c>
      <c r="V110" s="34" t="s">
        <v>71</v>
      </c>
      <c r="W110" s="37">
        <v>42303</v>
      </c>
      <c r="X110" s="34" t="s">
        <v>64</v>
      </c>
      <c r="Y110" s="37">
        <v>42289</v>
      </c>
      <c r="Z110" s="34"/>
      <c r="AA110" s="34"/>
      <c r="AB110" s="34"/>
      <c r="AC110" s="34" t="s">
        <v>183</v>
      </c>
      <c r="AD110" s="34">
        <v>87944980935442</v>
      </c>
      <c r="AE110" s="34" t="s">
        <v>465</v>
      </c>
      <c r="AF110" s="34" t="s">
        <v>927</v>
      </c>
    </row>
    <row r="111" spans="1:32" x14ac:dyDescent="0.2">
      <c r="A111" s="34">
        <v>10019519</v>
      </c>
      <c r="B111" s="34" t="s">
        <v>18</v>
      </c>
      <c r="C111" s="34" t="s">
        <v>573</v>
      </c>
      <c r="D111" s="37">
        <v>42289</v>
      </c>
      <c r="E111" s="34">
        <v>93552543</v>
      </c>
      <c r="F111" s="37">
        <v>42286</v>
      </c>
      <c r="G111" s="34"/>
      <c r="H111" s="34">
        <v>1201120</v>
      </c>
      <c r="I111" s="34" t="s">
        <v>117</v>
      </c>
      <c r="J111" s="34">
        <v>1307782</v>
      </c>
      <c r="K111" s="34" t="s">
        <v>119</v>
      </c>
      <c r="L111" s="34">
        <v>1171090</v>
      </c>
      <c r="M111" s="34" t="s">
        <v>118</v>
      </c>
      <c r="N111" s="34" t="s">
        <v>928</v>
      </c>
      <c r="O111" s="34" t="s">
        <v>181</v>
      </c>
      <c r="P111" s="34" t="s">
        <v>123</v>
      </c>
      <c r="Q111" s="34" t="s">
        <v>124</v>
      </c>
      <c r="R111" s="34">
        <v>60</v>
      </c>
      <c r="S111" s="34" t="s">
        <v>182</v>
      </c>
      <c r="T111" s="34" t="s">
        <v>69</v>
      </c>
      <c r="U111" s="34" t="s">
        <v>70</v>
      </c>
      <c r="V111" s="34" t="s">
        <v>76</v>
      </c>
      <c r="W111" s="37">
        <v>42290</v>
      </c>
      <c r="X111" s="34" t="s">
        <v>64</v>
      </c>
      <c r="Y111" s="37">
        <v>42289</v>
      </c>
      <c r="Z111" s="34" t="s">
        <v>100</v>
      </c>
      <c r="AA111" s="34">
        <v>62010580</v>
      </c>
      <c r="AB111" s="37">
        <v>42304</v>
      </c>
      <c r="AC111" s="34" t="s">
        <v>183</v>
      </c>
      <c r="AD111" s="34" t="s">
        <v>929</v>
      </c>
      <c r="AE111" s="34" t="s">
        <v>77</v>
      </c>
      <c r="AF111" s="34" t="s">
        <v>386</v>
      </c>
    </row>
    <row r="112" spans="1:32" x14ac:dyDescent="0.2">
      <c r="A112" s="34">
        <v>10019520</v>
      </c>
      <c r="B112" s="34" t="s">
        <v>25</v>
      </c>
      <c r="C112" s="34" t="s">
        <v>78</v>
      </c>
      <c r="D112" s="37">
        <v>42289</v>
      </c>
      <c r="E112" s="34">
        <v>93518988</v>
      </c>
      <c r="F112" s="37">
        <v>42258</v>
      </c>
      <c r="G112" s="34"/>
      <c r="H112" s="34">
        <v>1201766</v>
      </c>
      <c r="I112" s="34" t="s">
        <v>143</v>
      </c>
      <c r="J112" s="34">
        <v>1157939</v>
      </c>
      <c r="K112" s="34" t="s">
        <v>143</v>
      </c>
      <c r="L112" s="34">
        <v>1201766</v>
      </c>
      <c r="M112" s="34" t="s">
        <v>143</v>
      </c>
      <c r="N112" s="34">
        <v>61057</v>
      </c>
      <c r="O112" s="34" t="s">
        <v>181</v>
      </c>
      <c r="P112" s="34" t="s">
        <v>97</v>
      </c>
      <c r="Q112" s="34" t="s">
        <v>98</v>
      </c>
      <c r="R112" s="34">
        <v>2602.56</v>
      </c>
      <c r="S112" s="34" t="s">
        <v>182</v>
      </c>
      <c r="T112" s="34" t="s">
        <v>63</v>
      </c>
      <c r="U112" s="34" t="s">
        <v>81</v>
      </c>
      <c r="V112" s="34" t="s">
        <v>71</v>
      </c>
      <c r="W112" s="37">
        <v>42303</v>
      </c>
      <c r="X112" s="34" t="s">
        <v>64</v>
      </c>
      <c r="Y112" s="37">
        <v>42289</v>
      </c>
      <c r="Z112" s="34"/>
      <c r="AA112" s="34"/>
      <c r="AB112" s="34"/>
      <c r="AC112" s="34" t="s">
        <v>183</v>
      </c>
      <c r="AD112" s="34">
        <v>87944972492380</v>
      </c>
      <c r="AE112" s="34" t="s">
        <v>465</v>
      </c>
      <c r="AF112" s="34" t="s">
        <v>930</v>
      </c>
    </row>
    <row r="113" spans="1:32" x14ac:dyDescent="0.2">
      <c r="A113" s="34">
        <v>10019521</v>
      </c>
      <c r="B113" s="34" t="s">
        <v>25</v>
      </c>
      <c r="C113" s="34" t="s">
        <v>78</v>
      </c>
      <c r="D113" s="37">
        <v>42289</v>
      </c>
      <c r="E113" s="34">
        <v>93518987</v>
      </c>
      <c r="F113" s="37">
        <v>42258</v>
      </c>
      <c r="G113" s="34"/>
      <c r="H113" s="34">
        <v>1201766</v>
      </c>
      <c r="I113" s="34" t="s">
        <v>143</v>
      </c>
      <c r="J113" s="34">
        <v>1157939</v>
      </c>
      <c r="K113" s="34" t="s">
        <v>143</v>
      </c>
      <c r="L113" s="34">
        <v>1201766</v>
      </c>
      <c r="M113" s="34" t="s">
        <v>143</v>
      </c>
      <c r="N113" s="34">
        <v>60946</v>
      </c>
      <c r="O113" s="34" t="s">
        <v>181</v>
      </c>
      <c r="P113" s="34" t="s">
        <v>97</v>
      </c>
      <c r="Q113" s="34" t="s">
        <v>98</v>
      </c>
      <c r="R113" s="34">
        <v>487.98</v>
      </c>
      <c r="S113" s="34" t="s">
        <v>182</v>
      </c>
      <c r="T113" s="34" t="s">
        <v>63</v>
      </c>
      <c r="U113" s="34" t="s">
        <v>81</v>
      </c>
      <c r="V113" s="34" t="s">
        <v>71</v>
      </c>
      <c r="W113" s="37">
        <v>42303</v>
      </c>
      <c r="X113" s="34" t="s">
        <v>64</v>
      </c>
      <c r="Y113" s="37">
        <v>42289</v>
      </c>
      <c r="Z113" s="34"/>
      <c r="AA113" s="34"/>
      <c r="AB113" s="34"/>
      <c r="AC113" s="34" t="s">
        <v>183</v>
      </c>
      <c r="AD113" s="34">
        <v>87944972492465</v>
      </c>
      <c r="AE113" s="34" t="s">
        <v>465</v>
      </c>
      <c r="AF113" s="34" t="s">
        <v>931</v>
      </c>
    </row>
    <row r="114" spans="1:32" x14ac:dyDescent="0.2">
      <c r="A114" s="34">
        <v>10019522</v>
      </c>
      <c r="B114" s="34" t="s">
        <v>25</v>
      </c>
      <c r="C114" s="34" t="s">
        <v>78</v>
      </c>
      <c r="D114" s="37">
        <v>42289</v>
      </c>
      <c r="E114" s="34">
        <v>93515409</v>
      </c>
      <c r="F114" s="37">
        <v>42256</v>
      </c>
      <c r="G114" s="34"/>
      <c r="H114" s="34">
        <v>1201766</v>
      </c>
      <c r="I114" s="34" t="s">
        <v>143</v>
      </c>
      <c r="J114" s="34">
        <v>1157939</v>
      </c>
      <c r="K114" s="34" t="s">
        <v>143</v>
      </c>
      <c r="L114" s="34">
        <v>1201766</v>
      </c>
      <c r="M114" s="34" t="s">
        <v>143</v>
      </c>
      <c r="N114" s="34">
        <v>61057</v>
      </c>
      <c r="O114" s="34" t="s">
        <v>181</v>
      </c>
      <c r="P114" s="34" t="s">
        <v>97</v>
      </c>
      <c r="Q114" s="34" t="s">
        <v>98</v>
      </c>
      <c r="R114" s="34">
        <v>5253.42</v>
      </c>
      <c r="S114" s="34" t="s">
        <v>182</v>
      </c>
      <c r="T114" s="34" t="s">
        <v>63</v>
      </c>
      <c r="U114" s="34" t="s">
        <v>81</v>
      </c>
      <c r="V114" s="34" t="s">
        <v>71</v>
      </c>
      <c r="W114" s="37">
        <v>42303</v>
      </c>
      <c r="X114" s="34" t="s">
        <v>64</v>
      </c>
      <c r="Y114" s="37">
        <v>42289</v>
      </c>
      <c r="Z114" s="34"/>
      <c r="AA114" s="34"/>
      <c r="AB114" s="34"/>
      <c r="AC114" s="34" t="s">
        <v>183</v>
      </c>
      <c r="AD114" s="34" t="s">
        <v>932</v>
      </c>
      <c r="AE114" s="34" t="s">
        <v>465</v>
      </c>
      <c r="AF114" s="34" t="s">
        <v>933</v>
      </c>
    </row>
    <row r="115" spans="1:32" x14ac:dyDescent="0.2">
      <c r="A115" s="34">
        <v>10019523</v>
      </c>
      <c r="B115" s="34" t="s">
        <v>18</v>
      </c>
      <c r="C115" s="34" t="s">
        <v>573</v>
      </c>
      <c r="D115" s="37">
        <v>42289</v>
      </c>
      <c r="E115" s="34">
        <v>93552536</v>
      </c>
      <c r="F115" s="37">
        <v>42286</v>
      </c>
      <c r="G115" s="34"/>
      <c r="H115" s="34">
        <v>1201120</v>
      </c>
      <c r="I115" s="34" t="s">
        <v>117</v>
      </c>
      <c r="J115" s="34">
        <v>1307782</v>
      </c>
      <c r="K115" s="34" t="s">
        <v>119</v>
      </c>
      <c r="L115" s="34">
        <v>1171090</v>
      </c>
      <c r="M115" s="34" t="s">
        <v>118</v>
      </c>
      <c r="N115" s="34" t="s">
        <v>934</v>
      </c>
      <c r="O115" s="34" t="s">
        <v>181</v>
      </c>
      <c r="P115" s="34" t="s">
        <v>91</v>
      </c>
      <c r="Q115" s="34" t="s">
        <v>92</v>
      </c>
      <c r="R115" s="34">
        <v>6942.7</v>
      </c>
      <c r="S115" s="34" t="s">
        <v>182</v>
      </c>
      <c r="T115" s="34" t="s">
        <v>69</v>
      </c>
      <c r="U115" s="34" t="s">
        <v>70</v>
      </c>
      <c r="V115" s="34" t="s">
        <v>76</v>
      </c>
      <c r="W115" s="37">
        <v>42290</v>
      </c>
      <c r="X115" s="34" t="s">
        <v>64</v>
      </c>
      <c r="Y115" s="37">
        <v>42289</v>
      </c>
      <c r="Z115" s="34" t="s">
        <v>100</v>
      </c>
      <c r="AA115" s="34">
        <v>62010583</v>
      </c>
      <c r="AB115" s="37">
        <v>42304</v>
      </c>
      <c r="AC115" s="34" t="s">
        <v>183</v>
      </c>
      <c r="AD115" s="34" t="s">
        <v>935</v>
      </c>
      <c r="AE115" s="34" t="s">
        <v>77</v>
      </c>
      <c r="AF115" s="34" t="s">
        <v>187</v>
      </c>
    </row>
    <row r="116" spans="1:32" x14ac:dyDescent="0.2">
      <c r="A116" s="34">
        <v>10019524</v>
      </c>
      <c r="B116" s="34" t="s">
        <v>25</v>
      </c>
      <c r="C116" s="34" t="s">
        <v>78</v>
      </c>
      <c r="D116" s="37">
        <v>42289</v>
      </c>
      <c r="E116" s="34">
        <v>93508051</v>
      </c>
      <c r="F116" s="37">
        <v>42249</v>
      </c>
      <c r="G116" s="34"/>
      <c r="H116" s="34">
        <v>1201766</v>
      </c>
      <c r="I116" s="34" t="s">
        <v>143</v>
      </c>
      <c r="J116" s="34">
        <v>1157939</v>
      </c>
      <c r="K116" s="34" t="s">
        <v>143</v>
      </c>
      <c r="L116" s="34">
        <v>1201766</v>
      </c>
      <c r="M116" s="34" t="s">
        <v>143</v>
      </c>
      <c r="N116" s="34">
        <v>60946</v>
      </c>
      <c r="O116" s="34" t="s">
        <v>181</v>
      </c>
      <c r="P116" s="34" t="s">
        <v>97</v>
      </c>
      <c r="Q116" s="34" t="s">
        <v>98</v>
      </c>
      <c r="R116" s="34">
        <v>10191.77</v>
      </c>
      <c r="S116" s="34" t="s">
        <v>182</v>
      </c>
      <c r="T116" s="34" t="s">
        <v>63</v>
      </c>
      <c r="U116" s="34" t="s">
        <v>81</v>
      </c>
      <c r="V116" s="34" t="s">
        <v>71</v>
      </c>
      <c r="W116" s="37">
        <v>42303</v>
      </c>
      <c r="X116" s="34" t="s">
        <v>64</v>
      </c>
      <c r="Y116" s="37">
        <v>42289</v>
      </c>
      <c r="Z116" s="34"/>
      <c r="AA116" s="34"/>
      <c r="AB116" s="34"/>
      <c r="AC116" s="34" t="s">
        <v>183</v>
      </c>
      <c r="AD116" s="34" t="s">
        <v>936</v>
      </c>
      <c r="AE116" s="34" t="s">
        <v>465</v>
      </c>
      <c r="AF116" s="34" t="s">
        <v>937</v>
      </c>
    </row>
    <row r="117" spans="1:32" x14ac:dyDescent="0.2">
      <c r="A117" s="34">
        <v>10019525</v>
      </c>
      <c r="B117" s="34" t="s">
        <v>25</v>
      </c>
      <c r="C117" s="34" t="s">
        <v>78</v>
      </c>
      <c r="D117" s="37">
        <v>42289</v>
      </c>
      <c r="E117" s="34">
        <v>93485463</v>
      </c>
      <c r="F117" s="37">
        <v>42234</v>
      </c>
      <c r="G117" s="34"/>
      <c r="H117" s="34">
        <v>1201766</v>
      </c>
      <c r="I117" s="34" t="s">
        <v>143</v>
      </c>
      <c r="J117" s="34">
        <v>1157939</v>
      </c>
      <c r="K117" s="34" t="s">
        <v>143</v>
      </c>
      <c r="L117" s="34">
        <v>1201766</v>
      </c>
      <c r="M117" s="34" t="s">
        <v>143</v>
      </c>
      <c r="N117" s="34">
        <v>60720</v>
      </c>
      <c r="O117" s="34" t="s">
        <v>181</v>
      </c>
      <c r="P117" s="34" t="s">
        <v>97</v>
      </c>
      <c r="Q117" s="34" t="s">
        <v>98</v>
      </c>
      <c r="R117" s="34">
        <v>5554.94</v>
      </c>
      <c r="S117" s="34" t="s">
        <v>182</v>
      </c>
      <c r="T117" s="34" t="s">
        <v>63</v>
      </c>
      <c r="U117" s="34" t="s">
        <v>81</v>
      </c>
      <c r="V117" s="34" t="s">
        <v>71</v>
      </c>
      <c r="W117" s="37">
        <v>42303</v>
      </c>
      <c r="X117" s="34" t="s">
        <v>64</v>
      </c>
      <c r="Y117" s="37">
        <v>42289</v>
      </c>
      <c r="Z117" s="34"/>
      <c r="AA117" s="34"/>
      <c r="AB117" s="34"/>
      <c r="AC117" s="34" t="s">
        <v>183</v>
      </c>
      <c r="AD117" s="34">
        <v>87944972407353</v>
      </c>
      <c r="AE117" s="34" t="s">
        <v>465</v>
      </c>
      <c r="AF117" s="34" t="s">
        <v>938</v>
      </c>
    </row>
    <row r="118" spans="1:32" x14ac:dyDescent="0.2">
      <c r="A118" s="34">
        <v>10019526</v>
      </c>
      <c r="B118" s="34" t="s">
        <v>18</v>
      </c>
      <c r="C118" s="34" t="s">
        <v>573</v>
      </c>
      <c r="D118" s="37">
        <v>42289</v>
      </c>
      <c r="E118" s="34">
        <v>93552539</v>
      </c>
      <c r="F118" s="37">
        <v>42286</v>
      </c>
      <c r="G118" s="34"/>
      <c r="H118" s="34">
        <v>1201120</v>
      </c>
      <c r="I118" s="34" t="s">
        <v>117</v>
      </c>
      <c r="J118" s="34">
        <v>1307782</v>
      </c>
      <c r="K118" s="34" t="s">
        <v>119</v>
      </c>
      <c r="L118" s="34">
        <v>1171090</v>
      </c>
      <c r="M118" s="34" t="s">
        <v>118</v>
      </c>
      <c r="N118" s="34" t="s">
        <v>934</v>
      </c>
      <c r="O118" s="34" t="s">
        <v>181</v>
      </c>
      <c r="P118" s="34" t="s">
        <v>91</v>
      </c>
      <c r="Q118" s="34" t="s">
        <v>92</v>
      </c>
      <c r="R118" s="34">
        <v>100.55</v>
      </c>
      <c r="S118" s="34" t="s">
        <v>182</v>
      </c>
      <c r="T118" s="34" t="s">
        <v>63</v>
      </c>
      <c r="U118" s="34"/>
      <c r="V118" s="34"/>
      <c r="W118" s="34"/>
      <c r="X118" s="34" t="s">
        <v>64</v>
      </c>
      <c r="Y118" s="37">
        <v>42304</v>
      </c>
      <c r="Z118" s="34"/>
      <c r="AA118" s="34"/>
      <c r="AB118" s="34"/>
      <c r="AC118" s="34" t="s">
        <v>183</v>
      </c>
      <c r="AD118" s="34" t="s">
        <v>935</v>
      </c>
      <c r="AE118" s="34"/>
      <c r="AF118" s="34"/>
    </row>
    <row r="119" spans="1:32" x14ac:dyDescent="0.2">
      <c r="A119" s="34">
        <v>10019527</v>
      </c>
      <c r="B119" s="34" t="s">
        <v>25</v>
      </c>
      <c r="C119" s="34" t="s">
        <v>78</v>
      </c>
      <c r="D119" s="37">
        <v>42289</v>
      </c>
      <c r="E119" s="34">
        <v>93478363</v>
      </c>
      <c r="F119" s="37">
        <v>42228</v>
      </c>
      <c r="G119" s="34"/>
      <c r="H119" s="34">
        <v>1201766</v>
      </c>
      <c r="I119" s="34" t="s">
        <v>143</v>
      </c>
      <c r="J119" s="34">
        <v>1157939</v>
      </c>
      <c r="K119" s="34" t="s">
        <v>143</v>
      </c>
      <c r="L119" s="34">
        <v>1201766</v>
      </c>
      <c r="M119" s="34" t="s">
        <v>143</v>
      </c>
      <c r="N119" s="34">
        <v>60597</v>
      </c>
      <c r="O119" s="34" t="s">
        <v>181</v>
      </c>
      <c r="P119" s="34" t="s">
        <v>97</v>
      </c>
      <c r="Q119" s="34" t="s">
        <v>98</v>
      </c>
      <c r="R119" s="34">
        <v>180.48</v>
      </c>
      <c r="S119" s="34" t="s">
        <v>182</v>
      </c>
      <c r="T119" s="34" t="s">
        <v>63</v>
      </c>
      <c r="U119" s="34" t="s">
        <v>81</v>
      </c>
      <c r="V119" s="34" t="s">
        <v>71</v>
      </c>
      <c r="W119" s="37">
        <v>42303</v>
      </c>
      <c r="X119" s="34" t="s">
        <v>64</v>
      </c>
      <c r="Y119" s="37">
        <v>42289</v>
      </c>
      <c r="Z119" s="34"/>
      <c r="AA119" s="34"/>
      <c r="AB119" s="34"/>
      <c r="AC119" s="34" t="s">
        <v>183</v>
      </c>
      <c r="AD119" s="34">
        <v>87944972388997</v>
      </c>
      <c r="AE119" s="34" t="s">
        <v>465</v>
      </c>
      <c r="AF119" s="34" t="s">
        <v>939</v>
      </c>
    </row>
    <row r="120" spans="1:32" x14ac:dyDescent="0.2">
      <c r="A120" s="34">
        <v>10019528</v>
      </c>
      <c r="B120" s="34" t="s">
        <v>25</v>
      </c>
      <c r="C120" s="34" t="s">
        <v>78</v>
      </c>
      <c r="D120" s="37">
        <v>42289</v>
      </c>
      <c r="E120" s="34">
        <v>93476464</v>
      </c>
      <c r="F120" s="37">
        <v>42227</v>
      </c>
      <c r="G120" s="34"/>
      <c r="H120" s="34">
        <v>1201766</v>
      </c>
      <c r="I120" s="34" t="s">
        <v>143</v>
      </c>
      <c r="J120" s="34">
        <v>1157939</v>
      </c>
      <c r="K120" s="34" t="s">
        <v>143</v>
      </c>
      <c r="L120" s="34">
        <v>1201766</v>
      </c>
      <c r="M120" s="34" t="s">
        <v>143</v>
      </c>
      <c r="N120" s="34">
        <v>60597</v>
      </c>
      <c r="O120" s="34" t="s">
        <v>181</v>
      </c>
      <c r="P120" s="34" t="s">
        <v>102</v>
      </c>
      <c r="Q120" s="34" t="s">
        <v>103</v>
      </c>
      <c r="R120" s="34">
        <v>2621.04</v>
      </c>
      <c r="S120" s="34" t="s">
        <v>182</v>
      </c>
      <c r="T120" s="34" t="s">
        <v>63</v>
      </c>
      <c r="U120" s="34" t="s">
        <v>81</v>
      </c>
      <c r="V120" s="34" t="s">
        <v>71</v>
      </c>
      <c r="W120" s="37">
        <v>42299</v>
      </c>
      <c r="X120" s="34" t="s">
        <v>64</v>
      </c>
      <c r="Y120" s="37">
        <v>42289</v>
      </c>
      <c r="Z120" s="34"/>
      <c r="AA120" s="34"/>
      <c r="AB120" s="34"/>
      <c r="AC120" s="34" t="s">
        <v>183</v>
      </c>
      <c r="AD120" s="34">
        <v>636808583824</v>
      </c>
      <c r="AE120" s="34" t="s">
        <v>465</v>
      </c>
      <c r="AF120" s="34" t="s">
        <v>940</v>
      </c>
    </row>
    <row r="121" spans="1:32" x14ac:dyDescent="0.2">
      <c r="A121" s="34">
        <v>10019529</v>
      </c>
      <c r="B121" s="34" t="s">
        <v>25</v>
      </c>
      <c r="C121" s="34" t="s">
        <v>78</v>
      </c>
      <c r="D121" s="37">
        <v>42289</v>
      </c>
      <c r="E121" s="34">
        <v>93460063</v>
      </c>
      <c r="F121" s="37">
        <v>42214</v>
      </c>
      <c r="G121" s="34"/>
      <c r="H121" s="34">
        <v>1201766</v>
      </c>
      <c r="I121" s="34" t="s">
        <v>143</v>
      </c>
      <c r="J121" s="34">
        <v>1157939</v>
      </c>
      <c r="K121" s="34" t="s">
        <v>143</v>
      </c>
      <c r="L121" s="34">
        <v>1201766</v>
      </c>
      <c r="M121" s="34" t="s">
        <v>143</v>
      </c>
      <c r="N121" s="34">
        <v>60365</v>
      </c>
      <c r="O121" s="34" t="s">
        <v>181</v>
      </c>
      <c r="P121" s="34" t="s">
        <v>97</v>
      </c>
      <c r="Q121" s="34" t="s">
        <v>98</v>
      </c>
      <c r="R121" s="34">
        <v>440.77</v>
      </c>
      <c r="S121" s="34" t="s">
        <v>182</v>
      </c>
      <c r="T121" s="34" t="s">
        <v>63</v>
      </c>
      <c r="U121" s="34" t="s">
        <v>81</v>
      </c>
      <c r="V121" s="34" t="s">
        <v>71</v>
      </c>
      <c r="W121" s="37">
        <v>42303</v>
      </c>
      <c r="X121" s="34" t="s">
        <v>64</v>
      </c>
      <c r="Y121" s="37">
        <v>42289</v>
      </c>
      <c r="Z121" s="34"/>
      <c r="AA121" s="34"/>
      <c r="AB121" s="34"/>
      <c r="AC121" s="34" t="s">
        <v>183</v>
      </c>
      <c r="AD121" s="34">
        <v>87944972336981</v>
      </c>
      <c r="AE121" s="34" t="s">
        <v>465</v>
      </c>
      <c r="AF121" s="34" t="s">
        <v>941</v>
      </c>
    </row>
    <row r="122" spans="1:32" x14ac:dyDescent="0.2">
      <c r="A122" s="34">
        <v>10019530</v>
      </c>
      <c r="B122" s="34" t="s">
        <v>25</v>
      </c>
      <c r="C122" s="34" t="s">
        <v>78</v>
      </c>
      <c r="D122" s="37">
        <v>42289</v>
      </c>
      <c r="E122" s="34">
        <v>93451283</v>
      </c>
      <c r="F122" s="37">
        <v>42207</v>
      </c>
      <c r="G122" s="34"/>
      <c r="H122" s="34">
        <v>1201766</v>
      </c>
      <c r="I122" s="34" t="s">
        <v>143</v>
      </c>
      <c r="J122" s="34">
        <v>1157939</v>
      </c>
      <c r="K122" s="34" t="s">
        <v>143</v>
      </c>
      <c r="L122" s="34">
        <v>1201766</v>
      </c>
      <c r="M122" s="34" t="s">
        <v>143</v>
      </c>
      <c r="N122" s="34">
        <v>60263</v>
      </c>
      <c r="O122" s="34" t="s">
        <v>181</v>
      </c>
      <c r="P122" s="34" t="s">
        <v>97</v>
      </c>
      <c r="Q122" s="34" t="s">
        <v>98</v>
      </c>
      <c r="R122" s="34">
        <v>126.48</v>
      </c>
      <c r="S122" s="34" t="s">
        <v>182</v>
      </c>
      <c r="T122" s="34" t="s">
        <v>63</v>
      </c>
      <c r="U122" s="34"/>
      <c r="V122" s="34"/>
      <c r="W122" s="34"/>
      <c r="X122" s="34" t="s">
        <v>64</v>
      </c>
      <c r="Y122" s="37">
        <v>42289</v>
      </c>
      <c r="Z122" s="34"/>
      <c r="AA122" s="34"/>
      <c r="AB122" s="34"/>
      <c r="AC122" s="34" t="s">
        <v>183</v>
      </c>
      <c r="AD122" s="34">
        <v>87944972306472</v>
      </c>
      <c r="AE122" s="34"/>
      <c r="AF122" s="34"/>
    </row>
    <row r="123" spans="1:32" x14ac:dyDescent="0.2">
      <c r="A123" s="34">
        <v>10019531</v>
      </c>
      <c r="B123" s="34" t="s">
        <v>25</v>
      </c>
      <c r="C123" s="34" t="s">
        <v>78</v>
      </c>
      <c r="D123" s="37">
        <v>42289</v>
      </c>
      <c r="E123" s="34">
        <v>93441995</v>
      </c>
      <c r="F123" s="37">
        <v>42200</v>
      </c>
      <c r="G123" s="34"/>
      <c r="H123" s="34">
        <v>1201766</v>
      </c>
      <c r="I123" s="34" t="s">
        <v>143</v>
      </c>
      <c r="J123" s="34">
        <v>1157939</v>
      </c>
      <c r="K123" s="34" t="s">
        <v>143</v>
      </c>
      <c r="L123" s="34">
        <v>1201766</v>
      </c>
      <c r="M123" s="34" t="s">
        <v>143</v>
      </c>
      <c r="N123" s="34">
        <v>60111</v>
      </c>
      <c r="O123" s="34" t="s">
        <v>181</v>
      </c>
      <c r="P123" s="34" t="s">
        <v>97</v>
      </c>
      <c r="Q123" s="34" t="s">
        <v>98</v>
      </c>
      <c r="R123" s="34">
        <v>137.25</v>
      </c>
      <c r="S123" s="34" t="s">
        <v>182</v>
      </c>
      <c r="T123" s="34" t="s">
        <v>63</v>
      </c>
      <c r="U123" s="34" t="s">
        <v>81</v>
      </c>
      <c r="V123" s="34" t="s">
        <v>71</v>
      </c>
      <c r="W123" s="37">
        <v>42303</v>
      </c>
      <c r="X123" s="34" t="s">
        <v>64</v>
      </c>
      <c r="Y123" s="37">
        <v>42289</v>
      </c>
      <c r="Z123" s="34"/>
      <c r="AA123" s="34"/>
      <c r="AB123" s="34"/>
      <c r="AC123" s="34" t="s">
        <v>183</v>
      </c>
      <c r="AD123" s="34">
        <v>87944972274467</v>
      </c>
      <c r="AE123" s="34" t="s">
        <v>465</v>
      </c>
      <c r="AF123" s="34" t="s">
        <v>942</v>
      </c>
    </row>
    <row r="124" spans="1:32" x14ac:dyDescent="0.2">
      <c r="A124" s="34">
        <v>10019532</v>
      </c>
      <c r="B124" s="34" t="s">
        <v>25</v>
      </c>
      <c r="C124" s="34" t="s">
        <v>78</v>
      </c>
      <c r="D124" s="37">
        <v>42289</v>
      </c>
      <c r="E124" s="34">
        <v>93431855</v>
      </c>
      <c r="F124" s="37">
        <v>42193</v>
      </c>
      <c r="G124" s="34"/>
      <c r="H124" s="34">
        <v>1201766</v>
      </c>
      <c r="I124" s="34" t="s">
        <v>143</v>
      </c>
      <c r="J124" s="34">
        <v>1157939</v>
      </c>
      <c r="K124" s="34" t="s">
        <v>143</v>
      </c>
      <c r="L124" s="34">
        <v>1201766</v>
      </c>
      <c r="M124" s="34" t="s">
        <v>143</v>
      </c>
      <c r="N124" s="34">
        <v>60036</v>
      </c>
      <c r="O124" s="34" t="s">
        <v>181</v>
      </c>
      <c r="P124" s="34" t="s">
        <v>97</v>
      </c>
      <c r="Q124" s="34" t="s">
        <v>98</v>
      </c>
      <c r="R124" s="34">
        <v>483.87</v>
      </c>
      <c r="S124" s="34" t="s">
        <v>182</v>
      </c>
      <c r="T124" s="34" t="s">
        <v>63</v>
      </c>
      <c r="U124" s="34" t="s">
        <v>81</v>
      </c>
      <c r="V124" s="34" t="s">
        <v>71</v>
      </c>
      <c r="W124" s="37">
        <v>42303</v>
      </c>
      <c r="X124" s="34" t="s">
        <v>64</v>
      </c>
      <c r="Y124" s="37">
        <v>42289</v>
      </c>
      <c r="Z124" s="34"/>
      <c r="AA124" s="34"/>
      <c r="AB124" s="34"/>
      <c r="AC124" s="34" t="s">
        <v>183</v>
      </c>
      <c r="AD124" s="34">
        <v>87944972235437</v>
      </c>
      <c r="AE124" s="34" t="s">
        <v>465</v>
      </c>
      <c r="AF124" s="34" t="s">
        <v>943</v>
      </c>
    </row>
    <row r="125" spans="1:32" x14ac:dyDescent="0.2">
      <c r="A125" s="34">
        <v>10019533</v>
      </c>
      <c r="B125" s="34" t="s">
        <v>25</v>
      </c>
      <c r="C125" s="34" t="s">
        <v>78</v>
      </c>
      <c r="D125" s="37">
        <v>42289</v>
      </c>
      <c r="E125" s="34">
        <v>93426447</v>
      </c>
      <c r="F125" s="37">
        <v>42187</v>
      </c>
      <c r="G125" s="34"/>
      <c r="H125" s="34">
        <v>1201766</v>
      </c>
      <c r="I125" s="34" t="s">
        <v>143</v>
      </c>
      <c r="J125" s="34">
        <v>1157939</v>
      </c>
      <c r="K125" s="34" t="s">
        <v>143</v>
      </c>
      <c r="L125" s="34">
        <v>1201766</v>
      </c>
      <c r="M125" s="34" t="s">
        <v>143</v>
      </c>
      <c r="N125" s="34">
        <v>59937</v>
      </c>
      <c r="O125" s="34" t="s">
        <v>181</v>
      </c>
      <c r="P125" s="34" t="s">
        <v>97</v>
      </c>
      <c r="Q125" s="34" t="s">
        <v>98</v>
      </c>
      <c r="R125" s="34">
        <v>219.36</v>
      </c>
      <c r="S125" s="34" t="s">
        <v>182</v>
      </c>
      <c r="T125" s="34" t="s">
        <v>63</v>
      </c>
      <c r="U125" s="34" t="s">
        <v>81</v>
      </c>
      <c r="V125" s="34" t="s">
        <v>71</v>
      </c>
      <c r="W125" s="37">
        <v>42303</v>
      </c>
      <c r="X125" s="34" t="s">
        <v>64</v>
      </c>
      <c r="Y125" s="37">
        <v>42289</v>
      </c>
      <c r="Z125" s="34"/>
      <c r="AA125" s="34"/>
      <c r="AB125" s="34"/>
      <c r="AC125" s="34" t="s">
        <v>183</v>
      </c>
      <c r="AD125" s="34">
        <v>87944972216085</v>
      </c>
      <c r="AE125" s="34" t="s">
        <v>465</v>
      </c>
      <c r="AF125" s="34" t="s">
        <v>944</v>
      </c>
    </row>
    <row r="126" spans="1:32" x14ac:dyDescent="0.2">
      <c r="A126" s="34">
        <v>10019534</v>
      </c>
      <c r="B126" s="34" t="s">
        <v>25</v>
      </c>
      <c r="C126" s="34" t="s">
        <v>78</v>
      </c>
      <c r="D126" s="37">
        <v>42289</v>
      </c>
      <c r="E126" s="34">
        <v>93417543</v>
      </c>
      <c r="F126" s="37">
        <v>42180</v>
      </c>
      <c r="G126" s="34"/>
      <c r="H126" s="34">
        <v>1201766</v>
      </c>
      <c r="I126" s="34" t="s">
        <v>143</v>
      </c>
      <c r="J126" s="34">
        <v>1157939</v>
      </c>
      <c r="K126" s="34" t="s">
        <v>143</v>
      </c>
      <c r="L126" s="34">
        <v>1201766</v>
      </c>
      <c r="M126" s="34" t="s">
        <v>143</v>
      </c>
      <c r="N126" s="34">
        <v>59822</v>
      </c>
      <c r="O126" s="34" t="s">
        <v>181</v>
      </c>
      <c r="P126" s="34" t="s">
        <v>97</v>
      </c>
      <c r="Q126" s="34" t="s">
        <v>98</v>
      </c>
      <c r="R126" s="34">
        <v>3280.18</v>
      </c>
      <c r="S126" s="34" t="s">
        <v>182</v>
      </c>
      <c r="T126" s="34" t="s">
        <v>63</v>
      </c>
      <c r="U126" s="34" t="s">
        <v>81</v>
      </c>
      <c r="V126" s="34" t="s">
        <v>71</v>
      </c>
      <c r="W126" s="37">
        <v>42303</v>
      </c>
      <c r="X126" s="34" t="s">
        <v>64</v>
      </c>
      <c r="Y126" s="37">
        <v>42289</v>
      </c>
      <c r="Z126" s="34"/>
      <c r="AA126" s="34"/>
      <c r="AB126" s="34"/>
      <c r="AC126" s="34" t="s">
        <v>183</v>
      </c>
      <c r="AD126" s="34">
        <v>87944972200770</v>
      </c>
      <c r="AE126" s="34" t="s">
        <v>465</v>
      </c>
      <c r="AF126" s="34" t="s">
        <v>945</v>
      </c>
    </row>
    <row r="127" spans="1:32" x14ac:dyDescent="0.2">
      <c r="A127" s="34">
        <v>10019535</v>
      </c>
      <c r="B127" s="34" t="s">
        <v>25</v>
      </c>
      <c r="C127" s="34" t="s">
        <v>78</v>
      </c>
      <c r="D127" s="37">
        <v>42289</v>
      </c>
      <c r="E127" s="34">
        <v>93393540</v>
      </c>
      <c r="F127" s="37">
        <v>42160</v>
      </c>
      <c r="G127" s="34"/>
      <c r="H127" s="34">
        <v>1201766</v>
      </c>
      <c r="I127" s="34" t="s">
        <v>143</v>
      </c>
      <c r="J127" s="34">
        <v>1157939</v>
      </c>
      <c r="K127" s="34" t="s">
        <v>143</v>
      </c>
      <c r="L127" s="34">
        <v>1201766</v>
      </c>
      <c r="M127" s="34" t="s">
        <v>143</v>
      </c>
      <c r="N127" s="34">
        <v>59598</v>
      </c>
      <c r="O127" s="34" t="s">
        <v>181</v>
      </c>
      <c r="P127" s="34" t="s">
        <v>97</v>
      </c>
      <c r="Q127" s="34" t="s">
        <v>98</v>
      </c>
      <c r="R127" s="34">
        <v>86.82</v>
      </c>
      <c r="S127" s="34" t="s">
        <v>182</v>
      </c>
      <c r="T127" s="34" t="s">
        <v>63</v>
      </c>
      <c r="U127" s="34" t="s">
        <v>81</v>
      </c>
      <c r="V127" s="34" t="s">
        <v>71</v>
      </c>
      <c r="W127" s="37">
        <v>42303</v>
      </c>
      <c r="X127" s="34" t="s">
        <v>64</v>
      </c>
      <c r="Y127" s="37">
        <v>42289</v>
      </c>
      <c r="Z127" s="34"/>
      <c r="AA127" s="34"/>
      <c r="AB127" s="34"/>
      <c r="AC127" s="34" t="s">
        <v>183</v>
      </c>
      <c r="AD127" s="34">
        <v>87944972121884</v>
      </c>
      <c r="AE127" s="34" t="s">
        <v>465</v>
      </c>
      <c r="AF127" s="34" t="s">
        <v>946</v>
      </c>
    </row>
    <row r="128" spans="1:32" x14ac:dyDescent="0.2">
      <c r="A128" s="34">
        <v>10019536</v>
      </c>
      <c r="B128" s="34" t="s">
        <v>25</v>
      </c>
      <c r="C128" s="34" t="s">
        <v>78</v>
      </c>
      <c r="D128" s="37">
        <v>42289</v>
      </c>
      <c r="E128" s="34">
        <v>93388474</v>
      </c>
      <c r="F128" s="37">
        <v>42157</v>
      </c>
      <c r="G128" s="34"/>
      <c r="H128" s="34">
        <v>1201766</v>
      </c>
      <c r="I128" s="34" t="s">
        <v>143</v>
      </c>
      <c r="J128" s="34">
        <v>1157939</v>
      </c>
      <c r="K128" s="34" t="s">
        <v>143</v>
      </c>
      <c r="L128" s="34">
        <v>1201766</v>
      </c>
      <c r="M128" s="34" t="s">
        <v>143</v>
      </c>
      <c r="N128" s="34">
        <v>59501</v>
      </c>
      <c r="O128" s="34" t="s">
        <v>181</v>
      </c>
      <c r="P128" s="34" t="s">
        <v>97</v>
      </c>
      <c r="Q128" s="34" t="s">
        <v>98</v>
      </c>
      <c r="R128" s="34">
        <v>1231.2</v>
      </c>
      <c r="S128" s="34" t="s">
        <v>182</v>
      </c>
      <c r="T128" s="34" t="s">
        <v>63</v>
      </c>
      <c r="U128" s="34" t="s">
        <v>81</v>
      </c>
      <c r="V128" s="34" t="s">
        <v>71</v>
      </c>
      <c r="W128" s="37">
        <v>42303</v>
      </c>
      <c r="X128" s="34" t="s">
        <v>64</v>
      </c>
      <c r="Y128" s="37">
        <v>42289</v>
      </c>
      <c r="Z128" s="34"/>
      <c r="AA128" s="34"/>
      <c r="AB128" s="34"/>
      <c r="AC128" s="34" t="s">
        <v>183</v>
      </c>
      <c r="AD128" s="34">
        <v>87944972103125</v>
      </c>
      <c r="AE128" s="34" t="s">
        <v>465</v>
      </c>
      <c r="AF128" s="34" t="s">
        <v>947</v>
      </c>
    </row>
    <row r="129" spans="1:32" x14ac:dyDescent="0.2">
      <c r="A129" s="34">
        <v>10019537</v>
      </c>
      <c r="B129" s="34" t="s">
        <v>25</v>
      </c>
      <c r="C129" s="34" t="s">
        <v>78</v>
      </c>
      <c r="D129" s="37">
        <v>42289</v>
      </c>
      <c r="E129" s="34">
        <v>93373300</v>
      </c>
      <c r="F129" s="37">
        <v>42144</v>
      </c>
      <c r="G129" s="34"/>
      <c r="H129" s="34">
        <v>1201766</v>
      </c>
      <c r="I129" s="34" t="s">
        <v>143</v>
      </c>
      <c r="J129" s="34">
        <v>1157939</v>
      </c>
      <c r="K129" s="34" t="s">
        <v>143</v>
      </c>
      <c r="L129" s="34">
        <v>1201766</v>
      </c>
      <c r="M129" s="34" t="s">
        <v>143</v>
      </c>
      <c r="N129" s="34">
        <v>59322</v>
      </c>
      <c r="O129" s="34" t="s">
        <v>181</v>
      </c>
      <c r="P129" s="34" t="s">
        <v>97</v>
      </c>
      <c r="Q129" s="34" t="s">
        <v>98</v>
      </c>
      <c r="R129" s="34">
        <v>9.8000000000000007</v>
      </c>
      <c r="S129" s="34" t="s">
        <v>182</v>
      </c>
      <c r="T129" s="34" t="s">
        <v>63</v>
      </c>
      <c r="U129" s="34" t="s">
        <v>81</v>
      </c>
      <c r="V129" s="34" t="s">
        <v>71</v>
      </c>
      <c r="W129" s="37">
        <v>42303</v>
      </c>
      <c r="X129" s="34" t="s">
        <v>64</v>
      </c>
      <c r="Y129" s="37">
        <v>42289</v>
      </c>
      <c r="Z129" s="34"/>
      <c r="AA129" s="34"/>
      <c r="AB129" s="34"/>
      <c r="AC129" s="34" t="s">
        <v>183</v>
      </c>
      <c r="AD129" s="34">
        <v>87944972055134</v>
      </c>
      <c r="AE129" s="34" t="s">
        <v>465</v>
      </c>
      <c r="AF129" s="34" t="s">
        <v>948</v>
      </c>
    </row>
    <row r="130" spans="1:32" x14ac:dyDescent="0.2">
      <c r="A130" s="34">
        <v>10019538</v>
      </c>
      <c r="B130" s="34" t="s">
        <v>25</v>
      </c>
      <c r="C130" s="34" t="s">
        <v>78</v>
      </c>
      <c r="D130" s="37">
        <v>42289</v>
      </c>
      <c r="E130" s="34">
        <v>93355414</v>
      </c>
      <c r="F130" s="37">
        <v>42129</v>
      </c>
      <c r="G130" s="34"/>
      <c r="H130" s="34">
        <v>1201766</v>
      </c>
      <c r="I130" s="34" t="s">
        <v>143</v>
      </c>
      <c r="J130" s="34">
        <v>1157939</v>
      </c>
      <c r="K130" s="34" t="s">
        <v>143</v>
      </c>
      <c r="L130" s="34">
        <v>1201766</v>
      </c>
      <c r="M130" s="34" t="s">
        <v>143</v>
      </c>
      <c r="N130" s="34">
        <v>59102</v>
      </c>
      <c r="O130" s="34" t="s">
        <v>181</v>
      </c>
      <c r="P130" s="34" t="s">
        <v>97</v>
      </c>
      <c r="Q130" s="34" t="s">
        <v>98</v>
      </c>
      <c r="R130" s="34">
        <v>1100.03</v>
      </c>
      <c r="S130" s="34" t="s">
        <v>182</v>
      </c>
      <c r="T130" s="34" t="s">
        <v>63</v>
      </c>
      <c r="U130" s="34" t="s">
        <v>81</v>
      </c>
      <c r="V130" s="34" t="s">
        <v>71</v>
      </c>
      <c r="W130" s="37">
        <v>42304</v>
      </c>
      <c r="X130" s="34" t="s">
        <v>64</v>
      </c>
      <c r="Y130" s="37">
        <v>42289</v>
      </c>
      <c r="Z130" s="34"/>
      <c r="AA130" s="34"/>
      <c r="AB130" s="34"/>
      <c r="AC130" s="34" t="s">
        <v>183</v>
      </c>
      <c r="AD130" s="34">
        <v>87944971994120</v>
      </c>
      <c r="AE130" s="34" t="s">
        <v>465</v>
      </c>
      <c r="AF130" s="34" t="s">
        <v>949</v>
      </c>
    </row>
    <row r="131" spans="1:32" x14ac:dyDescent="0.2">
      <c r="A131" s="34">
        <v>10019540</v>
      </c>
      <c r="B131" s="34" t="s">
        <v>25</v>
      </c>
      <c r="C131" s="34" t="s">
        <v>78</v>
      </c>
      <c r="D131" s="37">
        <v>42289</v>
      </c>
      <c r="E131" s="34">
        <v>93340378</v>
      </c>
      <c r="F131" s="37">
        <v>42116</v>
      </c>
      <c r="G131" s="34"/>
      <c r="H131" s="34">
        <v>1201766</v>
      </c>
      <c r="I131" s="34" t="s">
        <v>143</v>
      </c>
      <c r="J131" s="34">
        <v>1157939</v>
      </c>
      <c r="K131" s="34" t="s">
        <v>143</v>
      </c>
      <c r="L131" s="34">
        <v>1201766</v>
      </c>
      <c r="M131" s="34" t="s">
        <v>143</v>
      </c>
      <c r="N131" s="34">
        <v>58845</v>
      </c>
      <c r="O131" s="34" t="s">
        <v>181</v>
      </c>
      <c r="P131" s="34" t="s">
        <v>97</v>
      </c>
      <c r="Q131" s="34" t="s">
        <v>98</v>
      </c>
      <c r="R131" s="34">
        <v>117.6</v>
      </c>
      <c r="S131" s="34" t="s">
        <v>182</v>
      </c>
      <c r="T131" s="34" t="s">
        <v>63</v>
      </c>
      <c r="U131" s="34" t="s">
        <v>81</v>
      </c>
      <c r="V131" s="34" t="s">
        <v>71</v>
      </c>
      <c r="W131" s="37">
        <v>42303</v>
      </c>
      <c r="X131" s="34" t="s">
        <v>64</v>
      </c>
      <c r="Y131" s="37">
        <v>42289</v>
      </c>
      <c r="Z131" s="34"/>
      <c r="AA131" s="34"/>
      <c r="AB131" s="34"/>
      <c r="AC131" s="34" t="s">
        <v>183</v>
      </c>
      <c r="AD131" s="34">
        <v>87944971941803</v>
      </c>
      <c r="AE131" s="34" t="s">
        <v>465</v>
      </c>
      <c r="AF131" s="34" t="s">
        <v>950</v>
      </c>
    </row>
    <row r="132" spans="1:32" x14ac:dyDescent="0.2">
      <c r="A132" s="34">
        <v>10019541</v>
      </c>
      <c r="B132" s="34" t="s">
        <v>25</v>
      </c>
      <c r="C132" s="34" t="s">
        <v>78</v>
      </c>
      <c r="D132" s="37">
        <v>42289</v>
      </c>
      <c r="E132" s="34">
        <v>93340376</v>
      </c>
      <c r="F132" s="37">
        <v>42116</v>
      </c>
      <c r="G132" s="34"/>
      <c r="H132" s="34">
        <v>1201766</v>
      </c>
      <c r="I132" s="34" t="s">
        <v>143</v>
      </c>
      <c r="J132" s="34">
        <v>1157939</v>
      </c>
      <c r="K132" s="34" t="s">
        <v>143</v>
      </c>
      <c r="L132" s="34">
        <v>1201766</v>
      </c>
      <c r="M132" s="34" t="s">
        <v>143</v>
      </c>
      <c r="N132" s="34">
        <v>58788</v>
      </c>
      <c r="O132" s="34" t="s">
        <v>181</v>
      </c>
      <c r="P132" s="34" t="s">
        <v>97</v>
      </c>
      <c r="Q132" s="34" t="s">
        <v>98</v>
      </c>
      <c r="R132" s="34">
        <v>4665.12</v>
      </c>
      <c r="S132" s="34" t="s">
        <v>182</v>
      </c>
      <c r="T132" s="34" t="s">
        <v>63</v>
      </c>
      <c r="U132" s="34" t="s">
        <v>81</v>
      </c>
      <c r="V132" s="34" t="s">
        <v>71</v>
      </c>
      <c r="W132" s="37">
        <v>42303</v>
      </c>
      <c r="X132" s="34" t="s">
        <v>64</v>
      </c>
      <c r="Y132" s="37">
        <v>42289</v>
      </c>
      <c r="Z132" s="34"/>
      <c r="AA132" s="34"/>
      <c r="AB132" s="34"/>
      <c r="AC132" s="34" t="s">
        <v>183</v>
      </c>
      <c r="AD132" s="34">
        <v>87944971942220</v>
      </c>
      <c r="AE132" s="34" t="s">
        <v>465</v>
      </c>
      <c r="AF132" s="34" t="s">
        <v>947</v>
      </c>
    </row>
    <row r="133" spans="1:32" x14ac:dyDescent="0.2">
      <c r="A133" s="34">
        <v>10019542</v>
      </c>
      <c r="B133" s="34" t="s">
        <v>25</v>
      </c>
      <c r="C133" s="34" t="s">
        <v>78</v>
      </c>
      <c r="D133" s="37">
        <v>42289</v>
      </c>
      <c r="E133" s="34">
        <v>93336917</v>
      </c>
      <c r="F133" s="37">
        <v>42114</v>
      </c>
      <c r="G133" s="34"/>
      <c r="H133" s="34">
        <v>1201766</v>
      </c>
      <c r="I133" s="34" t="s">
        <v>143</v>
      </c>
      <c r="J133" s="34">
        <v>1157939</v>
      </c>
      <c r="K133" s="34" t="s">
        <v>143</v>
      </c>
      <c r="L133" s="34">
        <v>1201766</v>
      </c>
      <c r="M133" s="34" t="s">
        <v>143</v>
      </c>
      <c r="N133" s="34">
        <v>58744</v>
      </c>
      <c r="O133" s="34" t="s">
        <v>181</v>
      </c>
      <c r="P133" s="34" t="s">
        <v>97</v>
      </c>
      <c r="Q133" s="34" t="s">
        <v>98</v>
      </c>
      <c r="R133" s="34">
        <v>564.24</v>
      </c>
      <c r="S133" s="34" t="s">
        <v>182</v>
      </c>
      <c r="T133" s="34" t="s">
        <v>63</v>
      </c>
      <c r="U133" s="34" t="s">
        <v>81</v>
      </c>
      <c r="V133" s="34" t="s">
        <v>71</v>
      </c>
      <c r="W133" s="37">
        <v>42304</v>
      </c>
      <c r="X133" s="34" t="s">
        <v>64</v>
      </c>
      <c r="Y133" s="37">
        <v>42289</v>
      </c>
      <c r="Z133" s="34"/>
      <c r="AA133" s="34"/>
      <c r="AB133" s="34"/>
      <c r="AC133" s="34" t="s">
        <v>183</v>
      </c>
      <c r="AD133" s="34">
        <v>87944971927838</v>
      </c>
      <c r="AE133" s="34" t="s">
        <v>465</v>
      </c>
      <c r="AF133" s="34" t="s">
        <v>951</v>
      </c>
    </row>
    <row r="134" spans="1:32" x14ac:dyDescent="0.2">
      <c r="A134" s="34">
        <v>10019543</v>
      </c>
      <c r="B134" s="34" t="s">
        <v>25</v>
      </c>
      <c r="C134" s="34" t="s">
        <v>78</v>
      </c>
      <c r="D134" s="37">
        <v>42289</v>
      </c>
      <c r="E134" s="34">
        <v>93311760</v>
      </c>
      <c r="F134" s="37">
        <v>42095</v>
      </c>
      <c r="G134" s="34"/>
      <c r="H134" s="34">
        <v>1201766</v>
      </c>
      <c r="I134" s="34" t="s">
        <v>143</v>
      </c>
      <c r="J134" s="34">
        <v>1157939</v>
      </c>
      <c r="K134" s="34" t="s">
        <v>143</v>
      </c>
      <c r="L134" s="34">
        <v>1201766</v>
      </c>
      <c r="M134" s="34" t="s">
        <v>143</v>
      </c>
      <c r="N134" s="34">
        <v>58455</v>
      </c>
      <c r="O134" s="34" t="s">
        <v>181</v>
      </c>
      <c r="P134" s="34" t="s">
        <v>97</v>
      </c>
      <c r="Q134" s="34" t="s">
        <v>98</v>
      </c>
      <c r="R134" s="34">
        <v>2277.66</v>
      </c>
      <c r="S134" s="34" t="s">
        <v>182</v>
      </c>
      <c r="T134" s="34" t="s">
        <v>63</v>
      </c>
      <c r="U134" s="34" t="s">
        <v>81</v>
      </c>
      <c r="V134" s="34" t="s">
        <v>71</v>
      </c>
      <c r="W134" s="37">
        <v>42305</v>
      </c>
      <c r="X134" s="34" t="s">
        <v>64</v>
      </c>
      <c r="Y134" s="37">
        <v>42289</v>
      </c>
      <c r="Z134" s="34"/>
      <c r="AA134" s="34"/>
      <c r="AB134" s="34"/>
      <c r="AC134" s="34" t="s">
        <v>183</v>
      </c>
      <c r="AD134" s="34">
        <v>87944971851201</v>
      </c>
      <c r="AE134" s="34" t="s">
        <v>465</v>
      </c>
      <c r="AF134" s="34" t="s">
        <v>946</v>
      </c>
    </row>
    <row r="135" spans="1:32" x14ac:dyDescent="0.2">
      <c r="A135" s="34">
        <v>10019544</v>
      </c>
      <c r="B135" s="34" t="s">
        <v>25</v>
      </c>
      <c r="C135" s="34" t="s">
        <v>78</v>
      </c>
      <c r="D135" s="37">
        <v>42289</v>
      </c>
      <c r="E135" s="34">
        <v>93266811</v>
      </c>
      <c r="F135" s="37">
        <v>42068</v>
      </c>
      <c r="G135" s="34"/>
      <c r="H135" s="34">
        <v>1201766</v>
      </c>
      <c r="I135" s="34" t="s">
        <v>143</v>
      </c>
      <c r="J135" s="34">
        <v>1157939</v>
      </c>
      <c r="K135" s="34" t="s">
        <v>143</v>
      </c>
      <c r="L135" s="34">
        <v>1201766</v>
      </c>
      <c r="M135" s="34" t="s">
        <v>143</v>
      </c>
      <c r="N135" s="34">
        <v>57926</v>
      </c>
      <c r="O135" s="34" t="s">
        <v>181</v>
      </c>
      <c r="P135" s="34" t="s">
        <v>97</v>
      </c>
      <c r="Q135" s="34" t="s">
        <v>98</v>
      </c>
      <c r="R135" s="34">
        <v>2122.9499999999998</v>
      </c>
      <c r="S135" s="34" t="s">
        <v>182</v>
      </c>
      <c r="T135" s="34" t="s">
        <v>63</v>
      </c>
      <c r="U135" s="34" t="s">
        <v>81</v>
      </c>
      <c r="V135" s="34" t="s">
        <v>71</v>
      </c>
      <c r="W135" s="37">
        <v>42304</v>
      </c>
      <c r="X135" s="34" t="s">
        <v>64</v>
      </c>
      <c r="Y135" s="37">
        <v>42289</v>
      </c>
      <c r="Z135" s="34"/>
      <c r="AA135" s="34"/>
      <c r="AB135" s="34"/>
      <c r="AC135" s="34" t="s">
        <v>183</v>
      </c>
      <c r="AD135" s="34">
        <v>87944971751075</v>
      </c>
      <c r="AE135" s="34" t="s">
        <v>465</v>
      </c>
      <c r="AF135" s="34" t="s">
        <v>952</v>
      </c>
    </row>
    <row r="136" spans="1:32" x14ac:dyDescent="0.2">
      <c r="A136" s="34">
        <v>10019545</v>
      </c>
      <c r="B136" s="34" t="s">
        <v>25</v>
      </c>
      <c r="C136" s="34" t="s">
        <v>78</v>
      </c>
      <c r="D136" s="37">
        <v>42289</v>
      </c>
      <c r="E136" s="34">
        <v>93249902</v>
      </c>
      <c r="F136" s="37">
        <v>42058</v>
      </c>
      <c r="G136" s="34"/>
      <c r="H136" s="34">
        <v>1201766</v>
      </c>
      <c r="I136" s="34" t="s">
        <v>143</v>
      </c>
      <c r="J136" s="34">
        <v>1157939</v>
      </c>
      <c r="K136" s="34" t="s">
        <v>143</v>
      </c>
      <c r="L136" s="34">
        <v>1201766</v>
      </c>
      <c r="M136" s="34" t="s">
        <v>143</v>
      </c>
      <c r="N136" s="34">
        <v>57743</v>
      </c>
      <c r="O136" s="34" t="s">
        <v>181</v>
      </c>
      <c r="P136" s="34" t="s">
        <v>97</v>
      </c>
      <c r="Q136" s="34" t="s">
        <v>98</v>
      </c>
      <c r="R136" s="34">
        <v>70.64</v>
      </c>
      <c r="S136" s="34" t="s">
        <v>182</v>
      </c>
      <c r="T136" s="34" t="s">
        <v>63</v>
      </c>
      <c r="U136" s="34"/>
      <c r="V136" s="34"/>
      <c r="W136" s="34"/>
      <c r="X136" s="34" t="s">
        <v>64</v>
      </c>
      <c r="Y136" s="37">
        <v>42289</v>
      </c>
      <c r="Z136" s="34"/>
      <c r="AA136" s="34"/>
      <c r="AB136" s="34"/>
      <c r="AC136" s="34" t="s">
        <v>183</v>
      </c>
      <c r="AD136" s="34">
        <v>87944971697045</v>
      </c>
      <c r="AE136" s="34"/>
      <c r="AF136" s="34"/>
    </row>
    <row r="137" spans="1:32" x14ac:dyDescent="0.2">
      <c r="A137" s="34">
        <v>10019546</v>
      </c>
      <c r="B137" s="34" t="s">
        <v>25</v>
      </c>
      <c r="C137" s="34" t="s">
        <v>78</v>
      </c>
      <c r="D137" s="37">
        <v>42289</v>
      </c>
      <c r="E137" s="34">
        <v>93240574</v>
      </c>
      <c r="F137" s="37">
        <v>42052</v>
      </c>
      <c r="G137" s="34"/>
      <c r="H137" s="34">
        <v>1201766</v>
      </c>
      <c r="I137" s="34" t="s">
        <v>143</v>
      </c>
      <c r="J137" s="34">
        <v>1157939</v>
      </c>
      <c r="K137" s="34" t="s">
        <v>143</v>
      </c>
      <c r="L137" s="34">
        <v>1201766</v>
      </c>
      <c r="M137" s="34" t="s">
        <v>143</v>
      </c>
      <c r="N137" s="34">
        <v>57693</v>
      </c>
      <c r="O137" s="34" t="s">
        <v>181</v>
      </c>
      <c r="P137" s="34" t="s">
        <v>97</v>
      </c>
      <c r="Q137" s="34" t="s">
        <v>98</v>
      </c>
      <c r="R137" s="34">
        <v>141.84</v>
      </c>
      <c r="S137" s="34" t="s">
        <v>182</v>
      </c>
      <c r="T137" s="34" t="s">
        <v>63</v>
      </c>
      <c r="U137" s="34" t="s">
        <v>81</v>
      </c>
      <c r="V137" s="34" t="s">
        <v>71</v>
      </c>
      <c r="W137" s="37">
        <v>42304</v>
      </c>
      <c r="X137" s="34" t="s">
        <v>64</v>
      </c>
      <c r="Y137" s="37">
        <v>42289</v>
      </c>
      <c r="Z137" s="34"/>
      <c r="AA137" s="34"/>
      <c r="AB137" s="34"/>
      <c r="AC137" s="34" t="s">
        <v>183</v>
      </c>
      <c r="AD137" s="34">
        <v>87944971662999</v>
      </c>
      <c r="AE137" s="34" t="s">
        <v>465</v>
      </c>
      <c r="AF137" s="34" t="s">
        <v>953</v>
      </c>
    </row>
    <row r="138" spans="1:32" x14ac:dyDescent="0.2">
      <c r="A138" s="34">
        <v>10019547</v>
      </c>
      <c r="B138" s="34" t="s">
        <v>25</v>
      </c>
      <c r="C138" s="34" t="s">
        <v>78</v>
      </c>
      <c r="D138" s="37">
        <v>42289</v>
      </c>
      <c r="E138" s="34">
        <v>93191955</v>
      </c>
      <c r="F138" s="37">
        <v>42025</v>
      </c>
      <c r="G138" s="34"/>
      <c r="H138" s="34">
        <v>1201766</v>
      </c>
      <c r="I138" s="34" t="s">
        <v>143</v>
      </c>
      <c r="J138" s="34">
        <v>1157939</v>
      </c>
      <c r="K138" s="34" t="s">
        <v>143</v>
      </c>
      <c r="L138" s="34">
        <v>1201766</v>
      </c>
      <c r="M138" s="34" t="s">
        <v>143</v>
      </c>
      <c r="N138" s="34">
        <v>57143</v>
      </c>
      <c r="O138" s="34" t="s">
        <v>181</v>
      </c>
      <c r="P138" s="34" t="s">
        <v>97</v>
      </c>
      <c r="Q138" s="34" t="s">
        <v>98</v>
      </c>
      <c r="R138" s="34">
        <v>61.39</v>
      </c>
      <c r="S138" s="34" t="s">
        <v>182</v>
      </c>
      <c r="T138" s="34" t="s">
        <v>63</v>
      </c>
      <c r="U138" s="34" t="s">
        <v>81</v>
      </c>
      <c r="V138" s="34" t="s">
        <v>71</v>
      </c>
      <c r="W138" s="37">
        <v>42304</v>
      </c>
      <c r="X138" s="34" t="s">
        <v>64</v>
      </c>
      <c r="Y138" s="37">
        <v>42289</v>
      </c>
      <c r="Z138" s="34"/>
      <c r="AA138" s="34"/>
      <c r="AB138" s="34"/>
      <c r="AC138" s="34" t="s">
        <v>183</v>
      </c>
      <c r="AD138" s="34">
        <v>87944971546947</v>
      </c>
      <c r="AE138" s="34" t="s">
        <v>465</v>
      </c>
      <c r="AF138" s="34" t="s">
        <v>952</v>
      </c>
    </row>
    <row r="139" spans="1:32" x14ac:dyDescent="0.2">
      <c r="A139" s="34">
        <v>10019548</v>
      </c>
      <c r="B139" s="34" t="s">
        <v>25</v>
      </c>
      <c r="C139" s="34" t="s">
        <v>78</v>
      </c>
      <c r="D139" s="37">
        <v>42289</v>
      </c>
      <c r="E139" s="34">
        <v>93180814</v>
      </c>
      <c r="F139" s="37">
        <v>42018</v>
      </c>
      <c r="G139" s="34"/>
      <c r="H139" s="34">
        <v>1201766</v>
      </c>
      <c r="I139" s="34" t="s">
        <v>143</v>
      </c>
      <c r="J139" s="34">
        <v>1157939</v>
      </c>
      <c r="K139" s="34" t="s">
        <v>143</v>
      </c>
      <c r="L139" s="34">
        <v>1201766</v>
      </c>
      <c r="M139" s="34" t="s">
        <v>143</v>
      </c>
      <c r="N139" s="34">
        <v>57012</v>
      </c>
      <c r="O139" s="34" t="s">
        <v>181</v>
      </c>
      <c r="P139" s="34" t="s">
        <v>97</v>
      </c>
      <c r="Q139" s="34" t="s">
        <v>98</v>
      </c>
      <c r="R139" s="34">
        <v>1105.2</v>
      </c>
      <c r="S139" s="34" t="s">
        <v>182</v>
      </c>
      <c r="T139" s="34" t="s">
        <v>63</v>
      </c>
      <c r="U139" s="34" t="s">
        <v>81</v>
      </c>
      <c r="V139" s="34" t="s">
        <v>71</v>
      </c>
      <c r="W139" s="37">
        <v>42303</v>
      </c>
      <c r="X139" s="34" t="s">
        <v>64</v>
      </c>
      <c r="Y139" s="37">
        <v>42289</v>
      </c>
      <c r="Z139" s="34"/>
      <c r="AA139" s="34"/>
      <c r="AB139" s="34"/>
      <c r="AC139" s="34" t="s">
        <v>183</v>
      </c>
      <c r="AD139" s="34">
        <v>87944971523733</v>
      </c>
      <c r="AE139" s="34" t="s">
        <v>465</v>
      </c>
      <c r="AF139" s="34" t="s">
        <v>954</v>
      </c>
    </row>
    <row r="140" spans="1:32" x14ac:dyDescent="0.2">
      <c r="A140" s="34">
        <v>10019549</v>
      </c>
      <c r="B140" s="34" t="s">
        <v>25</v>
      </c>
      <c r="C140" s="34" t="s">
        <v>78</v>
      </c>
      <c r="D140" s="37">
        <v>42289</v>
      </c>
      <c r="E140" s="34">
        <v>93164505</v>
      </c>
      <c r="F140" s="37">
        <v>42010</v>
      </c>
      <c r="G140" s="34"/>
      <c r="H140" s="34">
        <v>1201766</v>
      </c>
      <c r="I140" s="34" t="s">
        <v>143</v>
      </c>
      <c r="J140" s="34">
        <v>1157939</v>
      </c>
      <c r="K140" s="34" t="s">
        <v>143</v>
      </c>
      <c r="L140" s="34">
        <v>1201766</v>
      </c>
      <c r="M140" s="34" t="s">
        <v>143</v>
      </c>
      <c r="N140" s="34">
        <v>56683</v>
      </c>
      <c r="O140" s="34" t="s">
        <v>181</v>
      </c>
      <c r="P140" s="34" t="s">
        <v>67</v>
      </c>
      <c r="Q140" s="34" t="s">
        <v>68</v>
      </c>
      <c r="R140" s="34">
        <v>448.17</v>
      </c>
      <c r="S140" s="34" t="s">
        <v>182</v>
      </c>
      <c r="T140" s="34" t="s">
        <v>63</v>
      </c>
      <c r="U140" s="34" t="s">
        <v>81</v>
      </c>
      <c r="V140" s="34" t="s">
        <v>71</v>
      </c>
      <c r="W140" s="37">
        <v>42304</v>
      </c>
      <c r="X140" s="34" t="s">
        <v>64</v>
      </c>
      <c r="Y140" s="37">
        <v>42289</v>
      </c>
      <c r="Z140" s="34"/>
      <c r="AA140" s="34"/>
      <c r="AB140" s="34"/>
      <c r="AC140" s="34" t="s">
        <v>183</v>
      </c>
      <c r="AD140" s="34">
        <v>2795612665</v>
      </c>
      <c r="AE140" s="34" t="s">
        <v>465</v>
      </c>
      <c r="AF140" s="34" t="s">
        <v>949</v>
      </c>
    </row>
    <row r="141" spans="1:32" x14ac:dyDescent="0.2">
      <c r="A141" s="34">
        <v>10019550</v>
      </c>
      <c r="B141" s="34" t="s">
        <v>25</v>
      </c>
      <c r="C141" s="34" t="s">
        <v>78</v>
      </c>
      <c r="D141" s="37">
        <v>42289</v>
      </c>
      <c r="E141" s="34">
        <v>93161441</v>
      </c>
      <c r="F141" s="37">
        <v>42007</v>
      </c>
      <c r="G141" s="34"/>
      <c r="H141" s="34">
        <v>1201766</v>
      </c>
      <c r="I141" s="34" t="s">
        <v>143</v>
      </c>
      <c r="J141" s="34">
        <v>1157939</v>
      </c>
      <c r="K141" s="34" t="s">
        <v>143</v>
      </c>
      <c r="L141" s="34">
        <v>1201766</v>
      </c>
      <c r="M141" s="34" t="s">
        <v>143</v>
      </c>
      <c r="N141" s="34">
        <v>56823</v>
      </c>
      <c r="O141" s="34" t="s">
        <v>181</v>
      </c>
      <c r="P141" s="34" t="s">
        <v>102</v>
      </c>
      <c r="Q141" s="34" t="s">
        <v>103</v>
      </c>
      <c r="R141" s="34">
        <v>15.96</v>
      </c>
      <c r="S141" s="34" t="s">
        <v>182</v>
      </c>
      <c r="T141" s="34" t="s">
        <v>63</v>
      </c>
      <c r="U141" s="34" t="s">
        <v>81</v>
      </c>
      <c r="V141" s="34" t="s">
        <v>71</v>
      </c>
      <c r="W141" s="37">
        <v>42304</v>
      </c>
      <c r="X141" s="34" t="s">
        <v>64</v>
      </c>
      <c r="Y141" s="37">
        <v>42289</v>
      </c>
      <c r="Z141" s="34"/>
      <c r="AA141" s="34"/>
      <c r="AB141" s="34"/>
      <c r="AC141" s="34" t="s">
        <v>183</v>
      </c>
      <c r="AD141" s="34">
        <v>626414826554</v>
      </c>
      <c r="AE141" s="34" t="s">
        <v>465</v>
      </c>
      <c r="AF141" s="34" t="s">
        <v>955</v>
      </c>
    </row>
    <row r="142" spans="1:32" x14ac:dyDescent="0.2">
      <c r="A142" s="34">
        <v>10019551</v>
      </c>
      <c r="B142" s="34" t="s">
        <v>25</v>
      </c>
      <c r="C142" s="34" t="s">
        <v>78</v>
      </c>
      <c r="D142" s="37">
        <v>42289</v>
      </c>
      <c r="E142" s="34">
        <v>93159688</v>
      </c>
      <c r="F142" s="37">
        <v>42006</v>
      </c>
      <c r="G142" s="34"/>
      <c r="H142" s="34">
        <v>1201766</v>
      </c>
      <c r="I142" s="34" t="s">
        <v>143</v>
      </c>
      <c r="J142" s="34">
        <v>1157939</v>
      </c>
      <c r="K142" s="34" t="s">
        <v>143</v>
      </c>
      <c r="L142" s="34">
        <v>1201766</v>
      </c>
      <c r="M142" s="34" t="s">
        <v>143</v>
      </c>
      <c r="N142" s="34">
        <v>56806</v>
      </c>
      <c r="O142" s="34" t="s">
        <v>181</v>
      </c>
      <c r="P142" s="34" t="s">
        <v>97</v>
      </c>
      <c r="Q142" s="34" t="s">
        <v>98</v>
      </c>
      <c r="R142" s="34">
        <v>4.25</v>
      </c>
      <c r="S142" s="34" t="s">
        <v>182</v>
      </c>
      <c r="T142" s="34" t="s">
        <v>63</v>
      </c>
      <c r="U142" s="34" t="s">
        <v>81</v>
      </c>
      <c r="V142" s="34" t="s">
        <v>71</v>
      </c>
      <c r="W142" s="37">
        <v>42304</v>
      </c>
      <c r="X142" s="34" t="s">
        <v>64</v>
      </c>
      <c r="Y142" s="37">
        <v>42289</v>
      </c>
      <c r="Z142" s="34"/>
      <c r="AA142" s="34"/>
      <c r="AB142" s="34"/>
      <c r="AC142" s="34" t="s">
        <v>183</v>
      </c>
      <c r="AD142" s="34">
        <v>87944971472628</v>
      </c>
      <c r="AE142" s="34" t="s">
        <v>465</v>
      </c>
      <c r="AF142" s="34" t="s">
        <v>946</v>
      </c>
    </row>
    <row r="143" spans="1:32" x14ac:dyDescent="0.2">
      <c r="A143" s="34">
        <v>10019552</v>
      </c>
      <c r="B143" s="34" t="s">
        <v>25</v>
      </c>
      <c r="C143" s="34" t="s">
        <v>78</v>
      </c>
      <c r="D143" s="37">
        <v>42289</v>
      </c>
      <c r="E143" s="34">
        <v>93129237</v>
      </c>
      <c r="F143" s="37">
        <v>41983</v>
      </c>
      <c r="G143" s="34"/>
      <c r="H143" s="34">
        <v>1201766</v>
      </c>
      <c r="I143" s="34" t="s">
        <v>143</v>
      </c>
      <c r="J143" s="34">
        <v>1157939</v>
      </c>
      <c r="K143" s="34" t="s">
        <v>143</v>
      </c>
      <c r="L143" s="34">
        <v>1201766</v>
      </c>
      <c r="M143" s="34" t="s">
        <v>143</v>
      </c>
      <c r="N143" s="34">
        <v>56417</v>
      </c>
      <c r="O143" s="34" t="s">
        <v>181</v>
      </c>
      <c r="P143" s="34" t="s">
        <v>102</v>
      </c>
      <c r="Q143" s="34" t="s">
        <v>103</v>
      </c>
      <c r="R143" s="34">
        <v>329.42</v>
      </c>
      <c r="S143" s="34" t="s">
        <v>182</v>
      </c>
      <c r="T143" s="34" t="s">
        <v>63</v>
      </c>
      <c r="U143" s="34" t="s">
        <v>81</v>
      </c>
      <c r="V143" s="34" t="s">
        <v>71</v>
      </c>
      <c r="W143" s="37">
        <v>42299</v>
      </c>
      <c r="X143" s="34" t="s">
        <v>64</v>
      </c>
      <c r="Y143" s="37">
        <v>42289</v>
      </c>
      <c r="Z143" s="34"/>
      <c r="AA143" s="34"/>
      <c r="AB143" s="34"/>
      <c r="AC143" s="34" t="s">
        <v>183</v>
      </c>
      <c r="AD143" s="34">
        <v>580653979720</v>
      </c>
      <c r="AE143" s="34" t="s">
        <v>465</v>
      </c>
      <c r="AF143" s="34" t="s">
        <v>956</v>
      </c>
    </row>
    <row r="144" spans="1:32" x14ac:dyDescent="0.2">
      <c r="A144" s="34">
        <v>10019553</v>
      </c>
      <c r="B144" s="34" t="s">
        <v>25</v>
      </c>
      <c r="C144" s="34" t="s">
        <v>78</v>
      </c>
      <c r="D144" s="37">
        <v>42289</v>
      </c>
      <c r="E144" s="34">
        <v>93116157</v>
      </c>
      <c r="F144" s="37">
        <v>41976</v>
      </c>
      <c r="G144" s="34"/>
      <c r="H144" s="34">
        <v>1201766</v>
      </c>
      <c r="I144" s="34" t="s">
        <v>143</v>
      </c>
      <c r="J144" s="34">
        <v>1157939</v>
      </c>
      <c r="K144" s="34" t="s">
        <v>143</v>
      </c>
      <c r="L144" s="34">
        <v>1201766</v>
      </c>
      <c r="M144" s="34" t="s">
        <v>143</v>
      </c>
      <c r="N144" s="34">
        <v>56243</v>
      </c>
      <c r="O144" s="34" t="s">
        <v>181</v>
      </c>
      <c r="P144" s="34" t="s">
        <v>102</v>
      </c>
      <c r="Q144" s="34" t="s">
        <v>103</v>
      </c>
      <c r="R144" s="34">
        <v>7338.72</v>
      </c>
      <c r="S144" s="34" t="s">
        <v>182</v>
      </c>
      <c r="T144" s="34" t="s">
        <v>63</v>
      </c>
      <c r="U144" s="34" t="s">
        <v>81</v>
      </c>
      <c r="V144" s="34" t="s">
        <v>71</v>
      </c>
      <c r="W144" s="37">
        <v>42299</v>
      </c>
      <c r="X144" s="34" t="s">
        <v>64</v>
      </c>
      <c r="Y144" s="37">
        <v>42289</v>
      </c>
      <c r="Z144" s="34"/>
      <c r="AA144" s="34"/>
      <c r="AB144" s="34"/>
      <c r="AC144" s="34" t="s">
        <v>183</v>
      </c>
      <c r="AD144" s="34">
        <v>580653967820</v>
      </c>
      <c r="AE144" s="34" t="s">
        <v>465</v>
      </c>
      <c r="AF144" s="34" t="s">
        <v>957</v>
      </c>
    </row>
    <row r="145" spans="1:32" x14ac:dyDescent="0.2">
      <c r="A145" s="34">
        <v>10019554</v>
      </c>
      <c r="B145" s="34" t="s">
        <v>25</v>
      </c>
      <c r="C145" s="34" t="s">
        <v>78</v>
      </c>
      <c r="D145" s="37">
        <v>42289</v>
      </c>
      <c r="E145" s="34">
        <v>93108570</v>
      </c>
      <c r="F145" s="37">
        <v>41969</v>
      </c>
      <c r="G145" s="34"/>
      <c r="H145" s="34">
        <v>1201766</v>
      </c>
      <c r="I145" s="34" t="s">
        <v>143</v>
      </c>
      <c r="J145" s="34">
        <v>1157939</v>
      </c>
      <c r="K145" s="34" t="s">
        <v>143</v>
      </c>
      <c r="L145" s="34">
        <v>1201766</v>
      </c>
      <c r="M145" s="34" t="s">
        <v>143</v>
      </c>
      <c r="N145" s="34">
        <v>56174</v>
      </c>
      <c r="O145" s="34" t="s">
        <v>181</v>
      </c>
      <c r="P145" s="34" t="s">
        <v>97</v>
      </c>
      <c r="Q145" s="34" t="s">
        <v>98</v>
      </c>
      <c r="R145" s="34">
        <v>371.07</v>
      </c>
      <c r="S145" s="34" t="s">
        <v>182</v>
      </c>
      <c r="T145" s="34" t="s">
        <v>63</v>
      </c>
      <c r="U145" s="34" t="s">
        <v>81</v>
      </c>
      <c r="V145" s="34" t="s">
        <v>71</v>
      </c>
      <c r="W145" s="37">
        <v>42303</v>
      </c>
      <c r="X145" s="34" t="s">
        <v>64</v>
      </c>
      <c r="Y145" s="37">
        <v>42289</v>
      </c>
      <c r="Z145" s="34"/>
      <c r="AA145" s="34"/>
      <c r="AB145" s="34"/>
      <c r="AC145" s="34" t="s">
        <v>183</v>
      </c>
      <c r="AD145" s="34">
        <v>87944971379002</v>
      </c>
      <c r="AE145" s="34" t="s">
        <v>465</v>
      </c>
      <c r="AF145" s="34" t="s">
        <v>958</v>
      </c>
    </row>
    <row r="146" spans="1:32" x14ac:dyDescent="0.2">
      <c r="A146" s="34">
        <v>10019555</v>
      </c>
      <c r="B146" s="34" t="s">
        <v>26</v>
      </c>
      <c r="C146" s="34" t="s">
        <v>573</v>
      </c>
      <c r="D146" s="37">
        <v>42289</v>
      </c>
      <c r="E146" s="34">
        <v>93552898</v>
      </c>
      <c r="F146" s="37">
        <v>42286</v>
      </c>
      <c r="G146" s="34"/>
      <c r="H146" s="34">
        <v>1318826</v>
      </c>
      <c r="I146" s="34" t="s">
        <v>110</v>
      </c>
      <c r="J146" s="34">
        <v>1337267</v>
      </c>
      <c r="K146" s="34" t="s">
        <v>601</v>
      </c>
      <c r="L146" s="34">
        <v>1318826</v>
      </c>
      <c r="M146" s="34" t="s">
        <v>110</v>
      </c>
      <c r="N146" s="34">
        <v>3013868</v>
      </c>
      <c r="O146" s="34" t="s">
        <v>181</v>
      </c>
      <c r="P146" s="34" t="s">
        <v>102</v>
      </c>
      <c r="Q146" s="34" t="s">
        <v>103</v>
      </c>
      <c r="R146" s="34">
        <v>275.04000000000002</v>
      </c>
      <c r="S146" s="34" t="s">
        <v>182</v>
      </c>
      <c r="T146" s="34" t="s">
        <v>63</v>
      </c>
      <c r="U146" s="34" t="s">
        <v>81</v>
      </c>
      <c r="V146" s="34" t="s">
        <v>88</v>
      </c>
      <c r="W146" s="37">
        <v>42307</v>
      </c>
      <c r="X146" s="34" t="s">
        <v>64</v>
      </c>
      <c r="Y146" s="37">
        <v>42289</v>
      </c>
      <c r="Z146" s="34"/>
      <c r="AA146" s="34"/>
      <c r="AB146" s="34"/>
      <c r="AC146" s="34" t="s">
        <v>183</v>
      </c>
      <c r="AD146" s="34">
        <v>649275065811</v>
      </c>
      <c r="AE146" s="34" t="s">
        <v>89</v>
      </c>
      <c r="AF146" s="34" t="s">
        <v>959</v>
      </c>
    </row>
    <row r="147" spans="1:32" x14ac:dyDescent="0.2">
      <c r="A147" s="34">
        <v>10019556</v>
      </c>
      <c r="B147" s="34" t="s">
        <v>25</v>
      </c>
      <c r="C147" s="34" t="s">
        <v>78</v>
      </c>
      <c r="D147" s="37">
        <v>42289</v>
      </c>
      <c r="E147" s="34">
        <v>93098697</v>
      </c>
      <c r="F147" s="37">
        <v>41963</v>
      </c>
      <c r="G147" s="34"/>
      <c r="H147" s="34">
        <v>1201766</v>
      </c>
      <c r="I147" s="34" t="s">
        <v>143</v>
      </c>
      <c r="J147" s="34">
        <v>1157939</v>
      </c>
      <c r="K147" s="34" t="s">
        <v>143</v>
      </c>
      <c r="L147" s="34">
        <v>1201766</v>
      </c>
      <c r="M147" s="34" t="s">
        <v>143</v>
      </c>
      <c r="N147" s="34">
        <v>56068</v>
      </c>
      <c r="O147" s="34" t="s">
        <v>181</v>
      </c>
      <c r="P147" s="34" t="s">
        <v>97</v>
      </c>
      <c r="Q147" s="34" t="s">
        <v>98</v>
      </c>
      <c r="R147" s="34">
        <v>256.2</v>
      </c>
      <c r="S147" s="34" t="s">
        <v>182</v>
      </c>
      <c r="T147" s="34" t="s">
        <v>63</v>
      </c>
      <c r="U147" s="34" t="s">
        <v>81</v>
      </c>
      <c r="V147" s="34" t="s">
        <v>71</v>
      </c>
      <c r="W147" s="37">
        <v>42305</v>
      </c>
      <c r="X147" s="34" t="s">
        <v>64</v>
      </c>
      <c r="Y147" s="37">
        <v>42289</v>
      </c>
      <c r="Z147" s="34"/>
      <c r="AA147" s="34"/>
      <c r="AB147" s="34"/>
      <c r="AC147" s="34" t="s">
        <v>183</v>
      </c>
      <c r="AD147" s="34">
        <v>87944971350780</v>
      </c>
      <c r="AE147" s="34" t="s">
        <v>465</v>
      </c>
      <c r="AF147" s="34" t="s">
        <v>948</v>
      </c>
    </row>
    <row r="148" spans="1:32" x14ac:dyDescent="0.2">
      <c r="A148" s="34">
        <v>10019557</v>
      </c>
      <c r="B148" s="34" t="s">
        <v>25</v>
      </c>
      <c r="C148" s="34" t="s">
        <v>78</v>
      </c>
      <c r="D148" s="37">
        <v>42289</v>
      </c>
      <c r="E148" s="34">
        <v>93097052</v>
      </c>
      <c r="F148" s="37">
        <v>41962</v>
      </c>
      <c r="G148" s="34"/>
      <c r="H148" s="34">
        <v>1201766</v>
      </c>
      <c r="I148" s="34" t="s">
        <v>143</v>
      </c>
      <c r="J148" s="34">
        <v>1157939</v>
      </c>
      <c r="K148" s="34" t="s">
        <v>143</v>
      </c>
      <c r="L148" s="34">
        <v>1201766</v>
      </c>
      <c r="M148" s="34" t="s">
        <v>143</v>
      </c>
      <c r="N148" s="34">
        <v>55999</v>
      </c>
      <c r="O148" s="34" t="s">
        <v>181</v>
      </c>
      <c r="P148" s="34" t="s">
        <v>102</v>
      </c>
      <c r="Q148" s="34" t="s">
        <v>103</v>
      </c>
      <c r="R148" s="34">
        <v>982.89</v>
      </c>
      <c r="S148" s="34" t="s">
        <v>182</v>
      </c>
      <c r="T148" s="34" t="s">
        <v>63</v>
      </c>
      <c r="U148" s="34" t="s">
        <v>81</v>
      </c>
      <c r="V148" s="34" t="s">
        <v>71</v>
      </c>
      <c r="W148" s="37">
        <v>42299</v>
      </c>
      <c r="X148" s="34" t="s">
        <v>64</v>
      </c>
      <c r="Y148" s="37">
        <v>42289</v>
      </c>
      <c r="Z148" s="34"/>
      <c r="AA148" s="34"/>
      <c r="AB148" s="34"/>
      <c r="AC148" s="34" t="s">
        <v>183</v>
      </c>
      <c r="AD148" s="34">
        <v>580653944645</v>
      </c>
      <c r="AE148" s="34" t="s">
        <v>465</v>
      </c>
      <c r="AF148" s="34" t="s">
        <v>960</v>
      </c>
    </row>
    <row r="149" spans="1:32" x14ac:dyDescent="0.2">
      <c r="A149" s="34">
        <v>10019558</v>
      </c>
      <c r="B149" s="34" t="s">
        <v>26</v>
      </c>
      <c r="C149" s="34" t="s">
        <v>573</v>
      </c>
      <c r="D149" s="37">
        <v>42289</v>
      </c>
      <c r="E149" s="34">
        <v>93505708</v>
      </c>
      <c r="F149" s="37">
        <v>42248</v>
      </c>
      <c r="G149" s="34"/>
      <c r="H149" s="34">
        <v>1318826</v>
      </c>
      <c r="I149" s="34" t="s">
        <v>110</v>
      </c>
      <c r="J149" s="34">
        <v>1337268</v>
      </c>
      <c r="K149" s="34" t="s">
        <v>961</v>
      </c>
      <c r="L149" s="34">
        <v>1318826</v>
      </c>
      <c r="M149" s="34" t="s">
        <v>110</v>
      </c>
      <c r="N149" s="34">
        <v>2049479</v>
      </c>
      <c r="O149" s="34" t="s">
        <v>181</v>
      </c>
      <c r="P149" s="34" t="s">
        <v>97</v>
      </c>
      <c r="Q149" s="34" t="s">
        <v>98</v>
      </c>
      <c r="R149" s="34">
        <v>4315.2</v>
      </c>
      <c r="S149" s="34" t="s">
        <v>182</v>
      </c>
      <c r="T149" s="34" t="s">
        <v>63</v>
      </c>
      <c r="U149" s="34" t="s">
        <v>81</v>
      </c>
      <c r="V149" s="34" t="s">
        <v>88</v>
      </c>
      <c r="W149" s="37">
        <v>42292</v>
      </c>
      <c r="X149" s="34" t="s">
        <v>64</v>
      </c>
      <c r="Y149" s="37">
        <v>42289</v>
      </c>
      <c r="Z149" s="34"/>
      <c r="AA149" s="34"/>
      <c r="AB149" s="34"/>
      <c r="AC149" s="34" t="s">
        <v>183</v>
      </c>
      <c r="AD149" s="34" t="s">
        <v>962</v>
      </c>
      <c r="AE149" s="34" t="s">
        <v>89</v>
      </c>
      <c r="AF149" s="34" t="s">
        <v>963</v>
      </c>
    </row>
    <row r="150" spans="1:32" x14ac:dyDescent="0.2">
      <c r="A150" s="34">
        <v>10019560</v>
      </c>
      <c r="B150" s="34" t="s">
        <v>25</v>
      </c>
      <c r="C150" s="34" t="s">
        <v>78</v>
      </c>
      <c r="D150" s="37">
        <v>42289</v>
      </c>
      <c r="E150" s="34">
        <v>93097051</v>
      </c>
      <c r="F150" s="37">
        <v>41962</v>
      </c>
      <c r="G150" s="37">
        <v>41963</v>
      </c>
      <c r="H150" s="34">
        <v>1201766</v>
      </c>
      <c r="I150" s="34" t="s">
        <v>143</v>
      </c>
      <c r="J150" s="34">
        <v>1157939</v>
      </c>
      <c r="K150" s="34" t="s">
        <v>143</v>
      </c>
      <c r="L150" s="34">
        <v>1201766</v>
      </c>
      <c r="M150" s="34" t="s">
        <v>143</v>
      </c>
      <c r="N150" s="34">
        <v>55999</v>
      </c>
      <c r="O150" s="34" t="s">
        <v>181</v>
      </c>
      <c r="P150" s="34" t="s">
        <v>67</v>
      </c>
      <c r="Q150" s="34" t="s">
        <v>68</v>
      </c>
      <c r="R150" s="34">
        <v>968.44</v>
      </c>
      <c r="S150" s="34" t="s">
        <v>182</v>
      </c>
      <c r="T150" s="34" t="s">
        <v>63</v>
      </c>
      <c r="U150" s="34"/>
      <c r="V150" s="34"/>
      <c r="W150" s="34"/>
      <c r="X150" s="34" t="s">
        <v>64</v>
      </c>
      <c r="Y150" s="37">
        <v>42289</v>
      </c>
      <c r="Z150" s="34"/>
      <c r="AA150" s="34"/>
      <c r="AB150" s="34"/>
      <c r="AC150" s="34" t="s">
        <v>183</v>
      </c>
      <c r="AD150" s="34">
        <v>2795606435</v>
      </c>
      <c r="AE150" s="34"/>
      <c r="AF150" s="34"/>
    </row>
    <row r="151" spans="1:32" x14ac:dyDescent="0.2">
      <c r="A151" s="34">
        <v>10019561</v>
      </c>
      <c r="B151" s="34" t="s">
        <v>25</v>
      </c>
      <c r="C151" s="34" t="s">
        <v>78</v>
      </c>
      <c r="D151" s="37">
        <v>42289</v>
      </c>
      <c r="E151" s="34">
        <v>93002586</v>
      </c>
      <c r="F151" s="37">
        <v>41906</v>
      </c>
      <c r="G151" s="34"/>
      <c r="H151" s="34">
        <v>1201766</v>
      </c>
      <c r="I151" s="34" t="s">
        <v>143</v>
      </c>
      <c r="J151" s="34">
        <v>1157939</v>
      </c>
      <c r="K151" s="34" t="s">
        <v>143</v>
      </c>
      <c r="L151" s="34">
        <v>1201766</v>
      </c>
      <c r="M151" s="34" t="s">
        <v>143</v>
      </c>
      <c r="N151" s="34">
        <v>54969</v>
      </c>
      <c r="O151" s="34" t="s">
        <v>181</v>
      </c>
      <c r="P151" s="34" t="s">
        <v>97</v>
      </c>
      <c r="Q151" s="34" t="s">
        <v>98</v>
      </c>
      <c r="R151" s="34">
        <v>74.61</v>
      </c>
      <c r="S151" s="34" t="s">
        <v>182</v>
      </c>
      <c r="T151" s="34" t="s">
        <v>63</v>
      </c>
      <c r="U151" s="34"/>
      <c r="V151" s="34"/>
      <c r="W151" s="34"/>
      <c r="X151" s="34" t="s">
        <v>64</v>
      </c>
      <c r="Y151" s="37">
        <v>42289</v>
      </c>
      <c r="Z151" s="34"/>
      <c r="AA151" s="34"/>
      <c r="AB151" s="34"/>
      <c r="AC151" s="34" t="s">
        <v>183</v>
      </c>
      <c r="AD151" s="34">
        <v>87944971156139</v>
      </c>
      <c r="AE151" s="34"/>
      <c r="AF151" s="34"/>
    </row>
    <row r="152" spans="1:32" x14ac:dyDescent="0.2">
      <c r="A152" s="34">
        <v>10019562</v>
      </c>
      <c r="B152" s="34" t="s">
        <v>26</v>
      </c>
      <c r="C152" s="34" t="s">
        <v>573</v>
      </c>
      <c r="D152" s="37">
        <v>42289</v>
      </c>
      <c r="E152" s="34">
        <v>93549849</v>
      </c>
      <c r="F152" s="37">
        <v>42284</v>
      </c>
      <c r="G152" s="34"/>
      <c r="H152" s="34">
        <v>1318826</v>
      </c>
      <c r="I152" s="34" t="s">
        <v>110</v>
      </c>
      <c r="J152" s="34">
        <v>1337267</v>
      </c>
      <c r="K152" s="34" t="s">
        <v>601</v>
      </c>
      <c r="L152" s="34">
        <v>1318826</v>
      </c>
      <c r="M152" s="34" t="s">
        <v>110</v>
      </c>
      <c r="N152" s="34">
        <v>3016169</v>
      </c>
      <c r="O152" s="34" t="s">
        <v>181</v>
      </c>
      <c r="P152" s="34" t="s">
        <v>97</v>
      </c>
      <c r="Q152" s="34" t="s">
        <v>98</v>
      </c>
      <c r="R152" s="34">
        <v>38.520000000000003</v>
      </c>
      <c r="S152" s="34" t="s">
        <v>182</v>
      </c>
      <c r="T152" s="34" t="s">
        <v>63</v>
      </c>
      <c r="U152" s="34" t="s">
        <v>81</v>
      </c>
      <c r="V152" s="34" t="s">
        <v>88</v>
      </c>
      <c r="W152" s="37">
        <v>42307</v>
      </c>
      <c r="X152" s="34" t="s">
        <v>64</v>
      </c>
      <c r="Y152" s="37">
        <v>42289</v>
      </c>
      <c r="Z152" s="34"/>
      <c r="AA152" s="34"/>
      <c r="AB152" s="34"/>
      <c r="AC152" s="34" t="s">
        <v>183</v>
      </c>
      <c r="AD152" s="34">
        <v>87944972585150</v>
      </c>
      <c r="AE152" s="34" t="s">
        <v>89</v>
      </c>
      <c r="AF152" s="34" t="s">
        <v>964</v>
      </c>
    </row>
    <row r="153" spans="1:32" x14ac:dyDescent="0.2">
      <c r="A153" s="34">
        <v>10019563</v>
      </c>
      <c r="B153" s="34" t="s">
        <v>25</v>
      </c>
      <c r="C153" s="34" t="s">
        <v>78</v>
      </c>
      <c r="D153" s="37">
        <v>42289</v>
      </c>
      <c r="E153" s="34">
        <v>92955752</v>
      </c>
      <c r="F153" s="37">
        <v>41862</v>
      </c>
      <c r="G153" s="34"/>
      <c r="H153" s="34">
        <v>1201766</v>
      </c>
      <c r="I153" s="34" t="s">
        <v>143</v>
      </c>
      <c r="J153" s="34">
        <v>1157939</v>
      </c>
      <c r="K153" s="34" t="s">
        <v>143</v>
      </c>
      <c r="L153" s="34">
        <v>1201766</v>
      </c>
      <c r="M153" s="34" t="s">
        <v>143</v>
      </c>
      <c r="N153" s="34">
        <v>54064</v>
      </c>
      <c r="O153" s="34" t="s">
        <v>181</v>
      </c>
      <c r="P153" s="34" t="s">
        <v>97</v>
      </c>
      <c r="Q153" s="34" t="s">
        <v>98</v>
      </c>
      <c r="R153" s="34">
        <v>376.03</v>
      </c>
      <c r="S153" s="34" t="s">
        <v>182</v>
      </c>
      <c r="T153" s="34" t="s">
        <v>63</v>
      </c>
      <c r="U153" s="34"/>
      <c r="V153" s="34"/>
      <c r="W153" s="34"/>
      <c r="X153" s="34" t="s">
        <v>64</v>
      </c>
      <c r="Y153" s="37">
        <v>42289</v>
      </c>
      <c r="Z153" s="34"/>
      <c r="AA153" s="34"/>
      <c r="AB153" s="34"/>
      <c r="AC153" s="34" t="s">
        <v>183</v>
      </c>
      <c r="AD153" s="34">
        <v>87944971018178</v>
      </c>
      <c r="AE153" s="34"/>
      <c r="AF153" s="34"/>
    </row>
    <row r="154" spans="1:32" x14ac:dyDescent="0.2">
      <c r="A154" s="34">
        <v>10019564</v>
      </c>
      <c r="B154" s="34"/>
      <c r="C154" s="34" t="s">
        <v>573</v>
      </c>
      <c r="D154" s="37">
        <v>42289</v>
      </c>
      <c r="E154" s="34">
        <v>93536565</v>
      </c>
      <c r="F154" s="37">
        <v>42272</v>
      </c>
      <c r="G154" s="34"/>
      <c r="H154" s="34">
        <v>1318826</v>
      </c>
      <c r="I154" s="34" t="s">
        <v>110</v>
      </c>
      <c r="J154" s="34">
        <v>1337268</v>
      </c>
      <c r="K154" s="34" t="s">
        <v>961</v>
      </c>
      <c r="L154" s="34">
        <v>1318826</v>
      </c>
      <c r="M154" s="34" t="s">
        <v>110</v>
      </c>
      <c r="N154" s="34">
        <v>2050792</v>
      </c>
      <c r="O154" s="34" t="s">
        <v>181</v>
      </c>
      <c r="P154" s="34" t="s">
        <v>102</v>
      </c>
      <c r="Q154" s="34" t="s">
        <v>103</v>
      </c>
      <c r="R154" s="34">
        <v>669.6</v>
      </c>
      <c r="S154" s="34" t="s">
        <v>182</v>
      </c>
      <c r="T154" s="34" t="s">
        <v>120</v>
      </c>
      <c r="U154" s="34"/>
      <c r="V154" s="34"/>
      <c r="W154" s="34"/>
      <c r="X154" s="34"/>
      <c r="Y154" s="34"/>
      <c r="Z154" s="34"/>
      <c r="AA154" s="34"/>
      <c r="AB154" s="34"/>
      <c r="AC154" s="34" t="s">
        <v>183</v>
      </c>
      <c r="AD154" s="34">
        <v>649275045599</v>
      </c>
      <c r="AE154" s="34"/>
      <c r="AF154" s="34"/>
    </row>
    <row r="155" spans="1:32" x14ac:dyDescent="0.2">
      <c r="A155" s="34">
        <v>10019565</v>
      </c>
      <c r="B155" s="34" t="s">
        <v>25</v>
      </c>
      <c r="C155" s="34" t="s">
        <v>78</v>
      </c>
      <c r="D155" s="37">
        <v>42289</v>
      </c>
      <c r="E155" s="34">
        <v>92783189</v>
      </c>
      <c r="F155" s="37">
        <v>41702</v>
      </c>
      <c r="G155" s="34"/>
      <c r="H155" s="34">
        <v>1201766</v>
      </c>
      <c r="I155" s="34" t="s">
        <v>143</v>
      </c>
      <c r="J155" s="34">
        <v>1157939</v>
      </c>
      <c r="K155" s="34" t="s">
        <v>143</v>
      </c>
      <c r="L155" s="34">
        <v>1201766</v>
      </c>
      <c r="M155" s="34" t="s">
        <v>143</v>
      </c>
      <c r="N155" s="34">
        <v>51323</v>
      </c>
      <c r="O155" s="34" t="s">
        <v>181</v>
      </c>
      <c r="P155" s="34" t="s">
        <v>67</v>
      </c>
      <c r="Q155" s="34" t="s">
        <v>68</v>
      </c>
      <c r="R155" s="34">
        <v>24</v>
      </c>
      <c r="S155" s="34" t="s">
        <v>182</v>
      </c>
      <c r="T155" s="34" t="s">
        <v>63</v>
      </c>
      <c r="U155" s="34"/>
      <c r="V155" s="34"/>
      <c r="W155" s="34"/>
      <c r="X155" s="34" t="s">
        <v>64</v>
      </c>
      <c r="Y155" s="37">
        <v>42289</v>
      </c>
      <c r="Z155" s="34"/>
      <c r="AA155" s="34"/>
      <c r="AB155" s="34"/>
      <c r="AC155" s="34" t="s">
        <v>183</v>
      </c>
      <c r="AD155" s="34">
        <v>2475760103</v>
      </c>
      <c r="AE155" s="34"/>
      <c r="AF155" s="34"/>
    </row>
    <row r="156" spans="1:32" x14ac:dyDescent="0.2">
      <c r="A156" s="34">
        <v>10019566</v>
      </c>
      <c r="B156" s="34" t="s">
        <v>18</v>
      </c>
      <c r="C156" s="34" t="s">
        <v>573</v>
      </c>
      <c r="D156" s="37">
        <v>42289</v>
      </c>
      <c r="E156" s="34">
        <v>93546345</v>
      </c>
      <c r="F156" s="37">
        <v>42282</v>
      </c>
      <c r="G156" s="37">
        <v>42284</v>
      </c>
      <c r="H156" s="34">
        <v>1201367</v>
      </c>
      <c r="I156" s="34" t="s">
        <v>878</v>
      </c>
      <c r="J156" s="34">
        <v>1131720</v>
      </c>
      <c r="K156" s="34" t="s">
        <v>878</v>
      </c>
      <c r="L156" s="34">
        <v>1172009</v>
      </c>
      <c r="M156" s="34" t="s">
        <v>878</v>
      </c>
      <c r="N156" s="34">
        <v>18504</v>
      </c>
      <c r="O156" s="34" t="s">
        <v>181</v>
      </c>
      <c r="P156" s="34" t="s">
        <v>67</v>
      </c>
      <c r="Q156" s="34" t="s">
        <v>68</v>
      </c>
      <c r="R156" s="34">
        <v>528</v>
      </c>
      <c r="S156" s="34" t="s">
        <v>182</v>
      </c>
      <c r="T156" s="34" t="s">
        <v>63</v>
      </c>
      <c r="U156" s="34" t="s">
        <v>70</v>
      </c>
      <c r="V156" s="34" t="s">
        <v>76</v>
      </c>
      <c r="W156" s="37">
        <v>42297</v>
      </c>
      <c r="X156" s="34" t="s">
        <v>64</v>
      </c>
      <c r="Y156" s="37">
        <v>42289</v>
      </c>
      <c r="Z156" s="34"/>
      <c r="AA156" s="34"/>
      <c r="AB156" s="34"/>
      <c r="AC156" s="34" t="s">
        <v>183</v>
      </c>
      <c r="AD156" s="34">
        <v>3527000400</v>
      </c>
      <c r="AE156" s="34" t="s">
        <v>77</v>
      </c>
      <c r="AF156" s="34" t="s">
        <v>965</v>
      </c>
    </row>
    <row r="157" spans="1:32" x14ac:dyDescent="0.2">
      <c r="A157" s="34">
        <v>10019567</v>
      </c>
      <c r="B157" s="34" t="s">
        <v>25</v>
      </c>
      <c r="C157" s="34" t="s">
        <v>78</v>
      </c>
      <c r="D157" s="37">
        <v>42289</v>
      </c>
      <c r="E157" s="34">
        <v>92762036</v>
      </c>
      <c r="F157" s="37">
        <v>41683</v>
      </c>
      <c r="G157" s="34"/>
      <c r="H157" s="34">
        <v>1201766</v>
      </c>
      <c r="I157" s="34" t="s">
        <v>143</v>
      </c>
      <c r="J157" s="34">
        <v>1157939</v>
      </c>
      <c r="K157" s="34" t="s">
        <v>143</v>
      </c>
      <c r="L157" s="34">
        <v>1201766</v>
      </c>
      <c r="M157" s="34" t="s">
        <v>143</v>
      </c>
      <c r="N157" s="34">
        <v>51138</v>
      </c>
      <c r="O157" s="34" t="s">
        <v>181</v>
      </c>
      <c r="P157" s="34" t="s">
        <v>67</v>
      </c>
      <c r="Q157" s="34" t="s">
        <v>68</v>
      </c>
      <c r="R157" s="34">
        <v>324.44</v>
      </c>
      <c r="S157" s="34" t="s">
        <v>182</v>
      </c>
      <c r="T157" s="34" t="s">
        <v>63</v>
      </c>
      <c r="U157" s="34"/>
      <c r="V157" s="34"/>
      <c r="W157" s="34"/>
      <c r="X157" s="34" t="s">
        <v>64</v>
      </c>
      <c r="Y157" s="37">
        <v>42289</v>
      </c>
      <c r="Z157" s="34"/>
      <c r="AA157" s="34"/>
      <c r="AB157" s="34"/>
      <c r="AC157" s="34" t="s">
        <v>183</v>
      </c>
      <c r="AD157" s="34">
        <v>2475781626</v>
      </c>
      <c r="AE157" s="34"/>
      <c r="AF157" s="34"/>
    </row>
    <row r="158" spans="1:32" x14ac:dyDescent="0.2">
      <c r="A158" s="34">
        <v>10019568</v>
      </c>
      <c r="B158" s="34" t="s">
        <v>25</v>
      </c>
      <c r="C158" s="34" t="s">
        <v>78</v>
      </c>
      <c r="D158" s="37">
        <v>42289</v>
      </c>
      <c r="E158" s="34">
        <v>92715034</v>
      </c>
      <c r="F158" s="37">
        <v>41645</v>
      </c>
      <c r="G158" s="34"/>
      <c r="H158" s="34">
        <v>1201766</v>
      </c>
      <c r="I158" s="34" t="s">
        <v>143</v>
      </c>
      <c r="J158" s="34">
        <v>1157939</v>
      </c>
      <c r="K158" s="34" t="s">
        <v>143</v>
      </c>
      <c r="L158" s="34">
        <v>1201766</v>
      </c>
      <c r="M158" s="34" t="s">
        <v>143</v>
      </c>
      <c r="N158" s="34">
        <v>50429</v>
      </c>
      <c r="O158" s="34" t="s">
        <v>181</v>
      </c>
      <c r="P158" s="34" t="s">
        <v>97</v>
      </c>
      <c r="Q158" s="34" t="s">
        <v>98</v>
      </c>
      <c r="R158" s="34">
        <v>324.44</v>
      </c>
      <c r="S158" s="34" t="s">
        <v>182</v>
      </c>
      <c r="T158" s="34" t="s">
        <v>63</v>
      </c>
      <c r="U158" s="34" t="s">
        <v>81</v>
      </c>
      <c r="V158" s="34" t="s">
        <v>71</v>
      </c>
      <c r="W158" s="37">
        <v>42303</v>
      </c>
      <c r="X158" s="34" t="s">
        <v>64</v>
      </c>
      <c r="Y158" s="37">
        <v>42289</v>
      </c>
      <c r="Z158" s="34"/>
      <c r="AA158" s="34"/>
      <c r="AB158" s="34"/>
      <c r="AC158" s="34" t="s">
        <v>183</v>
      </c>
      <c r="AD158" s="34" t="s">
        <v>966</v>
      </c>
      <c r="AE158" s="34" t="s">
        <v>465</v>
      </c>
      <c r="AF158" s="34" t="s">
        <v>967</v>
      </c>
    </row>
    <row r="159" spans="1:32" x14ac:dyDescent="0.2">
      <c r="A159" s="34">
        <v>10019570</v>
      </c>
      <c r="B159" s="34" t="s">
        <v>18</v>
      </c>
      <c r="C159" s="34" t="s">
        <v>573</v>
      </c>
      <c r="D159" s="37">
        <v>42289</v>
      </c>
      <c r="E159" s="34">
        <v>93552552</v>
      </c>
      <c r="F159" s="37">
        <v>42286</v>
      </c>
      <c r="G159" s="34"/>
      <c r="H159" s="34">
        <v>1201120</v>
      </c>
      <c r="I159" s="34" t="s">
        <v>117</v>
      </c>
      <c r="J159" s="34">
        <v>1307782</v>
      </c>
      <c r="K159" s="34" t="s">
        <v>119</v>
      </c>
      <c r="L159" s="34">
        <v>1171090</v>
      </c>
      <c r="M159" s="34" t="s">
        <v>118</v>
      </c>
      <c r="N159" s="34" t="s">
        <v>515</v>
      </c>
      <c r="O159" s="34" t="s">
        <v>181</v>
      </c>
      <c r="P159" s="34" t="s">
        <v>102</v>
      </c>
      <c r="Q159" s="34" t="s">
        <v>103</v>
      </c>
      <c r="R159" s="34">
        <v>270.92</v>
      </c>
      <c r="S159" s="34" t="s">
        <v>182</v>
      </c>
      <c r="T159" s="34" t="s">
        <v>69</v>
      </c>
      <c r="U159" s="34" t="s">
        <v>70</v>
      </c>
      <c r="V159" s="34" t="s">
        <v>76</v>
      </c>
      <c r="W159" s="37">
        <v>42291</v>
      </c>
      <c r="X159" s="34" t="s">
        <v>64</v>
      </c>
      <c r="Y159" s="37">
        <v>42289</v>
      </c>
      <c r="Z159" s="34" t="s">
        <v>100</v>
      </c>
      <c r="AA159" s="34">
        <v>62010584</v>
      </c>
      <c r="AB159" s="37">
        <v>42304</v>
      </c>
      <c r="AC159" s="34" t="s">
        <v>183</v>
      </c>
      <c r="AD159" s="34">
        <v>649275065785</v>
      </c>
      <c r="AE159" s="34" t="s">
        <v>77</v>
      </c>
      <c r="AF159" s="34" t="s">
        <v>191</v>
      </c>
    </row>
    <row r="160" spans="1:32" x14ac:dyDescent="0.2">
      <c r="A160" s="34">
        <v>10019571</v>
      </c>
      <c r="B160" s="34" t="s">
        <v>22</v>
      </c>
      <c r="C160" s="34" t="s">
        <v>573</v>
      </c>
      <c r="D160" s="37">
        <v>42289</v>
      </c>
      <c r="E160" s="34">
        <v>93549791</v>
      </c>
      <c r="F160" s="37">
        <v>42284</v>
      </c>
      <c r="G160" s="34"/>
      <c r="H160" s="34">
        <v>1201605</v>
      </c>
      <c r="I160" s="34" t="s">
        <v>155</v>
      </c>
      <c r="J160" s="34">
        <v>1323069</v>
      </c>
      <c r="K160" s="34" t="s">
        <v>155</v>
      </c>
      <c r="L160" s="34">
        <v>1172017</v>
      </c>
      <c r="M160" s="34" t="s">
        <v>155</v>
      </c>
      <c r="N160" s="34">
        <v>538507</v>
      </c>
      <c r="O160" s="34" t="s">
        <v>181</v>
      </c>
      <c r="P160" s="34" t="s">
        <v>97</v>
      </c>
      <c r="Q160" s="34" t="s">
        <v>98</v>
      </c>
      <c r="R160" s="34">
        <v>7033.68</v>
      </c>
      <c r="S160" s="34" t="s">
        <v>182</v>
      </c>
      <c r="T160" s="34" t="s">
        <v>63</v>
      </c>
      <c r="U160" s="34" t="s">
        <v>94</v>
      </c>
      <c r="V160" s="34" t="s">
        <v>141</v>
      </c>
      <c r="W160" s="37">
        <v>42298</v>
      </c>
      <c r="X160" s="34" t="s">
        <v>64</v>
      </c>
      <c r="Y160" s="37">
        <v>42289</v>
      </c>
      <c r="Z160" s="34"/>
      <c r="AA160" s="34"/>
      <c r="AB160" s="34"/>
      <c r="AC160" s="34" t="s">
        <v>183</v>
      </c>
      <c r="AD160" s="34">
        <v>87944972581114</v>
      </c>
      <c r="AE160" s="34" t="s">
        <v>142</v>
      </c>
      <c r="AF160" s="34" t="s">
        <v>968</v>
      </c>
    </row>
    <row r="161" spans="1:32" x14ac:dyDescent="0.2">
      <c r="A161" s="34">
        <v>10019572</v>
      </c>
      <c r="B161" s="34" t="s">
        <v>26</v>
      </c>
      <c r="C161" s="34" t="s">
        <v>573</v>
      </c>
      <c r="D161" s="37">
        <v>42289</v>
      </c>
      <c r="E161" s="34">
        <v>93546434</v>
      </c>
      <c r="F161" s="37">
        <v>42282</v>
      </c>
      <c r="G161" s="34"/>
      <c r="H161" s="34">
        <v>1201458</v>
      </c>
      <c r="I161" s="34" t="s">
        <v>594</v>
      </c>
      <c r="J161" s="34">
        <v>1201458</v>
      </c>
      <c r="K161" s="34" t="s">
        <v>594</v>
      </c>
      <c r="L161" s="34">
        <v>1201458</v>
      </c>
      <c r="M161" s="34" t="s">
        <v>594</v>
      </c>
      <c r="N161" s="34">
        <v>274090</v>
      </c>
      <c r="O161" s="34" t="s">
        <v>181</v>
      </c>
      <c r="P161" s="34" t="s">
        <v>102</v>
      </c>
      <c r="Q161" s="34" t="s">
        <v>103</v>
      </c>
      <c r="R161" s="34">
        <v>46383.839999999997</v>
      </c>
      <c r="S161" s="34" t="s">
        <v>182</v>
      </c>
      <c r="T161" s="34" t="s">
        <v>69</v>
      </c>
      <c r="U161" s="34" t="s">
        <v>94</v>
      </c>
      <c r="V161" s="34" t="s">
        <v>71</v>
      </c>
      <c r="W161" s="37">
        <v>42292</v>
      </c>
      <c r="X161" s="34" t="s">
        <v>83</v>
      </c>
      <c r="Y161" s="37">
        <v>42292</v>
      </c>
      <c r="Z161" s="34" t="s">
        <v>72</v>
      </c>
      <c r="AA161" s="34">
        <v>62008394</v>
      </c>
      <c r="AB161" s="37">
        <v>42300</v>
      </c>
      <c r="AC161" s="34" t="s">
        <v>183</v>
      </c>
      <c r="AD161" s="34">
        <v>649275060360</v>
      </c>
      <c r="AE161" s="34" t="s">
        <v>96</v>
      </c>
      <c r="AF161" s="34" t="s">
        <v>969</v>
      </c>
    </row>
    <row r="162" spans="1:32" x14ac:dyDescent="0.2">
      <c r="A162" s="34">
        <v>10019573</v>
      </c>
      <c r="B162" s="34" t="s">
        <v>25</v>
      </c>
      <c r="C162" s="34" t="s">
        <v>78</v>
      </c>
      <c r="D162" s="37">
        <v>42289</v>
      </c>
      <c r="E162" s="34">
        <v>92497867</v>
      </c>
      <c r="F162" s="37">
        <v>41417</v>
      </c>
      <c r="G162" s="34"/>
      <c r="H162" s="34">
        <v>1201766</v>
      </c>
      <c r="I162" s="34" t="s">
        <v>143</v>
      </c>
      <c r="J162" s="34">
        <v>1157939</v>
      </c>
      <c r="K162" s="34" t="s">
        <v>143</v>
      </c>
      <c r="L162" s="34">
        <v>1201766</v>
      </c>
      <c r="M162" s="34" t="s">
        <v>143</v>
      </c>
      <c r="N162" s="34">
        <v>46859</v>
      </c>
      <c r="O162" s="34" t="s">
        <v>181</v>
      </c>
      <c r="P162" s="34" t="s">
        <v>97</v>
      </c>
      <c r="Q162" s="34" t="s">
        <v>98</v>
      </c>
      <c r="R162" s="34">
        <v>3505.46</v>
      </c>
      <c r="S162" s="34" t="s">
        <v>182</v>
      </c>
      <c r="T162" s="34" t="s">
        <v>63</v>
      </c>
      <c r="U162" s="34"/>
      <c r="V162" s="34"/>
      <c r="W162" s="34"/>
      <c r="X162" s="34" t="s">
        <v>64</v>
      </c>
      <c r="Y162" s="37">
        <v>42289</v>
      </c>
      <c r="Z162" s="34"/>
      <c r="AA162" s="34"/>
      <c r="AB162" s="34"/>
      <c r="AC162" s="34" t="s">
        <v>183</v>
      </c>
      <c r="AD162" s="34">
        <v>87944980395581</v>
      </c>
      <c r="AE162" s="34"/>
      <c r="AF162" s="34"/>
    </row>
    <row r="163" spans="1:32" x14ac:dyDescent="0.2">
      <c r="A163" s="34">
        <v>10019579</v>
      </c>
      <c r="B163" s="34" t="s">
        <v>22</v>
      </c>
      <c r="C163" s="34" t="s">
        <v>573</v>
      </c>
      <c r="D163" s="37">
        <v>42290</v>
      </c>
      <c r="E163" s="34">
        <v>93551011</v>
      </c>
      <c r="F163" s="37">
        <v>42285</v>
      </c>
      <c r="G163" s="34"/>
      <c r="H163" s="34">
        <v>1201120</v>
      </c>
      <c r="I163" s="34" t="s">
        <v>117</v>
      </c>
      <c r="J163" s="34">
        <v>1324827</v>
      </c>
      <c r="K163" s="34" t="s">
        <v>119</v>
      </c>
      <c r="L163" s="34">
        <v>1171090</v>
      </c>
      <c r="M163" s="34" t="s">
        <v>118</v>
      </c>
      <c r="N163" s="34">
        <v>62513</v>
      </c>
      <c r="O163" s="34" t="s">
        <v>181</v>
      </c>
      <c r="P163" s="34" t="s">
        <v>97</v>
      </c>
      <c r="Q163" s="34" t="s">
        <v>98</v>
      </c>
      <c r="R163" s="34">
        <v>13416</v>
      </c>
      <c r="S163" s="34" t="s">
        <v>182</v>
      </c>
      <c r="T163" s="34" t="s">
        <v>69</v>
      </c>
      <c r="U163" s="34" t="s">
        <v>104</v>
      </c>
      <c r="V163" s="34" t="s">
        <v>71</v>
      </c>
      <c r="W163" s="37">
        <v>42296</v>
      </c>
      <c r="X163" s="34" t="s">
        <v>64</v>
      </c>
      <c r="Y163" s="37">
        <v>42290</v>
      </c>
      <c r="Z163" s="34" t="s">
        <v>72</v>
      </c>
      <c r="AA163" s="34">
        <v>62008398</v>
      </c>
      <c r="AB163" s="37">
        <v>42300</v>
      </c>
      <c r="AC163" s="34" t="s">
        <v>183</v>
      </c>
      <c r="AD163" s="34">
        <v>87944972586492</v>
      </c>
      <c r="AE163" s="34" t="s">
        <v>352</v>
      </c>
      <c r="AF163" s="34" t="s">
        <v>970</v>
      </c>
    </row>
    <row r="164" spans="1:32" x14ac:dyDescent="0.2">
      <c r="A164" s="34">
        <v>10019581</v>
      </c>
      <c r="B164" s="34" t="s">
        <v>26</v>
      </c>
      <c r="C164" s="34" t="s">
        <v>78</v>
      </c>
      <c r="D164" s="37">
        <v>42290</v>
      </c>
      <c r="E164" s="34">
        <v>93551194</v>
      </c>
      <c r="F164" s="37">
        <v>42285</v>
      </c>
      <c r="G164" s="34"/>
      <c r="H164" s="34">
        <v>1201483</v>
      </c>
      <c r="I164" s="34" t="s">
        <v>147</v>
      </c>
      <c r="J164" s="34">
        <v>1001169</v>
      </c>
      <c r="K164" s="34" t="s">
        <v>148</v>
      </c>
      <c r="L164" s="34">
        <v>1201483</v>
      </c>
      <c r="M164" s="34" t="s">
        <v>147</v>
      </c>
      <c r="N164" s="34">
        <v>94082</v>
      </c>
      <c r="O164" s="34" t="s">
        <v>181</v>
      </c>
      <c r="P164" s="34" t="s">
        <v>97</v>
      </c>
      <c r="Q164" s="34" t="s">
        <v>98</v>
      </c>
      <c r="R164" s="34">
        <v>643.79999999999995</v>
      </c>
      <c r="S164" s="34" t="s">
        <v>182</v>
      </c>
      <c r="T164" s="34" t="s">
        <v>63</v>
      </c>
      <c r="U164" s="34" t="s">
        <v>81</v>
      </c>
      <c r="V164" s="34" t="s">
        <v>88</v>
      </c>
      <c r="W164" s="37">
        <v>42307</v>
      </c>
      <c r="X164" s="34" t="s">
        <v>64</v>
      </c>
      <c r="Y164" s="37">
        <v>42290</v>
      </c>
      <c r="Z164" s="34"/>
      <c r="AA164" s="34"/>
      <c r="AB164" s="34"/>
      <c r="AC164" s="34" t="s">
        <v>183</v>
      </c>
      <c r="AD164" s="34">
        <v>87944972586638</v>
      </c>
      <c r="AE164" s="34" t="s">
        <v>89</v>
      </c>
      <c r="AF164" s="34" t="s">
        <v>971</v>
      </c>
    </row>
    <row r="165" spans="1:32" x14ac:dyDescent="0.2">
      <c r="A165" s="34">
        <v>10019582</v>
      </c>
      <c r="B165" s="34" t="s">
        <v>26</v>
      </c>
      <c r="C165" s="34" t="s">
        <v>573</v>
      </c>
      <c r="D165" s="37">
        <v>42290</v>
      </c>
      <c r="E165" s="34">
        <v>93539833</v>
      </c>
      <c r="F165" s="37">
        <v>42276</v>
      </c>
      <c r="G165" s="34"/>
      <c r="H165" s="34">
        <v>1201047</v>
      </c>
      <c r="I165" s="34" t="s">
        <v>79</v>
      </c>
      <c r="J165" s="34">
        <v>1317086</v>
      </c>
      <c r="K165" s="34" t="s">
        <v>85</v>
      </c>
      <c r="L165" s="34">
        <v>1171089</v>
      </c>
      <c r="M165" s="34" t="s">
        <v>75</v>
      </c>
      <c r="N165" s="34">
        <v>23609465</v>
      </c>
      <c r="O165" s="34" t="s">
        <v>181</v>
      </c>
      <c r="P165" s="34" t="s">
        <v>86</v>
      </c>
      <c r="Q165" s="34" t="s">
        <v>87</v>
      </c>
      <c r="R165" s="34">
        <v>4453.92</v>
      </c>
      <c r="S165" s="34" t="s">
        <v>182</v>
      </c>
      <c r="T165" s="34" t="s">
        <v>63</v>
      </c>
      <c r="U165" s="34" t="s">
        <v>81</v>
      </c>
      <c r="V165" s="34" t="s">
        <v>88</v>
      </c>
      <c r="W165" s="37">
        <v>42310</v>
      </c>
      <c r="X165" s="34" t="s">
        <v>64</v>
      </c>
      <c r="Y165" s="37">
        <v>42290</v>
      </c>
      <c r="Z165" s="34"/>
      <c r="AA165" s="34"/>
      <c r="AB165" s="34"/>
      <c r="AC165" s="34" t="s">
        <v>183</v>
      </c>
      <c r="AD165" s="34" t="s">
        <v>972</v>
      </c>
      <c r="AE165" s="34" t="s">
        <v>89</v>
      </c>
      <c r="AF165" s="34" t="s">
        <v>274</v>
      </c>
    </row>
    <row r="166" spans="1:32" x14ac:dyDescent="0.2">
      <c r="A166" s="34">
        <v>10019584</v>
      </c>
      <c r="B166" s="34" t="s">
        <v>24</v>
      </c>
      <c r="C166" s="34" t="s">
        <v>78</v>
      </c>
      <c r="D166" s="37">
        <v>42290</v>
      </c>
      <c r="E166" s="34">
        <v>93523080</v>
      </c>
      <c r="F166" s="37">
        <v>42262</v>
      </c>
      <c r="G166" s="37">
        <v>42269</v>
      </c>
      <c r="H166" s="34">
        <v>1201316</v>
      </c>
      <c r="I166" s="34" t="s">
        <v>519</v>
      </c>
      <c r="J166" s="34">
        <v>1027443</v>
      </c>
      <c r="K166" s="34" t="s">
        <v>520</v>
      </c>
      <c r="L166" s="34">
        <v>1171973</v>
      </c>
      <c r="M166" s="34" t="s">
        <v>521</v>
      </c>
      <c r="N166" s="34" t="s">
        <v>973</v>
      </c>
      <c r="O166" s="34" t="s">
        <v>181</v>
      </c>
      <c r="P166" s="34" t="s">
        <v>67</v>
      </c>
      <c r="Q166" s="34" t="s">
        <v>68</v>
      </c>
      <c r="R166" s="34">
        <v>720</v>
      </c>
      <c r="S166" s="34" t="s">
        <v>182</v>
      </c>
      <c r="T166" s="34" t="s">
        <v>63</v>
      </c>
      <c r="U166" s="34"/>
      <c r="V166" s="34"/>
      <c r="W166" s="34"/>
      <c r="X166" s="34" t="s">
        <v>64</v>
      </c>
      <c r="Y166" s="37">
        <v>42290</v>
      </c>
      <c r="Z166" s="34"/>
      <c r="AA166" s="34"/>
      <c r="AB166" s="34"/>
      <c r="AC166" s="34" t="s">
        <v>183</v>
      </c>
      <c r="AD166" s="34">
        <v>3527008402</v>
      </c>
      <c r="AE166" s="34"/>
      <c r="AF166" s="34"/>
    </row>
    <row r="167" spans="1:32" x14ac:dyDescent="0.2">
      <c r="A167" s="34">
        <v>10019585</v>
      </c>
      <c r="B167" s="34" t="s">
        <v>22</v>
      </c>
      <c r="C167" s="34" t="s">
        <v>573</v>
      </c>
      <c r="D167" s="37">
        <v>42290</v>
      </c>
      <c r="E167" s="34">
        <v>93544347</v>
      </c>
      <c r="F167" s="37">
        <v>42279</v>
      </c>
      <c r="G167" s="34"/>
      <c r="H167" s="34">
        <v>1201120</v>
      </c>
      <c r="I167" s="34" t="s">
        <v>117</v>
      </c>
      <c r="J167" s="34">
        <v>1307782</v>
      </c>
      <c r="K167" s="34" t="s">
        <v>119</v>
      </c>
      <c r="L167" s="34">
        <v>1171090</v>
      </c>
      <c r="M167" s="34" t="s">
        <v>118</v>
      </c>
      <c r="N167" s="34" t="s">
        <v>922</v>
      </c>
      <c r="O167" s="34" t="s">
        <v>181</v>
      </c>
      <c r="P167" s="34" t="s">
        <v>97</v>
      </c>
      <c r="Q167" s="34" t="s">
        <v>98</v>
      </c>
      <c r="R167" s="34">
        <v>642.6</v>
      </c>
      <c r="S167" s="34" t="s">
        <v>182</v>
      </c>
      <c r="T167" s="34" t="s">
        <v>63</v>
      </c>
      <c r="U167" s="34"/>
      <c r="V167" s="34"/>
      <c r="W167" s="34"/>
      <c r="X167" s="34" t="s">
        <v>64</v>
      </c>
      <c r="Y167" s="37">
        <v>42290</v>
      </c>
      <c r="Z167" s="34"/>
      <c r="AA167" s="34"/>
      <c r="AB167" s="34"/>
      <c r="AC167" s="34" t="s">
        <v>183</v>
      </c>
      <c r="AD167" s="34" t="s">
        <v>923</v>
      </c>
      <c r="AE167" s="34"/>
      <c r="AF167" s="34"/>
    </row>
    <row r="168" spans="1:32" x14ac:dyDescent="0.2">
      <c r="A168" s="34">
        <v>10019589</v>
      </c>
      <c r="B168" s="34" t="s">
        <v>18</v>
      </c>
      <c r="C168" s="34" t="s">
        <v>573</v>
      </c>
      <c r="D168" s="37">
        <v>42291</v>
      </c>
      <c r="E168" s="34">
        <v>93551149</v>
      </c>
      <c r="F168" s="37">
        <v>42285</v>
      </c>
      <c r="G168" s="34"/>
      <c r="H168" s="34">
        <v>1201399</v>
      </c>
      <c r="I168" s="34" t="s">
        <v>144</v>
      </c>
      <c r="J168" s="34">
        <v>1334926</v>
      </c>
      <c r="K168" s="34" t="s">
        <v>145</v>
      </c>
      <c r="L168" s="34">
        <v>1171970</v>
      </c>
      <c r="M168" s="34" t="s">
        <v>144</v>
      </c>
      <c r="N168" s="34">
        <v>8106675437</v>
      </c>
      <c r="O168" s="34" t="s">
        <v>181</v>
      </c>
      <c r="P168" s="34" t="s">
        <v>91</v>
      </c>
      <c r="Q168" s="34" t="s">
        <v>92</v>
      </c>
      <c r="R168" s="34">
        <v>534.24</v>
      </c>
      <c r="S168" s="34" t="s">
        <v>182</v>
      </c>
      <c r="T168" s="34" t="s">
        <v>63</v>
      </c>
      <c r="U168" s="34" t="s">
        <v>70</v>
      </c>
      <c r="V168" s="34" t="s">
        <v>76</v>
      </c>
      <c r="W168" s="37">
        <v>42297</v>
      </c>
      <c r="X168" s="34" t="s">
        <v>64</v>
      </c>
      <c r="Y168" s="37">
        <v>42291</v>
      </c>
      <c r="Z168" s="34"/>
      <c r="AA168" s="34"/>
      <c r="AB168" s="34"/>
      <c r="AC168" s="34" t="s">
        <v>183</v>
      </c>
      <c r="AD168" s="34" t="s">
        <v>974</v>
      </c>
      <c r="AE168" s="34" t="s">
        <v>77</v>
      </c>
      <c r="AF168" s="34" t="s">
        <v>803</v>
      </c>
    </row>
    <row r="169" spans="1:32" x14ac:dyDescent="0.2">
      <c r="A169" s="34">
        <v>10019590</v>
      </c>
      <c r="B169" s="34" t="s">
        <v>18</v>
      </c>
      <c r="C169" s="34" t="s">
        <v>573</v>
      </c>
      <c r="D169" s="37">
        <v>42291</v>
      </c>
      <c r="E169" s="34">
        <v>93538655</v>
      </c>
      <c r="F169" s="37">
        <v>42275</v>
      </c>
      <c r="G169" s="34"/>
      <c r="H169" s="34">
        <v>1201399</v>
      </c>
      <c r="I169" s="34" t="s">
        <v>144</v>
      </c>
      <c r="J169" s="34">
        <v>1334926</v>
      </c>
      <c r="K169" s="34" t="s">
        <v>145</v>
      </c>
      <c r="L169" s="34">
        <v>1171970</v>
      </c>
      <c r="M169" s="34" t="s">
        <v>144</v>
      </c>
      <c r="N169" s="34">
        <v>8106674525</v>
      </c>
      <c r="O169" s="34" t="s">
        <v>181</v>
      </c>
      <c r="P169" s="34" t="s">
        <v>279</v>
      </c>
      <c r="Q169" s="34" t="s">
        <v>280</v>
      </c>
      <c r="R169" s="34">
        <v>4714.5600000000004</v>
      </c>
      <c r="S169" s="34" t="s">
        <v>182</v>
      </c>
      <c r="T169" s="34" t="s">
        <v>63</v>
      </c>
      <c r="U169" s="34" t="s">
        <v>70</v>
      </c>
      <c r="V169" s="34" t="s">
        <v>76</v>
      </c>
      <c r="W169" s="37">
        <v>42297</v>
      </c>
      <c r="X169" s="34" t="s">
        <v>64</v>
      </c>
      <c r="Y169" s="37">
        <v>42291</v>
      </c>
      <c r="Z169" s="34"/>
      <c r="AA169" s="34"/>
      <c r="AB169" s="34"/>
      <c r="AC169" s="34" t="s">
        <v>183</v>
      </c>
      <c r="AD169" s="34" t="s">
        <v>857</v>
      </c>
      <c r="AE169" s="34" t="s">
        <v>77</v>
      </c>
      <c r="AF169" s="34" t="s">
        <v>370</v>
      </c>
    </row>
    <row r="170" spans="1:32" x14ac:dyDescent="0.2">
      <c r="A170" s="34">
        <v>10019591</v>
      </c>
      <c r="B170" s="34" t="s">
        <v>22</v>
      </c>
      <c r="C170" s="34" t="s">
        <v>78</v>
      </c>
      <c r="D170" s="37">
        <v>42291</v>
      </c>
      <c r="E170" s="34">
        <v>93534652</v>
      </c>
      <c r="F170" s="37">
        <v>42271</v>
      </c>
      <c r="G170" s="34"/>
      <c r="H170" s="34">
        <v>1201315</v>
      </c>
      <c r="I170" s="34" t="s">
        <v>256</v>
      </c>
      <c r="J170" s="34">
        <v>1317763</v>
      </c>
      <c r="K170" s="34" t="s">
        <v>256</v>
      </c>
      <c r="L170" s="34">
        <v>1201315</v>
      </c>
      <c r="M170" s="34" t="s">
        <v>256</v>
      </c>
      <c r="N170" s="34">
        <v>5627926</v>
      </c>
      <c r="O170" s="34" t="s">
        <v>181</v>
      </c>
      <c r="P170" s="34" t="s">
        <v>102</v>
      </c>
      <c r="Q170" s="34" t="s">
        <v>103</v>
      </c>
      <c r="R170" s="34">
        <v>4893.24</v>
      </c>
      <c r="S170" s="34" t="s">
        <v>182</v>
      </c>
      <c r="T170" s="34" t="s">
        <v>63</v>
      </c>
      <c r="U170" s="34" t="s">
        <v>94</v>
      </c>
      <c r="V170" s="34" t="s">
        <v>141</v>
      </c>
      <c r="W170" s="37">
        <v>42305</v>
      </c>
      <c r="X170" s="34" t="s">
        <v>64</v>
      </c>
      <c r="Y170" s="37">
        <v>42291</v>
      </c>
      <c r="Z170" s="34"/>
      <c r="AA170" s="34"/>
      <c r="AB170" s="34"/>
      <c r="AC170" s="34" t="s">
        <v>183</v>
      </c>
      <c r="AD170" s="34">
        <v>649275042762</v>
      </c>
      <c r="AE170" s="34" t="s">
        <v>142</v>
      </c>
      <c r="AF170" s="34" t="s">
        <v>975</v>
      </c>
    </row>
    <row r="171" spans="1:32" x14ac:dyDescent="0.2">
      <c r="A171" s="34">
        <v>10019592</v>
      </c>
      <c r="B171" s="34" t="s">
        <v>18</v>
      </c>
      <c r="C171" s="34" t="s">
        <v>573</v>
      </c>
      <c r="D171" s="37">
        <v>42291</v>
      </c>
      <c r="E171" s="34">
        <v>93538655</v>
      </c>
      <c r="F171" s="37">
        <v>42275</v>
      </c>
      <c r="G171" s="34"/>
      <c r="H171" s="34">
        <v>1201399</v>
      </c>
      <c r="I171" s="34" t="s">
        <v>144</v>
      </c>
      <c r="J171" s="34">
        <v>1334926</v>
      </c>
      <c r="K171" s="34" t="s">
        <v>145</v>
      </c>
      <c r="L171" s="34">
        <v>1171970</v>
      </c>
      <c r="M171" s="34" t="s">
        <v>144</v>
      </c>
      <c r="N171" s="34">
        <v>8106674525</v>
      </c>
      <c r="O171" s="34" t="s">
        <v>181</v>
      </c>
      <c r="P171" s="34" t="s">
        <v>279</v>
      </c>
      <c r="Q171" s="34" t="s">
        <v>280</v>
      </c>
      <c r="R171" s="34">
        <v>4714.5600000000004</v>
      </c>
      <c r="S171" s="34" t="s">
        <v>182</v>
      </c>
      <c r="T171" s="34" t="s">
        <v>63</v>
      </c>
      <c r="U171" s="34" t="s">
        <v>84</v>
      </c>
      <c r="V171" s="34" t="s">
        <v>82</v>
      </c>
      <c r="W171" s="37">
        <v>42297</v>
      </c>
      <c r="X171" s="34" t="s">
        <v>64</v>
      </c>
      <c r="Y171" s="37">
        <v>42291</v>
      </c>
      <c r="Z171" s="34"/>
      <c r="AA171" s="34"/>
      <c r="AB171" s="34"/>
      <c r="AC171" s="34" t="s">
        <v>183</v>
      </c>
      <c r="AD171" s="34" t="s">
        <v>857</v>
      </c>
      <c r="AE171" s="34" t="s">
        <v>84</v>
      </c>
      <c r="AF171" s="34" t="s">
        <v>976</v>
      </c>
    </row>
    <row r="172" spans="1:32" x14ac:dyDescent="0.2">
      <c r="A172" s="34">
        <v>10019593</v>
      </c>
      <c r="B172" s="34" t="s">
        <v>24</v>
      </c>
      <c r="C172" s="34" t="s">
        <v>78</v>
      </c>
      <c r="D172" s="37">
        <v>42291</v>
      </c>
      <c r="E172" s="34">
        <v>93538633</v>
      </c>
      <c r="F172" s="37">
        <v>42275</v>
      </c>
      <c r="G172" s="37">
        <v>42279</v>
      </c>
      <c r="H172" s="34">
        <v>1201316</v>
      </c>
      <c r="I172" s="34" t="s">
        <v>519</v>
      </c>
      <c r="J172" s="34">
        <v>1027443</v>
      </c>
      <c r="K172" s="34" t="s">
        <v>520</v>
      </c>
      <c r="L172" s="34">
        <v>1171973</v>
      </c>
      <c r="M172" s="34" t="s">
        <v>521</v>
      </c>
      <c r="N172" s="34" t="s">
        <v>977</v>
      </c>
      <c r="O172" s="34" t="s">
        <v>181</v>
      </c>
      <c r="P172" s="34" t="s">
        <v>67</v>
      </c>
      <c r="Q172" s="34" t="s">
        <v>68</v>
      </c>
      <c r="R172" s="34">
        <v>2760</v>
      </c>
      <c r="S172" s="34" t="s">
        <v>182</v>
      </c>
      <c r="T172" s="34" t="s">
        <v>63</v>
      </c>
      <c r="U172" s="34"/>
      <c r="V172" s="34"/>
      <c r="W172" s="34"/>
      <c r="X172" s="34" t="s">
        <v>64</v>
      </c>
      <c r="Y172" s="37">
        <v>42291</v>
      </c>
      <c r="Z172" s="34"/>
      <c r="AA172" s="34"/>
      <c r="AB172" s="34"/>
      <c r="AC172" s="34" t="s">
        <v>183</v>
      </c>
      <c r="AD172" s="34">
        <v>3527006991</v>
      </c>
      <c r="AE172" s="34"/>
      <c r="AF172" s="34"/>
    </row>
    <row r="173" spans="1:32" x14ac:dyDescent="0.2">
      <c r="A173" s="34">
        <v>10019594</v>
      </c>
      <c r="B173" s="34" t="s">
        <v>18</v>
      </c>
      <c r="C173" s="34" t="s">
        <v>573</v>
      </c>
      <c r="D173" s="37">
        <v>42291</v>
      </c>
      <c r="E173" s="34">
        <v>93552548</v>
      </c>
      <c r="F173" s="37">
        <v>42286</v>
      </c>
      <c r="G173" s="34"/>
      <c r="H173" s="34">
        <v>1201120</v>
      </c>
      <c r="I173" s="34" t="s">
        <v>117</v>
      </c>
      <c r="J173" s="34">
        <v>1307782</v>
      </c>
      <c r="K173" s="34" t="s">
        <v>119</v>
      </c>
      <c r="L173" s="34">
        <v>1171090</v>
      </c>
      <c r="M173" s="34" t="s">
        <v>118</v>
      </c>
      <c r="N173" s="34" t="s">
        <v>978</v>
      </c>
      <c r="O173" s="34" t="s">
        <v>181</v>
      </c>
      <c r="P173" s="34" t="s">
        <v>97</v>
      </c>
      <c r="Q173" s="34" t="s">
        <v>98</v>
      </c>
      <c r="R173" s="34">
        <v>923.44</v>
      </c>
      <c r="S173" s="34" t="s">
        <v>182</v>
      </c>
      <c r="T173" s="34" t="s">
        <v>63</v>
      </c>
      <c r="U173" s="34" t="s">
        <v>70</v>
      </c>
      <c r="V173" s="34" t="s">
        <v>76</v>
      </c>
      <c r="W173" s="37">
        <v>42297</v>
      </c>
      <c r="X173" s="34" t="s">
        <v>64</v>
      </c>
      <c r="Y173" s="37">
        <v>42291</v>
      </c>
      <c r="Z173" s="34"/>
      <c r="AA173" s="34"/>
      <c r="AB173" s="34"/>
      <c r="AC173" s="34" t="s">
        <v>183</v>
      </c>
      <c r="AD173" s="34" t="s">
        <v>979</v>
      </c>
      <c r="AE173" s="34" t="s">
        <v>77</v>
      </c>
      <c r="AF173" s="34" t="s">
        <v>980</v>
      </c>
    </row>
    <row r="174" spans="1:32" x14ac:dyDescent="0.2">
      <c r="A174" s="34">
        <v>10019595</v>
      </c>
      <c r="B174" s="34" t="s">
        <v>26</v>
      </c>
      <c r="C174" s="34" t="s">
        <v>78</v>
      </c>
      <c r="D174" s="37">
        <v>42291</v>
      </c>
      <c r="E174" s="34">
        <v>93546114</v>
      </c>
      <c r="F174" s="37">
        <v>42282</v>
      </c>
      <c r="G174" s="34"/>
      <c r="H174" s="34">
        <v>1057544</v>
      </c>
      <c r="I174" s="34" t="s">
        <v>363</v>
      </c>
      <c r="J174" s="34">
        <v>1327308</v>
      </c>
      <c r="K174" s="34" t="s">
        <v>363</v>
      </c>
      <c r="L174" s="34">
        <v>1057544</v>
      </c>
      <c r="M174" s="34" t="s">
        <v>363</v>
      </c>
      <c r="N174" s="34">
        <v>8119976</v>
      </c>
      <c r="O174" s="34" t="s">
        <v>181</v>
      </c>
      <c r="P174" s="34" t="s">
        <v>102</v>
      </c>
      <c r="Q174" s="34" t="s">
        <v>103</v>
      </c>
      <c r="R174" s="34">
        <v>22110.720000000001</v>
      </c>
      <c r="S174" s="34" t="s">
        <v>182</v>
      </c>
      <c r="T174" s="34" t="s">
        <v>63</v>
      </c>
      <c r="U174" s="34"/>
      <c r="V174" s="34"/>
      <c r="W174" s="34"/>
      <c r="X174" s="34" t="s">
        <v>83</v>
      </c>
      <c r="Y174" s="37">
        <v>42293</v>
      </c>
      <c r="Z174" s="34"/>
      <c r="AA174" s="34"/>
      <c r="AB174" s="34"/>
      <c r="AC174" s="34" t="s">
        <v>183</v>
      </c>
      <c r="AD174" s="34" t="s">
        <v>981</v>
      </c>
      <c r="AE174" s="34"/>
      <c r="AF174" s="34"/>
    </row>
    <row r="175" spans="1:32" x14ac:dyDescent="0.2">
      <c r="A175" s="34">
        <v>10019596</v>
      </c>
      <c r="B175" s="34"/>
      <c r="C175" s="34" t="s">
        <v>573</v>
      </c>
      <c r="D175" s="37">
        <v>42291</v>
      </c>
      <c r="E175" s="34">
        <v>93552774</v>
      </c>
      <c r="F175" s="37">
        <v>42286</v>
      </c>
      <c r="G175" s="37">
        <v>42291</v>
      </c>
      <c r="H175" s="34">
        <v>1201646</v>
      </c>
      <c r="I175" s="34" t="s">
        <v>164</v>
      </c>
      <c r="J175" s="34">
        <v>1201646</v>
      </c>
      <c r="K175" s="34" t="s">
        <v>164</v>
      </c>
      <c r="L175" s="34">
        <v>1201646</v>
      </c>
      <c r="M175" s="34" t="s">
        <v>164</v>
      </c>
      <c r="N175" s="34">
        <v>8045549</v>
      </c>
      <c r="O175" s="34" t="s">
        <v>181</v>
      </c>
      <c r="P175" s="34" t="s">
        <v>67</v>
      </c>
      <c r="Q175" s="34" t="s">
        <v>68</v>
      </c>
      <c r="R175" s="34">
        <v>249.39</v>
      </c>
      <c r="S175" s="34" t="s">
        <v>182</v>
      </c>
      <c r="T175" s="34" t="s">
        <v>120</v>
      </c>
      <c r="U175" s="34"/>
      <c r="V175" s="34"/>
      <c r="W175" s="34"/>
      <c r="X175" s="34"/>
      <c r="Y175" s="34"/>
      <c r="Z175" s="34"/>
      <c r="AA175" s="34"/>
      <c r="AB175" s="34"/>
      <c r="AC175" s="34" t="s">
        <v>183</v>
      </c>
      <c r="AD175" s="34">
        <v>3527009124</v>
      </c>
      <c r="AE175" s="34"/>
      <c r="AF175" s="34"/>
    </row>
    <row r="176" spans="1:32" x14ac:dyDescent="0.2">
      <c r="A176" s="34">
        <v>10019597</v>
      </c>
      <c r="B176" s="34" t="s">
        <v>26</v>
      </c>
      <c r="C176" s="34" t="s">
        <v>78</v>
      </c>
      <c r="D176" s="37">
        <v>42291</v>
      </c>
      <c r="E176" s="34">
        <v>93555051</v>
      </c>
      <c r="F176" s="37">
        <v>42289</v>
      </c>
      <c r="G176" s="37">
        <v>42290</v>
      </c>
      <c r="H176" s="34">
        <v>1319184</v>
      </c>
      <c r="I176" s="34" t="s">
        <v>479</v>
      </c>
      <c r="J176" s="34">
        <v>1319184</v>
      </c>
      <c r="K176" s="34" t="s">
        <v>479</v>
      </c>
      <c r="L176" s="34">
        <v>1319184</v>
      </c>
      <c r="M176" s="34" t="s">
        <v>479</v>
      </c>
      <c r="N176" s="34">
        <v>563449</v>
      </c>
      <c r="O176" s="34" t="s">
        <v>181</v>
      </c>
      <c r="P176" s="34" t="s">
        <v>67</v>
      </c>
      <c r="Q176" s="34" t="s">
        <v>68</v>
      </c>
      <c r="R176" s="34">
        <v>53.22</v>
      </c>
      <c r="S176" s="34" t="s">
        <v>182</v>
      </c>
      <c r="T176" s="34" t="s">
        <v>63</v>
      </c>
      <c r="U176" s="34" t="s">
        <v>94</v>
      </c>
      <c r="V176" s="34" t="s">
        <v>95</v>
      </c>
      <c r="W176" s="37">
        <v>42304</v>
      </c>
      <c r="X176" s="34" t="s">
        <v>64</v>
      </c>
      <c r="Y176" s="37">
        <v>42291</v>
      </c>
      <c r="Z176" s="34"/>
      <c r="AA176" s="34"/>
      <c r="AB176" s="34"/>
      <c r="AC176" s="34" t="s">
        <v>183</v>
      </c>
      <c r="AD176" s="34">
        <v>3527006442</v>
      </c>
      <c r="AE176" s="34" t="s">
        <v>96</v>
      </c>
      <c r="AF176" s="34" t="s">
        <v>982</v>
      </c>
    </row>
    <row r="177" spans="1:32" x14ac:dyDescent="0.2">
      <c r="A177" s="34">
        <v>10019600</v>
      </c>
      <c r="B177" s="34" t="s">
        <v>18</v>
      </c>
      <c r="C177" s="34" t="s">
        <v>573</v>
      </c>
      <c r="D177" s="37">
        <v>42292</v>
      </c>
      <c r="E177" s="34">
        <v>93549708</v>
      </c>
      <c r="F177" s="37">
        <v>42284</v>
      </c>
      <c r="G177" s="37">
        <v>42289</v>
      </c>
      <c r="H177" s="34">
        <v>1201399</v>
      </c>
      <c r="I177" s="34" t="s">
        <v>144</v>
      </c>
      <c r="J177" s="34">
        <v>1042176</v>
      </c>
      <c r="K177" s="34" t="s">
        <v>145</v>
      </c>
      <c r="L177" s="34">
        <v>1171970</v>
      </c>
      <c r="M177" s="34" t="s">
        <v>144</v>
      </c>
      <c r="N177" s="34">
        <v>8128600287</v>
      </c>
      <c r="O177" s="34" t="s">
        <v>181</v>
      </c>
      <c r="P177" s="34" t="s">
        <v>67</v>
      </c>
      <c r="Q177" s="34" t="s">
        <v>68</v>
      </c>
      <c r="R177" s="34">
        <v>57.51</v>
      </c>
      <c r="S177" s="34" t="s">
        <v>182</v>
      </c>
      <c r="T177" s="34" t="s">
        <v>63</v>
      </c>
      <c r="U177" s="34" t="s">
        <v>70</v>
      </c>
      <c r="V177" s="34" t="s">
        <v>76</v>
      </c>
      <c r="W177" s="37">
        <v>42297</v>
      </c>
      <c r="X177" s="34" t="s">
        <v>64</v>
      </c>
      <c r="Y177" s="37">
        <v>42292</v>
      </c>
      <c r="Z177" s="34"/>
      <c r="AA177" s="34"/>
      <c r="AB177" s="34"/>
      <c r="AC177" s="34" t="s">
        <v>183</v>
      </c>
      <c r="AD177" s="34">
        <v>3527000724</v>
      </c>
      <c r="AE177" s="34" t="s">
        <v>77</v>
      </c>
      <c r="AF177" s="34" t="s">
        <v>622</v>
      </c>
    </row>
    <row r="178" spans="1:32" x14ac:dyDescent="0.2">
      <c r="A178" s="34">
        <v>10019601</v>
      </c>
      <c r="B178" s="34" t="s">
        <v>18</v>
      </c>
      <c r="C178" s="34" t="s">
        <v>573</v>
      </c>
      <c r="D178" s="37">
        <v>42292</v>
      </c>
      <c r="E178" s="34">
        <v>93557223</v>
      </c>
      <c r="F178" s="37">
        <v>42291</v>
      </c>
      <c r="G178" s="34"/>
      <c r="H178" s="34">
        <v>1201047</v>
      </c>
      <c r="I178" s="34" t="s">
        <v>79</v>
      </c>
      <c r="J178" s="34">
        <v>1340974</v>
      </c>
      <c r="K178" s="34" t="s">
        <v>93</v>
      </c>
      <c r="L178" s="34">
        <v>1171089</v>
      </c>
      <c r="M178" s="34" t="s">
        <v>75</v>
      </c>
      <c r="N178" s="34">
        <v>87102432</v>
      </c>
      <c r="O178" s="34" t="s">
        <v>181</v>
      </c>
      <c r="P178" s="34" t="s">
        <v>279</v>
      </c>
      <c r="Q178" s="34" t="s">
        <v>280</v>
      </c>
      <c r="R178" s="34">
        <v>6120.09</v>
      </c>
      <c r="S178" s="34" t="s">
        <v>182</v>
      </c>
      <c r="T178" s="34" t="s">
        <v>69</v>
      </c>
      <c r="U178" s="34" t="s">
        <v>70</v>
      </c>
      <c r="V178" s="34" t="s">
        <v>76</v>
      </c>
      <c r="W178" s="37">
        <v>42297</v>
      </c>
      <c r="X178" s="34" t="s">
        <v>64</v>
      </c>
      <c r="Y178" s="37">
        <v>42292</v>
      </c>
      <c r="Z178" s="34" t="s">
        <v>100</v>
      </c>
      <c r="AA178" s="34">
        <v>62013370</v>
      </c>
      <c r="AB178" s="37">
        <v>42307</v>
      </c>
      <c r="AC178" s="34" t="s">
        <v>183</v>
      </c>
      <c r="AD178" s="34" t="s">
        <v>983</v>
      </c>
      <c r="AE178" s="34" t="s">
        <v>77</v>
      </c>
      <c r="AF178" s="34" t="s">
        <v>984</v>
      </c>
    </row>
    <row r="179" spans="1:32" x14ac:dyDescent="0.2">
      <c r="A179" s="34">
        <v>10019602</v>
      </c>
      <c r="B179" s="34" t="s">
        <v>26</v>
      </c>
      <c r="C179" s="34" t="s">
        <v>573</v>
      </c>
      <c r="D179" s="37">
        <v>42292</v>
      </c>
      <c r="E179" s="34">
        <v>93549422</v>
      </c>
      <c r="F179" s="37">
        <v>42284</v>
      </c>
      <c r="G179" s="34"/>
      <c r="H179" s="34">
        <v>1201047</v>
      </c>
      <c r="I179" s="34" t="s">
        <v>79</v>
      </c>
      <c r="J179" s="34">
        <v>1003696</v>
      </c>
      <c r="K179" s="34" t="s">
        <v>80</v>
      </c>
      <c r="L179" s="34">
        <v>1171089</v>
      </c>
      <c r="M179" s="34" t="s">
        <v>75</v>
      </c>
      <c r="N179" s="34">
        <v>24507459</v>
      </c>
      <c r="O179" s="34" t="s">
        <v>181</v>
      </c>
      <c r="P179" s="34" t="s">
        <v>97</v>
      </c>
      <c r="Q179" s="34" t="s">
        <v>98</v>
      </c>
      <c r="R179" s="34">
        <v>5375.16</v>
      </c>
      <c r="S179" s="34" t="s">
        <v>182</v>
      </c>
      <c r="T179" s="34" t="s">
        <v>63</v>
      </c>
      <c r="U179" s="34" t="s">
        <v>94</v>
      </c>
      <c r="V179" s="34" t="s">
        <v>82</v>
      </c>
      <c r="W179" s="37">
        <v>42310</v>
      </c>
      <c r="X179" s="34" t="s">
        <v>64</v>
      </c>
      <c r="Y179" s="37">
        <v>42292</v>
      </c>
      <c r="Z179" s="34"/>
      <c r="AA179" s="34"/>
      <c r="AB179" s="34"/>
      <c r="AC179" s="34" t="s">
        <v>183</v>
      </c>
      <c r="AD179" s="34">
        <v>87944972568214</v>
      </c>
      <c r="AE179" s="34" t="s">
        <v>985</v>
      </c>
      <c r="AF179" s="34" t="s">
        <v>986</v>
      </c>
    </row>
    <row r="180" spans="1:32" x14ac:dyDescent="0.2">
      <c r="A180" s="34">
        <v>10019603</v>
      </c>
      <c r="B180" s="34" t="s">
        <v>26</v>
      </c>
      <c r="C180" s="34" t="s">
        <v>573</v>
      </c>
      <c r="D180" s="37">
        <v>42292</v>
      </c>
      <c r="E180" s="34">
        <v>93534423</v>
      </c>
      <c r="F180" s="37">
        <v>42271</v>
      </c>
      <c r="G180" s="34"/>
      <c r="H180" s="34">
        <v>1201047</v>
      </c>
      <c r="I180" s="34" t="s">
        <v>79</v>
      </c>
      <c r="J180" s="34">
        <v>1309880</v>
      </c>
      <c r="K180" s="34" t="s">
        <v>108</v>
      </c>
      <c r="L180" s="34">
        <v>1171089</v>
      </c>
      <c r="M180" s="34" t="s">
        <v>75</v>
      </c>
      <c r="N180" s="34">
        <v>18750027</v>
      </c>
      <c r="O180" s="34" t="s">
        <v>181</v>
      </c>
      <c r="P180" s="34" t="s">
        <v>91</v>
      </c>
      <c r="Q180" s="34" t="s">
        <v>92</v>
      </c>
      <c r="R180" s="34">
        <v>137.79</v>
      </c>
      <c r="S180" s="34" t="s">
        <v>182</v>
      </c>
      <c r="T180" s="34" t="s">
        <v>63</v>
      </c>
      <c r="U180" s="34" t="s">
        <v>105</v>
      </c>
      <c r="V180" s="34" t="s">
        <v>82</v>
      </c>
      <c r="W180" s="37">
        <v>42307</v>
      </c>
      <c r="X180" s="34"/>
      <c r="Y180" s="34"/>
      <c r="Z180" s="34"/>
      <c r="AA180" s="34"/>
      <c r="AB180" s="34"/>
      <c r="AC180" s="34" t="s">
        <v>183</v>
      </c>
      <c r="AD180" s="34" t="s">
        <v>987</v>
      </c>
      <c r="AE180" s="34" t="s">
        <v>89</v>
      </c>
      <c r="AF180" s="34" t="s">
        <v>988</v>
      </c>
    </row>
    <row r="181" spans="1:32" x14ac:dyDescent="0.2">
      <c r="A181" s="34">
        <v>10019604</v>
      </c>
      <c r="B181" s="34" t="s">
        <v>18</v>
      </c>
      <c r="C181" s="34" t="s">
        <v>573</v>
      </c>
      <c r="D181" s="37">
        <v>42292</v>
      </c>
      <c r="E181" s="34">
        <v>93555730</v>
      </c>
      <c r="F181" s="37">
        <v>42290</v>
      </c>
      <c r="G181" s="34"/>
      <c r="H181" s="34">
        <v>1057544</v>
      </c>
      <c r="I181" s="34" t="s">
        <v>363</v>
      </c>
      <c r="J181" s="34">
        <v>1327308</v>
      </c>
      <c r="K181" s="34" t="s">
        <v>363</v>
      </c>
      <c r="L181" s="34">
        <v>1057544</v>
      </c>
      <c r="M181" s="34" t="s">
        <v>363</v>
      </c>
      <c r="N181" s="34">
        <v>8120444</v>
      </c>
      <c r="O181" s="34" t="s">
        <v>181</v>
      </c>
      <c r="P181" s="34" t="s">
        <v>102</v>
      </c>
      <c r="Q181" s="34" t="s">
        <v>103</v>
      </c>
      <c r="R181" s="34">
        <v>144</v>
      </c>
      <c r="S181" s="34" t="s">
        <v>182</v>
      </c>
      <c r="T181" s="34" t="s">
        <v>63</v>
      </c>
      <c r="U181" s="34" t="s">
        <v>70</v>
      </c>
      <c r="V181" s="34" t="s">
        <v>76</v>
      </c>
      <c r="W181" s="37">
        <v>42297</v>
      </c>
      <c r="X181" s="34" t="s">
        <v>64</v>
      </c>
      <c r="Y181" s="37">
        <v>42292</v>
      </c>
      <c r="Z181" s="34"/>
      <c r="AA181" s="34"/>
      <c r="AB181" s="34"/>
      <c r="AC181" s="34" t="s">
        <v>183</v>
      </c>
      <c r="AD181" s="34" t="s">
        <v>989</v>
      </c>
      <c r="AE181" s="34" t="s">
        <v>77</v>
      </c>
      <c r="AF181" s="34" t="s">
        <v>990</v>
      </c>
    </row>
    <row r="182" spans="1:32" x14ac:dyDescent="0.2">
      <c r="A182" s="34">
        <v>10019605</v>
      </c>
      <c r="B182" s="34" t="s">
        <v>26</v>
      </c>
      <c r="C182" s="34" t="s">
        <v>573</v>
      </c>
      <c r="D182" s="37">
        <v>42292</v>
      </c>
      <c r="E182" s="34">
        <v>93547738</v>
      </c>
      <c r="F182" s="37">
        <v>42283</v>
      </c>
      <c r="G182" s="34"/>
      <c r="H182" s="34">
        <v>1201047</v>
      </c>
      <c r="I182" s="34" t="s">
        <v>79</v>
      </c>
      <c r="J182" s="34">
        <v>1317086</v>
      </c>
      <c r="K182" s="34" t="s">
        <v>85</v>
      </c>
      <c r="L182" s="34">
        <v>1171089</v>
      </c>
      <c r="M182" s="34" t="s">
        <v>75</v>
      </c>
      <c r="N182" s="34">
        <v>23610320</v>
      </c>
      <c r="O182" s="34" t="s">
        <v>181</v>
      </c>
      <c r="P182" s="34" t="s">
        <v>86</v>
      </c>
      <c r="Q182" s="34" t="s">
        <v>87</v>
      </c>
      <c r="R182" s="34">
        <v>7656.72</v>
      </c>
      <c r="S182" s="34" t="s">
        <v>182</v>
      </c>
      <c r="T182" s="34" t="s">
        <v>63</v>
      </c>
      <c r="U182" s="34"/>
      <c r="V182" s="34"/>
      <c r="W182" s="34"/>
      <c r="X182" s="34" t="s">
        <v>64</v>
      </c>
      <c r="Y182" s="37">
        <v>42292</v>
      </c>
      <c r="Z182" s="34"/>
      <c r="AA182" s="34"/>
      <c r="AB182" s="34"/>
      <c r="AC182" s="34" t="s">
        <v>183</v>
      </c>
      <c r="AD182" s="34" t="s">
        <v>991</v>
      </c>
      <c r="AE182" s="34"/>
      <c r="AF182" s="34"/>
    </row>
    <row r="183" spans="1:32" x14ac:dyDescent="0.2">
      <c r="A183" s="34">
        <v>10019606</v>
      </c>
      <c r="B183" s="34" t="s">
        <v>26</v>
      </c>
      <c r="C183" s="34" t="s">
        <v>573</v>
      </c>
      <c r="D183" s="37">
        <v>42292</v>
      </c>
      <c r="E183" s="34">
        <v>93556051</v>
      </c>
      <c r="F183" s="37">
        <v>42290</v>
      </c>
      <c r="G183" s="34"/>
      <c r="H183" s="34">
        <v>1201399</v>
      </c>
      <c r="I183" s="34" t="s">
        <v>144</v>
      </c>
      <c r="J183" s="34">
        <v>1031968</v>
      </c>
      <c r="K183" s="34" t="s">
        <v>145</v>
      </c>
      <c r="L183" s="34">
        <v>1171970</v>
      </c>
      <c r="M183" s="34" t="s">
        <v>144</v>
      </c>
      <c r="N183" s="34">
        <v>8166934805</v>
      </c>
      <c r="O183" s="34" t="s">
        <v>181</v>
      </c>
      <c r="P183" s="34" t="s">
        <v>97</v>
      </c>
      <c r="Q183" s="34" t="s">
        <v>98</v>
      </c>
      <c r="R183" s="34">
        <v>341.24</v>
      </c>
      <c r="S183" s="34" t="s">
        <v>182</v>
      </c>
      <c r="T183" s="34" t="s">
        <v>63</v>
      </c>
      <c r="U183" s="34"/>
      <c r="V183" s="34"/>
      <c r="W183" s="34"/>
      <c r="X183" s="34" t="s">
        <v>83</v>
      </c>
      <c r="Y183" s="37">
        <v>42296</v>
      </c>
      <c r="Z183" s="34"/>
      <c r="AA183" s="34"/>
      <c r="AB183" s="34"/>
      <c r="AC183" s="34" t="s">
        <v>183</v>
      </c>
      <c r="AD183" s="34">
        <v>87944972607050</v>
      </c>
      <c r="AE183" s="34"/>
      <c r="AF183" s="34"/>
    </row>
    <row r="184" spans="1:32" x14ac:dyDescent="0.2">
      <c r="A184" s="34">
        <v>10019607</v>
      </c>
      <c r="B184" s="34" t="s">
        <v>18</v>
      </c>
      <c r="C184" s="34" t="s">
        <v>78</v>
      </c>
      <c r="D184" s="37">
        <v>42293</v>
      </c>
      <c r="E184" s="34">
        <v>93552344</v>
      </c>
      <c r="F184" s="37">
        <v>42286</v>
      </c>
      <c r="G184" s="37">
        <v>42290</v>
      </c>
      <c r="H184" s="34">
        <v>1022013</v>
      </c>
      <c r="I184" s="34" t="s">
        <v>114</v>
      </c>
      <c r="J184" s="34">
        <v>1335507</v>
      </c>
      <c r="K184" s="34" t="s">
        <v>114</v>
      </c>
      <c r="L184" s="34">
        <v>1022013</v>
      </c>
      <c r="M184" s="34" t="s">
        <v>114</v>
      </c>
      <c r="N184" s="34">
        <v>75509</v>
      </c>
      <c r="O184" s="34" t="s">
        <v>181</v>
      </c>
      <c r="P184" s="34" t="s">
        <v>67</v>
      </c>
      <c r="Q184" s="34" t="s">
        <v>68</v>
      </c>
      <c r="R184" s="34">
        <v>30.72</v>
      </c>
      <c r="S184" s="34" t="s">
        <v>182</v>
      </c>
      <c r="T184" s="34" t="s">
        <v>63</v>
      </c>
      <c r="U184" s="34" t="s">
        <v>70</v>
      </c>
      <c r="V184" s="34" t="s">
        <v>76</v>
      </c>
      <c r="W184" s="37">
        <v>42297</v>
      </c>
      <c r="X184" s="34" t="s">
        <v>64</v>
      </c>
      <c r="Y184" s="37">
        <v>42293</v>
      </c>
      <c r="Z184" s="34"/>
      <c r="AA184" s="34"/>
      <c r="AB184" s="34"/>
      <c r="AC184" s="34" t="s">
        <v>183</v>
      </c>
      <c r="AD184" s="34">
        <v>3527009076</v>
      </c>
      <c r="AE184" s="34" t="s">
        <v>77</v>
      </c>
      <c r="AF184" s="34" t="s">
        <v>376</v>
      </c>
    </row>
    <row r="185" spans="1:32" x14ac:dyDescent="0.2">
      <c r="A185" s="34">
        <v>10019608</v>
      </c>
      <c r="B185" s="34" t="s">
        <v>18</v>
      </c>
      <c r="C185" s="34" t="s">
        <v>573</v>
      </c>
      <c r="D185" s="37">
        <v>42293</v>
      </c>
      <c r="E185" s="34">
        <v>93552864</v>
      </c>
      <c r="F185" s="37">
        <v>42286</v>
      </c>
      <c r="G185" s="37">
        <v>42289</v>
      </c>
      <c r="H185" s="34">
        <v>1201766</v>
      </c>
      <c r="I185" s="34" t="s">
        <v>143</v>
      </c>
      <c r="J185" s="34">
        <v>1157939</v>
      </c>
      <c r="K185" s="34" t="s">
        <v>143</v>
      </c>
      <c r="L185" s="34">
        <v>1201766</v>
      </c>
      <c r="M185" s="34" t="s">
        <v>143</v>
      </c>
      <c r="N185" s="34">
        <v>61547</v>
      </c>
      <c r="O185" s="34" t="s">
        <v>181</v>
      </c>
      <c r="P185" s="34" t="s">
        <v>67</v>
      </c>
      <c r="Q185" s="34" t="s">
        <v>68</v>
      </c>
      <c r="R185" s="34">
        <v>176.01</v>
      </c>
      <c r="S185" s="34" t="s">
        <v>182</v>
      </c>
      <c r="T185" s="34" t="s">
        <v>63</v>
      </c>
      <c r="U185" s="34" t="s">
        <v>70</v>
      </c>
      <c r="V185" s="34" t="s">
        <v>76</v>
      </c>
      <c r="W185" s="37">
        <v>42297</v>
      </c>
      <c r="X185" s="34" t="s">
        <v>64</v>
      </c>
      <c r="Y185" s="37">
        <v>42293</v>
      </c>
      <c r="Z185" s="34"/>
      <c r="AA185" s="34"/>
      <c r="AB185" s="34"/>
      <c r="AC185" s="34" t="s">
        <v>183</v>
      </c>
      <c r="AD185" s="34">
        <v>3527008995</v>
      </c>
      <c r="AE185" s="34" t="s">
        <v>77</v>
      </c>
      <c r="AF185" s="34" t="s">
        <v>257</v>
      </c>
    </row>
    <row r="186" spans="1:32" x14ac:dyDescent="0.2">
      <c r="A186" s="34">
        <v>10019609</v>
      </c>
      <c r="B186" s="34" t="s">
        <v>26</v>
      </c>
      <c r="C186" s="34" t="s">
        <v>78</v>
      </c>
      <c r="D186" s="37">
        <v>42293</v>
      </c>
      <c r="E186" s="34">
        <v>93549462</v>
      </c>
      <c r="F186" s="37">
        <v>42284</v>
      </c>
      <c r="G186" s="34"/>
      <c r="H186" s="34">
        <v>1201047</v>
      </c>
      <c r="I186" s="34" t="s">
        <v>79</v>
      </c>
      <c r="J186" s="34">
        <v>1022214</v>
      </c>
      <c r="K186" s="34" t="s">
        <v>80</v>
      </c>
      <c r="L186" s="34">
        <v>1171089</v>
      </c>
      <c r="M186" s="34" t="s">
        <v>75</v>
      </c>
      <c r="N186" s="34">
        <v>4742009</v>
      </c>
      <c r="O186" s="34" t="s">
        <v>181</v>
      </c>
      <c r="P186" s="34" t="s">
        <v>91</v>
      </c>
      <c r="Q186" s="34" t="s">
        <v>92</v>
      </c>
      <c r="R186" s="34">
        <v>101.76</v>
      </c>
      <c r="S186" s="34" t="s">
        <v>182</v>
      </c>
      <c r="T186" s="34" t="s">
        <v>63</v>
      </c>
      <c r="U186" s="34" t="s">
        <v>94</v>
      </c>
      <c r="V186" s="34" t="s">
        <v>95</v>
      </c>
      <c r="W186" s="37">
        <v>42297</v>
      </c>
      <c r="X186" s="34" t="s">
        <v>64</v>
      </c>
      <c r="Y186" s="37">
        <v>42293</v>
      </c>
      <c r="Z186" s="34"/>
      <c r="AA186" s="34"/>
      <c r="AB186" s="34"/>
      <c r="AC186" s="34" t="s">
        <v>183</v>
      </c>
      <c r="AD186" s="34" t="s">
        <v>992</v>
      </c>
      <c r="AE186" s="34" t="s">
        <v>96</v>
      </c>
      <c r="AF186" s="34" t="s">
        <v>993</v>
      </c>
    </row>
    <row r="187" spans="1:32" x14ac:dyDescent="0.2">
      <c r="A187" s="34">
        <v>10019610</v>
      </c>
      <c r="B187" s="34" t="s">
        <v>22</v>
      </c>
      <c r="C187" s="34" t="s">
        <v>78</v>
      </c>
      <c r="D187" s="37">
        <v>42293</v>
      </c>
      <c r="E187" s="34"/>
      <c r="F187" s="34"/>
      <c r="G187" s="34"/>
      <c r="H187" s="34">
        <v>1201072</v>
      </c>
      <c r="I187" s="34" t="s">
        <v>115</v>
      </c>
      <c r="J187" s="34">
        <v>1201072</v>
      </c>
      <c r="K187" s="34" t="s">
        <v>115</v>
      </c>
      <c r="L187" s="34">
        <v>1171089</v>
      </c>
      <c r="M187" s="34" t="s">
        <v>75</v>
      </c>
      <c r="N187" s="34">
        <v>320938</v>
      </c>
      <c r="O187" s="34" t="s">
        <v>181</v>
      </c>
      <c r="P187" s="34"/>
      <c r="Q187" s="34"/>
      <c r="R187" s="34">
        <v>4129.92</v>
      </c>
      <c r="S187" s="34" t="s">
        <v>182</v>
      </c>
      <c r="T187" s="34" t="s">
        <v>63</v>
      </c>
      <c r="U187" s="34" t="s">
        <v>81</v>
      </c>
      <c r="V187" s="34" t="s">
        <v>82</v>
      </c>
      <c r="W187" s="37">
        <v>42304</v>
      </c>
      <c r="X187" s="34" t="s">
        <v>64</v>
      </c>
      <c r="Y187" s="37">
        <v>42293</v>
      </c>
      <c r="Z187" s="34"/>
      <c r="AA187" s="34"/>
      <c r="AB187" s="34"/>
      <c r="AC187" s="34" t="s">
        <v>183</v>
      </c>
      <c r="AD187" s="34"/>
      <c r="AE187" s="34" t="s">
        <v>142</v>
      </c>
      <c r="AF187" s="34" t="s">
        <v>994</v>
      </c>
    </row>
    <row r="188" spans="1:32" x14ac:dyDescent="0.2">
      <c r="A188" s="34">
        <v>10019611</v>
      </c>
      <c r="B188" s="34" t="s">
        <v>22</v>
      </c>
      <c r="C188" s="34" t="s">
        <v>78</v>
      </c>
      <c r="D188" s="37">
        <v>42293</v>
      </c>
      <c r="E188" s="34"/>
      <c r="F188" s="34"/>
      <c r="G188" s="34"/>
      <c r="H188" s="34">
        <v>1201072</v>
      </c>
      <c r="I188" s="34" t="s">
        <v>115</v>
      </c>
      <c r="J188" s="34">
        <v>1201072</v>
      </c>
      <c r="K188" s="34" t="s">
        <v>115</v>
      </c>
      <c r="L188" s="34">
        <v>1171089</v>
      </c>
      <c r="M188" s="34" t="s">
        <v>75</v>
      </c>
      <c r="N188" s="34">
        <v>319088</v>
      </c>
      <c r="O188" s="34" t="s">
        <v>181</v>
      </c>
      <c r="P188" s="34"/>
      <c r="Q188" s="34"/>
      <c r="R188" s="34">
        <v>2623.68</v>
      </c>
      <c r="S188" s="34" t="s">
        <v>182</v>
      </c>
      <c r="T188" s="34" t="s">
        <v>63</v>
      </c>
      <c r="U188" s="34" t="s">
        <v>94</v>
      </c>
      <c r="V188" s="34" t="s">
        <v>82</v>
      </c>
      <c r="W188" s="37">
        <v>42304</v>
      </c>
      <c r="X188" s="34" t="s">
        <v>64</v>
      </c>
      <c r="Y188" s="37">
        <v>42293</v>
      </c>
      <c r="Z188" s="34"/>
      <c r="AA188" s="34"/>
      <c r="AB188" s="34"/>
      <c r="AC188" s="34" t="s">
        <v>183</v>
      </c>
      <c r="AD188" s="34"/>
      <c r="AE188" s="34" t="s">
        <v>142</v>
      </c>
      <c r="AF188" s="34" t="s">
        <v>995</v>
      </c>
    </row>
    <row r="189" spans="1:32" x14ac:dyDescent="0.2">
      <c r="A189" s="34">
        <v>10019612</v>
      </c>
      <c r="B189" s="34" t="s">
        <v>18</v>
      </c>
      <c r="C189" s="34" t="s">
        <v>78</v>
      </c>
      <c r="D189" s="37">
        <v>42293</v>
      </c>
      <c r="E189" s="34">
        <v>93375049</v>
      </c>
      <c r="F189" s="37">
        <v>42145</v>
      </c>
      <c r="G189" s="34"/>
      <c r="H189" s="34">
        <v>1201119</v>
      </c>
      <c r="I189" s="34" t="s">
        <v>996</v>
      </c>
      <c r="J189" s="34">
        <v>1201119</v>
      </c>
      <c r="K189" s="34" t="s">
        <v>996</v>
      </c>
      <c r="L189" s="34">
        <v>1201119</v>
      </c>
      <c r="M189" s="34" t="s">
        <v>996</v>
      </c>
      <c r="N189" s="34" t="s">
        <v>997</v>
      </c>
      <c r="O189" s="34" t="s">
        <v>181</v>
      </c>
      <c r="P189" s="34" t="s">
        <v>102</v>
      </c>
      <c r="Q189" s="34" t="s">
        <v>103</v>
      </c>
      <c r="R189" s="34">
        <v>1135.08</v>
      </c>
      <c r="S189" s="34" t="s">
        <v>182</v>
      </c>
      <c r="T189" s="34" t="s">
        <v>63</v>
      </c>
      <c r="U189" s="34" t="s">
        <v>105</v>
      </c>
      <c r="V189" s="34" t="s">
        <v>82</v>
      </c>
      <c r="W189" s="37">
        <v>42297</v>
      </c>
      <c r="X189" s="34" t="s">
        <v>64</v>
      </c>
      <c r="Y189" s="37">
        <v>42293</v>
      </c>
      <c r="Z189" s="34"/>
      <c r="AA189" s="34"/>
      <c r="AB189" s="34"/>
      <c r="AC189" s="34" t="s">
        <v>183</v>
      </c>
      <c r="AD189" s="34">
        <v>636808439505</v>
      </c>
      <c r="AE189" s="34" t="s">
        <v>106</v>
      </c>
      <c r="AF189" s="34" t="s">
        <v>998</v>
      </c>
    </row>
    <row r="190" spans="1:32" x14ac:dyDescent="0.2">
      <c r="A190" s="34">
        <v>10019613</v>
      </c>
      <c r="B190" s="34" t="s">
        <v>18</v>
      </c>
      <c r="C190" s="34" t="s">
        <v>573</v>
      </c>
      <c r="D190" s="37">
        <v>42293</v>
      </c>
      <c r="E190" s="34">
        <v>93554805</v>
      </c>
      <c r="F190" s="37">
        <v>42289</v>
      </c>
      <c r="G190" s="37">
        <v>42292</v>
      </c>
      <c r="H190" s="34">
        <v>1201354</v>
      </c>
      <c r="I190" s="34" t="s">
        <v>778</v>
      </c>
      <c r="J190" s="34">
        <v>1131226</v>
      </c>
      <c r="K190" s="34" t="s">
        <v>999</v>
      </c>
      <c r="L190" s="34">
        <v>1171836</v>
      </c>
      <c r="M190" s="34" t="s">
        <v>780</v>
      </c>
      <c r="N190" s="34" t="s">
        <v>1000</v>
      </c>
      <c r="O190" s="34" t="s">
        <v>181</v>
      </c>
      <c r="P190" s="34" t="s">
        <v>67</v>
      </c>
      <c r="Q190" s="34" t="s">
        <v>68</v>
      </c>
      <c r="R190" s="34">
        <v>153</v>
      </c>
      <c r="S190" s="34" t="s">
        <v>182</v>
      </c>
      <c r="T190" s="34" t="s">
        <v>63</v>
      </c>
      <c r="U190" s="34" t="s">
        <v>70</v>
      </c>
      <c r="V190" s="34" t="s">
        <v>76</v>
      </c>
      <c r="W190" s="37">
        <v>42304</v>
      </c>
      <c r="X190" s="34" t="s">
        <v>64</v>
      </c>
      <c r="Y190" s="37">
        <v>42293</v>
      </c>
      <c r="Z190" s="34"/>
      <c r="AA190" s="34"/>
      <c r="AB190" s="34"/>
      <c r="AC190" s="34" t="s">
        <v>183</v>
      </c>
      <c r="AD190" s="34">
        <v>3527009345</v>
      </c>
      <c r="AE190" s="34" t="s">
        <v>77</v>
      </c>
      <c r="AF190" s="34" t="s">
        <v>1001</v>
      </c>
    </row>
    <row r="191" spans="1:32" x14ac:dyDescent="0.2">
      <c r="A191" s="34">
        <v>10019614</v>
      </c>
      <c r="B191" s="34" t="s">
        <v>18</v>
      </c>
      <c r="C191" s="34" t="s">
        <v>78</v>
      </c>
      <c r="D191" s="37">
        <v>42293</v>
      </c>
      <c r="E191" s="34">
        <v>93417349</v>
      </c>
      <c r="F191" s="37">
        <v>42180</v>
      </c>
      <c r="G191" s="34"/>
      <c r="H191" s="34">
        <v>1201119</v>
      </c>
      <c r="I191" s="34" t="s">
        <v>996</v>
      </c>
      <c r="J191" s="34">
        <v>1201119</v>
      </c>
      <c r="K191" s="34" t="s">
        <v>996</v>
      </c>
      <c r="L191" s="34">
        <v>1201119</v>
      </c>
      <c r="M191" s="34" t="s">
        <v>996</v>
      </c>
      <c r="N191" s="34" t="s">
        <v>1002</v>
      </c>
      <c r="O191" s="34" t="s">
        <v>181</v>
      </c>
      <c r="P191" s="34" t="s">
        <v>102</v>
      </c>
      <c r="Q191" s="34" t="s">
        <v>103</v>
      </c>
      <c r="R191" s="34">
        <v>126.12</v>
      </c>
      <c r="S191" s="34" t="s">
        <v>182</v>
      </c>
      <c r="T191" s="34" t="s">
        <v>63</v>
      </c>
      <c r="U191" s="34" t="s">
        <v>105</v>
      </c>
      <c r="V191" s="34" t="s">
        <v>76</v>
      </c>
      <c r="W191" s="37">
        <v>42304</v>
      </c>
      <c r="X191" s="34" t="s">
        <v>64</v>
      </c>
      <c r="Y191" s="37">
        <v>42293</v>
      </c>
      <c r="Z191" s="34"/>
      <c r="AA191" s="34"/>
      <c r="AB191" s="34"/>
      <c r="AC191" s="34" t="s">
        <v>183</v>
      </c>
      <c r="AD191" s="34">
        <v>636808488694</v>
      </c>
      <c r="AE191" s="34" t="s">
        <v>106</v>
      </c>
      <c r="AF191" s="34" t="s">
        <v>1003</v>
      </c>
    </row>
    <row r="192" spans="1:32" x14ac:dyDescent="0.2">
      <c r="A192" s="34">
        <v>10019615</v>
      </c>
      <c r="B192" s="34" t="s">
        <v>18</v>
      </c>
      <c r="C192" s="34" t="s">
        <v>78</v>
      </c>
      <c r="D192" s="37">
        <v>42293</v>
      </c>
      <c r="E192" s="34">
        <v>93495040</v>
      </c>
      <c r="F192" s="37">
        <v>42241</v>
      </c>
      <c r="G192" s="34"/>
      <c r="H192" s="34">
        <v>1201119</v>
      </c>
      <c r="I192" s="34" t="s">
        <v>996</v>
      </c>
      <c r="J192" s="34">
        <v>1201119</v>
      </c>
      <c r="K192" s="34" t="s">
        <v>996</v>
      </c>
      <c r="L192" s="34">
        <v>1201119</v>
      </c>
      <c r="M192" s="34" t="s">
        <v>996</v>
      </c>
      <c r="N192" s="34" t="s">
        <v>1004</v>
      </c>
      <c r="O192" s="34" t="s">
        <v>181</v>
      </c>
      <c r="P192" s="34" t="s">
        <v>102</v>
      </c>
      <c r="Q192" s="34" t="s">
        <v>103</v>
      </c>
      <c r="R192" s="34">
        <v>145.04</v>
      </c>
      <c r="S192" s="34" t="s">
        <v>182</v>
      </c>
      <c r="T192" s="34" t="s">
        <v>63</v>
      </c>
      <c r="U192" s="34" t="s">
        <v>105</v>
      </c>
      <c r="V192" s="34" t="s">
        <v>76</v>
      </c>
      <c r="W192" s="37">
        <v>42304</v>
      </c>
      <c r="X192" s="34" t="s">
        <v>64</v>
      </c>
      <c r="Y192" s="37">
        <v>42293</v>
      </c>
      <c r="Z192" s="34"/>
      <c r="AA192" s="34"/>
      <c r="AB192" s="34"/>
      <c r="AC192" s="34" t="s">
        <v>183</v>
      </c>
      <c r="AD192" s="34">
        <v>636808614014</v>
      </c>
      <c r="AE192" s="34" t="s">
        <v>106</v>
      </c>
      <c r="AF192" s="34" t="s">
        <v>1005</v>
      </c>
    </row>
    <row r="193" spans="1:32" x14ac:dyDescent="0.2">
      <c r="A193" s="34">
        <v>10019616</v>
      </c>
      <c r="B193" s="34" t="s">
        <v>26</v>
      </c>
      <c r="C193" s="34" t="s">
        <v>573</v>
      </c>
      <c r="D193" s="37">
        <v>42293</v>
      </c>
      <c r="E193" s="34">
        <v>93550955</v>
      </c>
      <c r="F193" s="37">
        <v>42285</v>
      </c>
      <c r="G193" s="37">
        <v>42286</v>
      </c>
      <c r="H193" s="34">
        <v>1201047</v>
      </c>
      <c r="I193" s="34" t="s">
        <v>79</v>
      </c>
      <c r="J193" s="34">
        <v>1309880</v>
      </c>
      <c r="K193" s="34" t="s">
        <v>108</v>
      </c>
      <c r="L193" s="34">
        <v>1171089</v>
      </c>
      <c r="M193" s="34" t="s">
        <v>75</v>
      </c>
      <c r="N193" s="34">
        <v>18751629</v>
      </c>
      <c r="O193" s="34" t="s">
        <v>181</v>
      </c>
      <c r="P193" s="34" t="s">
        <v>91</v>
      </c>
      <c r="Q193" s="34" t="s">
        <v>92</v>
      </c>
      <c r="R193" s="34">
        <v>2023.38</v>
      </c>
      <c r="S193" s="34" t="s">
        <v>182</v>
      </c>
      <c r="T193" s="34" t="s">
        <v>63</v>
      </c>
      <c r="U193" s="34"/>
      <c r="V193" s="34"/>
      <c r="W193" s="34"/>
      <c r="X193" s="34" t="s">
        <v>64</v>
      </c>
      <c r="Y193" s="37">
        <v>42293</v>
      </c>
      <c r="Z193" s="34"/>
      <c r="AA193" s="34"/>
      <c r="AB193" s="34"/>
      <c r="AC193" s="34" t="s">
        <v>183</v>
      </c>
      <c r="AD193" s="34" t="s">
        <v>1006</v>
      </c>
      <c r="AE193" s="34"/>
      <c r="AF193" s="34"/>
    </row>
    <row r="194" spans="1:32" x14ac:dyDescent="0.2">
      <c r="A194" s="34">
        <v>10019617</v>
      </c>
      <c r="B194" s="34" t="s">
        <v>25</v>
      </c>
      <c r="C194" s="34" t="s">
        <v>78</v>
      </c>
      <c r="D194" s="37">
        <v>42293</v>
      </c>
      <c r="E194" s="34">
        <v>93557401</v>
      </c>
      <c r="F194" s="37">
        <v>42291</v>
      </c>
      <c r="G194" s="34"/>
      <c r="H194" s="34">
        <v>1201215</v>
      </c>
      <c r="I194" s="34" t="s">
        <v>138</v>
      </c>
      <c r="J194" s="34">
        <v>1324492</v>
      </c>
      <c r="K194" s="34" t="s">
        <v>138</v>
      </c>
      <c r="L194" s="34">
        <v>1201215</v>
      </c>
      <c r="M194" s="34" t="s">
        <v>138</v>
      </c>
      <c r="N194" s="34" t="s">
        <v>1007</v>
      </c>
      <c r="O194" s="34" t="s">
        <v>181</v>
      </c>
      <c r="P194" s="34" t="s">
        <v>102</v>
      </c>
      <c r="Q194" s="34" t="s">
        <v>103</v>
      </c>
      <c r="R194" s="34">
        <v>3897.96</v>
      </c>
      <c r="S194" s="34" t="s">
        <v>182</v>
      </c>
      <c r="T194" s="34" t="s">
        <v>63</v>
      </c>
      <c r="U194" s="34"/>
      <c r="V194" s="34"/>
      <c r="W194" s="34"/>
      <c r="X194" s="34" t="s">
        <v>64</v>
      </c>
      <c r="Y194" s="37">
        <v>42293</v>
      </c>
      <c r="Z194" s="34"/>
      <c r="AA194" s="34"/>
      <c r="AB194" s="34"/>
      <c r="AC194" s="34" t="s">
        <v>183</v>
      </c>
      <c r="AD194" s="34">
        <v>649275072504</v>
      </c>
      <c r="AE194" s="34"/>
      <c r="AF194" s="34"/>
    </row>
    <row r="195" spans="1:32" x14ac:dyDescent="0.2">
      <c r="A195" s="34">
        <v>10019618</v>
      </c>
      <c r="B195" s="34" t="s">
        <v>26</v>
      </c>
      <c r="C195" s="34" t="s">
        <v>78</v>
      </c>
      <c r="D195" s="37">
        <v>42293</v>
      </c>
      <c r="E195" s="34">
        <v>93557630</v>
      </c>
      <c r="F195" s="37">
        <v>42291</v>
      </c>
      <c r="G195" s="34"/>
      <c r="H195" s="34">
        <v>1201399</v>
      </c>
      <c r="I195" s="34" t="s">
        <v>144</v>
      </c>
      <c r="J195" s="34">
        <v>1334926</v>
      </c>
      <c r="K195" s="34" t="s">
        <v>145</v>
      </c>
      <c r="L195" s="34">
        <v>1171970</v>
      </c>
      <c r="M195" s="34" t="s">
        <v>144</v>
      </c>
      <c r="N195" s="34">
        <v>3005014224</v>
      </c>
      <c r="O195" s="34" t="s">
        <v>181</v>
      </c>
      <c r="P195" s="34" t="s">
        <v>102</v>
      </c>
      <c r="Q195" s="34" t="s">
        <v>103</v>
      </c>
      <c r="R195" s="34">
        <v>0</v>
      </c>
      <c r="S195" s="34" t="s">
        <v>182</v>
      </c>
      <c r="T195" s="34" t="s">
        <v>63</v>
      </c>
      <c r="U195" s="34"/>
      <c r="V195" s="34"/>
      <c r="W195" s="34"/>
      <c r="X195" s="34" t="s">
        <v>83</v>
      </c>
      <c r="Y195" s="37">
        <v>42298</v>
      </c>
      <c r="Z195" s="34"/>
      <c r="AA195" s="34"/>
      <c r="AB195" s="34"/>
      <c r="AC195" s="34" t="s">
        <v>183</v>
      </c>
      <c r="AD195" s="34" t="s">
        <v>1008</v>
      </c>
      <c r="AE195" s="34"/>
      <c r="AF195" s="34"/>
    </row>
    <row r="196" spans="1:32" x14ac:dyDescent="0.2">
      <c r="A196" s="34">
        <v>10019619</v>
      </c>
      <c r="B196" s="34" t="s">
        <v>18</v>
      </c>
      <c r="C196" s="34" t="s">
        <v>78</v>
      </c>
      <c r="D196" s="37">
        <v>42293</v>
      </c>
      <c r="E196" s="34">
        <v>93554959</v>
      </c>
      <c r="F196" s="37">
        <v>42289</v>
      </c>
      <c r="G196" s="37">
        <v>42292</v>
      </c>
      <c r="H196" s="34">
        <v>1201674</v>
      </c>
      <c r="I196" s="34" t="s">
        <v>371</v>
      </c>
      <c r="J196" s="34">
        <v>1201674</v>
      </c>
      <c r="K196" s="34" t="s">
        <v>371</v>
      </c>
      <c r="L196" s="34">
        <v>1201674</v>
      </c>
      <c r="M196" s="34" t="s">
        <v>371</v>
      </c>
      <c r="N196" s="34">
        <v>475354</v>
      </c>
      <c r="O196" s="34" t="s">
        <v>181</v>
      </c>
      <c r="P196" s="34" t="s">
        <v>67</v>
      </c>
      <c r="Q196" s="34" t="s">
        <v>68</v>
      </c>
      <c r="R196" s="34">
        <v>36</v>
      </c>
      <c r="S196" s="34" t="s">
        <v>182</v>
      </c>
      <c r="T196" s="34" t="s">
        <v>63</v>
      </c>
      <c r="U196" s="34" t="s">
        <v>70</v>
      </c>
      <c r="V196" s="34" t="s">
        <v>76</v>
      </c>
      <c r="W196" s="37">
        <v>42304</v>
      </c>
      <c r="X196" s="34" t="s">
        <v>64</v>
      </c>
      <c r="Y196" s="37">
        <v>42293</v>
      </c>
      <c r="Z196" s="34"/>
      <c r="AA196" s="34"/>
      <c r="AB196" s="34"/>
      <c r="AC196" s="34" t="s">
        <v>183</v>
      </c>
      <c r="AD196" s="34">
        <v>3527009356</v>
      </c>
      <c r="AE196" s="34" t="s">
        <v>77</v>
      </c>
      <c r="AF196" s="34" t="s">
        <v>1009</v>
      </c>
    </row>
    <row r="197" spans="1:32" x14ac:dyDescent="0.2">
      <c r="A197" s="34">
        <v>10019620</v>
      </c>
      <c r="B197" s="34" t="s">
        <v>18</v>
      </c>
      <c r="C197" s="34" t="s">
        <v>78</v>
      </c>
      <c r="D197" s="37">
        <v>42293</v>
      </c>
      <c r="E197" s="34">
        <v>93557157</v>
      </c>
      <c r="F197" s="37">
        <v>42291</v>
      </c>
      <c r="G197" s="34"/>
      <c r="H197" s="34">
        <v>1057544</v>
      </c>
      <c r="I197" s="34" t="s">
        <v>363</v>
      </c>
      <c r="J197" s="34">
        <v>1327308</v>
      </c>
      <c r="K197" s="34" t="s">
        <v>363</v>
      </c>
      <c r="L197" s="34">
        <v>1057544</v>
      </c>
      <c r="M197" s="34" t="s">
        <v>363</v>
      </c>
      <c r="N197" s="34">
        <v>8120678</v>
      </c>
      <c r="O197" s="34" t="s">
        <v>181</v>
      </c>
      <c r="P197" s="34" t="s">
        <v>102</v>
      </c>
      <c r="Q197" s="34" t="s">
        <v>103</v>
      </c>
      <c r="R197" s="34">
        <v>5422.56</v>
      </c>
      <c r="S197" s="34" t="s">
        <v>182</v>
      </c>
      <c r="T197" s="34" t="s">
        <v>63</v>
      </c>
      <c r="U197" s="34" t="s">
        <v>70</v>
      </c>
      <c r="V197" s="34" t="s">
        <v>76</v>
      </c>
      <c r="W197" s="37">
        <v>42304</v>
      </c>
      <c r="X197" s="34" t="s">
        <v>64</v>
      </c>
      <c r="Y197" s="37">
        <v>42293</v>
      </c>
      <c r="Z197" s="34"/>
      <c r="AA197" s="34"/>
      <c r="AB197" s="34"/>
      <c r="AC197" s="34" t="s">
        <v>183</v>
      </c>
      <c r="AD197" s="34">
        <v>649275072147</v>
      </c>
      <c r="AE197" s="34" t="s">
        <v>77</v>
      </c>
      <c r="AF197" s="34" t="s">
        <v>1010</v>
      </c>
    </row>
    <row r="198" spans="1:32" x14ac:dyDescent="0.2">
      <c r="A198" s="34">
        <v>10019621</v>
      </c>
      <c r="B198" s="34" t="s">
        <v>18</v>
      </c>
      <c r="C198" s="34" t="s">
        <v>573</v>
      </c>
      <c r="D198" s="37">
        <v>42296</v>
      </c>
      <c r="E198" s="34">
        <v>93560493</v>
      </c>
      <c r="F198" s="37">
        <v>42293</v>
      </c>
      <c r="G198" s="34"/>
      <c r="H198" s="34">
        <v>1201120</v>
      </c>
      <c r="I198" s="34" t="s">
        <v>117</v>
      </c>
      <c r="J198" s="34">
        <v>1307782</v>
      </c>
      <c r="K198" s="34" t="s">
        <v>119</v>
      </c>
      <c r="L198" s="34">
        <v>1171090</v>
      </c>
      <c r="M198" s="34" t="s">
        <v>118</v>
      </c>
      <c r="N198" s="34" t="s">
        <v>1011</v>
      </c>
      <c r="O198" s="34" t="s">
        <v>181</v>
      </c>
      <c r="P198" s="34" t="s">
        <v>91</v>
      </c>
      <c r="Q198" s="34" t="s">
        <v>92</v>
      </c>
      <c r="R198" s="34">
        <v>850.08</v>
      </c>
      <c r="S198" s="34" t="s">
        <v>182</v>
      </c>
      <c r="T198" s="34" t="s">
        <v>69</v>
      </c>
      <c r="U198" s="34" t="s">
        <v>70</v>
      </c>
      <c r="V198" s="34" t="s">
        <v>76</v>
      </c>
      <c r="W198" s="37">
        <v>42304</v>
      </c>
      <c r="X198" s="34" t="s">
        <v>64</v>
      </c>
      <c r="Y198" s="37">
        <v>42296</v>
      </c>
      <c r="Z198" s="34" t="s">
        <v>100</v>
      </c>
      <c r="AA198" s="34">
        <v>62013374</v>
      </c>
      <c r="AB198" s="37">
        <v>42307</v>
      </c>
      <c r="AC198" s="34" t="s">
        <v>183</v>
      </c>
      <c r="AD198" s="34" t="s">
        <v>1012</v>
      </c>
      <c r="AE198" s="34" t="s">
        <v>77</v>
      </c>
      <c r="AF198" s="34" t="s">
        <v>1013</v>
      </c>
    </row>
    <row r="199" spans="1:32" x14ac:dyDescent="0.2">
      <c r="A199" s="34">
        <v>10019622</v>
      </c>
      <c r="B199" s="34" t="s">
        <v>18</v>
      </c>
      <c r="C199" s="34" t="s">
        <v>78</v>
      </c>
      <c r="D199" s="37">
        <v>42296</v>
      </c>
      <c r="E199" s="34">
        <v>93557339</v>
      </c>
      <c r="F199" s="37">
        <v>42291</v>
      </c>
      <c r="G199" s="34"/>
      <c r="H199" s="34">
        <v>1201120</v>
      </c>
      <c r="I199" s="34" t="s">
        <v>117</v>
      </c>
      <c r="J199" s="34">
        <v>1307782</v>
      </c>
      <c r="K199" s="34" t="s">
        <v>119</v>
      </c>
      <c r="L199" s="34">
        <v>1171090</v>
      </c>
      <c r="M199" s="34" t="s">
        <v>118</v>
      </c>
      <c r="N199" s="34" t="s">
        <v>928</v>
      </c>
      <c r="O199" s="34" t="s">
        <v>181</v>
      </c>
      <c r="P199" s="34" t="s">
        <v>97</v>
      </c>
      <c r="Q199" s="34" t="s">
        <v>98</v>
      </c>
      <c r="R199" s="34">
        <v>1596.72</v>
      </c>
      <c r="S199" s="34" t="s">
        <v>182</v>
      </c>
      <c r="T199" s="34" t="s">
        <v>69</v>
      </c>
      <c r="U199" s="34" t="s">
        <v>70</v>
      </c>
      <c r="V199" s="34" t="s">
        <v>76</v>
      </c>
      <c r="W199" s="37">
        <v>42304</v>
      </c>
      <c r="X199" s="34" t="s">
        <v>64</v>
      </c>
      <c r="Y199" s="37">
        <v>42296</v>
      </c>
      <c r="Z199" s="34" t="s">
        <v>100</v>
      </c>
      <c r="AA199" s="34">
        <v>62013373</v>
      </c>
      <c r="AB199" s="37">
        <v>42307</v>
      </c>
      <c r="AC199" s="34" t="s">
        <v>183</v>
      </c>
      <c r="AD199" s="34" t="s">
        <v>1014</v>
      </c>
      <c r="AE199" s="34" t="s">
        <v>77</v>
      </c>
      <c r="AF199" s="34" t="s">
        <v>376</v>
      </c>
    </row>
    <row r="200" spans="1:32" x14ac:dyDescent="0.2">
      <c r="A200" s="34">
        <v>10019623</v>
      </c>
      <c r="B200" s="34" t="s">
        <v>18</v>
      </c>
      <c r="C200" s="34" t="s">
        <v>573</v>
      </c>
      <c r="D200" s="37">
        <v>42296</v>
      </c>
      <c r="E200" s="34">
        <v>93560491</v>
      </c>
      <c r="F200" s="37">
        <v>42293</v>
      </c>
      <c r="G200" s="34"/>
      <c r="H200" s="34">
        <v>1201120</v>
      </c>
      <c r="I200" s="34" t="s">
        <v>117</v>
      </c>
      <c r="J200" s="34">
        <v>1307782</v>
      </c>
      <c r="K200" s="34" t="s">
        <v>119</v>
      </c>
      <c r="L200" s="34">
        <v>1171090</v>
      </c>
      <c r="M200" s="34" t="s">
        <v>118</v>
      </c>
      <c r="N200" s="34" t="s">
        <v>1015</v>
      </c>
      <c r="O200" s="34" t="s">
        <v>181</v>
      </c>
      <c r="P200" s="34" t="s">
        <v>91</v>
      </c>
      <c r="Q200" s="34" t="s">
        <v>92</v>
      </c>
      <c r="R200" s="34">
        <v>544.59</v>
      </c>
      <c r="S200" s="34" t="s">
        <v>182</v>
      </c>
      <c r="T200" s="34" t="s">
        <v>69</v>
      </c>
      <c r="U200" s="34" t="s">
        <v>70</v>
      </c>
      <c r="V200" s="34" t="s">
        <v>76</v>
      </c>
      <c r="W200" s="37">
        <v>42304</v>
      </c>
      <c r="X200" s="34" t="s">
        <v>64</v>
      </c>
      <c r="Y200" s="37">
        <v>42296</v>
      </c>
      <c r="Z200" s="34" t="s">
        <v>100</v>
      </c>
      <c r="AA200" s="34">
        <v>62016696</v>
      </c>
      <c r="AB200" s="37">
        <v>42312</v>
      </c>
      <c r="AC200" s="34" t="s">
        <v>183</v>
      </c>
      <c r="AD200" s="34" t="s">
        <v>1012</v>
      </c>
      <c r="AE200" s="34" t="s">
        <v>77</v>
      </c>
      <c r="AF200" s="34" t="s">
        <v>257</v>
      </c>
    </row>
    <row r="201" spans="1:32" x14ac:dyDescent="0.2">
      <c r="A201" s="34">
        <v>10019624</v>
      </c>
      <c r="B201" s="34" t="s">
        <v>18</v>
      </c>
      <c r="C201" s="34" t="s">
        <v>78</v>
      </c>
      <c r="D201" s="37">
        <v>42296</v>
      </c>
      <c r="E201" s="34">
        <v>93560487</v>
      </c>
      <c r="F201" s="37">
        <v>42293</v>
      </c>
      <c r="G201" s="34"/>
      <c r="H201" s="34">
        <v>1201120</v>
      </c>
      <c r="I201" s="34" t="s">
        <v>117</v>
      </c>
      <c r="J201" s="34">
        <v>1307782</v>
      </c>
      <c r="K201" s="34" t="s">
        <v>119</v>
      </c>
      <c r="L201" s="34">
        <v>1171090</v>
      </c>
      <c r="M201" s="34" t="s">
        <v>118</v>
      </c>
      <c r="N201" s="34" t="s">
        <v>1016</v>
      </c>
      <c r="O201" s="34" t="s">
        <v>181</v>
      </c>
      <c r="P201" s="34" t="s">
        <v>123</v>
      </c>
      <c r="Q201" s="34" t="s">
        <v>124</v>
      </c>
      <c r="R201" s="34">
        <v>1159.58</v>
      </c>
      <c r="S201" s="34" t="s">
        <v>182</v>
      </c>
      <c r="T201" s="34" t="s">
        <v>69</v>
      </c>
      <c r="U201" s="34" t="s">
        <v>70</v>
      </c>
      <c r="V201" s="34" t="s">
        <v>76</v>
      </c>
      <c r="W201" s="37">
        <v>42304</v>
      </c>
      <c r="X201" s="34" t="s">
        <v>64</v>
      </c>
      <c r="Y201" s="37">
        <v>42296</v>
      </c>
      <c r="Z201" s="34" t="s">
        <v>100</v>
      </c>
      <c r="AA201" s="34">
        <v>62016699</v>
      </c>
      <c r="AB201" s="37">
        <v>42312</v>
      </c>
      <c r="AC201" s="34" t="s">
        <v>183</v>
      </c>
      <c r="AD201" s="34" t="s">
        <v>1017</v>
      </c>
      <c r="AE201" s="34" t="s">
        <v>77</v>
      </c>
      <c r="AF201" s="34" t="s">
        <v>191</v>
      </c>
    </row>
    <row r="202" spans="1:32" x14ac:dyDescent="0.2">
      <c r="A202" s="34">
        <v>10019625</v>
      </c>
      <c r="B202" s="34" t="s">
        <v>18</v>
      </c>
      <c r="C202" s="34" t="s">
        <v>78</v>
      </c>
      <c r="D202" s="37">
        <v>42296</v>
      </c>
      <c r="E202" s="34">
        <v>93557340</v>
      </c>
      <c r="F202" s="37">
        <v>42291</v>
      </c>
      <c r="G202" s="37">
        <v>42293</v>
      </c>
      <c r="H202" s="34">
        <v>1201120</v>
      </c>
      <c r="I202" s="34" t="s">
        <v>117</v>
      </c>
      <c r="J202" s="34">
        <v>1307782</v>
      </c>
      <c r="K202" s="34" t="s">
        <v>119</v>
      </c>
      <c r="L202" s="34">
        <v>1171090</v>
      </c>
      <c r="M202" s="34" t="s">
        <v>118</v>
      </c>
      <c r="N202" s="34" t="s">
        <v>1018</v>
      </c>
      <c r="O202" s="34" t="s">
        <v>181</v>
      </c>
      <c r="P202" s="34" t="s">
        <v>67</v>
      </c>
      <c r="Q202" s="34" t="s">
        <v>68</v>
      </c>
      <c r="R202" s="34">
        <v>1293.5999999999999</v>
      </c>
      <c r="S202" s="34" t="s">
        <v>182</v>
      </c>
      <c r="T202" s="34" t="s">
        <v>63</v>
      </c>
      <c r="U202" s="34" t="s">
        <v>70</v>
      </c>
      <c r="V202" s="34" t="s">
        <v>76</v>
      </c>
      <c r="W202" s="37">
        <v>42304</v>
      </c>
      <c r="X202" s="34" t="s">
        <v>64</v>
      </c>
      <c r="Y202" s="37">
        <v>42296</v>
      </c>
      <c r="Z202" s="34"/>
      <c r="AA202" s="34"/>
      <c r="AB202" s="34"/>
      <c r="AC202" s="34" t="s">
        <v>183</v>
      </c>
      <c r="AD202" s="34">
        <v>3527006523</v>
      </c>
      <c r="AE202" s="34" t="s">
        <v>77</v>
      </c>
      <c r="AF202" s="34" t="s">
        <v>388</v>
      </c>
    </row>
    <row r="203" spans="1:32" x14ac:dyDescent="0.2">
      <c r="A203" s="34">
        <v>10019626</v>
      </c>
      <c r="B203" s="34" t="s">
        <v>18</v>
      </c>
      <c r="C203" s="34" t="s">
        <v>573</v>
      </c>
      <c r="D203" s="37">
        <v>42296</v>
      </c>
      <c r="E203" s="34">
        <v>93560505</v>
      </c>
      <c r="F203" s="37">
        <v>42293</v>
      </c>
      <c r="G203" s="34"/>
      <c r="H203" s="34">
        <v>1201120</v>
      </c>
      <c r="I203" s="34" t="s">
        <v>117</v>
      </c>
      <c r="J203" s="34">
        <v>1307782</v>
      </c>
      <c r="K203" s="34" t="s">
        <v>119</v>
      </c>
      <c r="L203" s="34">
        <v>1171090</v>
      </c>
      <c r="M203" s="34" t="s">
        <v>118</v>
      </c>
      <c r="N203" s="34" t="s">
        <v>1019</v>
      </c>
      <c r="O203" s="34" t="s">
        <v>181</v>
      </c>
      <c r="P203" s="34" t="s">
        <v>123</v>
      </c>
      <c r="Q203" s="34" t="s">
        <v>124</v>
      </c>
      <c r="R203" s="34">
        <v>9504</v>
      </c>
      <c r="S203" s="34" t="s">
        <v>182</v>
      </c>
      <c r="T203" s="34" t="s">
        <v>69</v>
      </c>
      <c r="U203" s="34" t="s">
        <v>70</v>
      </c>
      <c r="V203" s="34" t="s">
        <v>76</v>
      </c>
      <c r="W203" s="37">
        <v>42304</v>
      </c>
      <c r="X203" s="34" t="s">
        <v>64</v>
      </c>
      <c r="Y203" s="37">
        <v>42296</v>
      </c>
      <c r="Z203" s="34" t="s">
        <v>100</v>
      </c>
      <c r="AA203" s="34">
        <v>62016697</v>
      </c>
      <c r="AB203" s="37">
        <v>42312</v>
      </c>
      <c r="AC203" s="34" t="s">
        <v>183</v>
      </c>
      <c r="AD203" s="34" t="s">
        <v>1017</v>
      </c>
      <c r="AE203" s="34" t="s">
        <v>77</v>
      </c>
      <c r="AF203" s="34" t="s">
        <v>1020</v>
      </c>
    </row>
    <row r="204" spans="1:32" x14ac:dyDescent="0.2">
      <c r="A204" s="34">
        <v>10019627</v>
      </c>
      <c r="B204" s="34" t="s">
        <v>18</v>
      </c>
      <c r="C204" s="34" t="s">
        <v>573</v>
      </c>
      <c r="D204" s="37">
        <v>42296</v>
      </c>
      <c r="E204" s="34">
        <v>93560504</v>
      </c>
      <c r="F204" s="37">
        <v>42293</v>
      </c>
      <c r="G204" s="34"/>
      <c r="H204" s="34">
        <v>1201120</v>
      </c>
      <c r="I204" s="34" t="s">
        <v>117</v>
      </c>
      <c r="J204" s="34">
        <v>1307782</v>
      </c>
      <c r="K204" s="34" t="s">
        <v>119</v>
      </c>
      <c r="L204" s="34">
        <v>1171090</v>
      </c>
      <c r="M204" s="34" t="s">
        <v>118</v>
      </c>
      <c r="N204" s="34" t="s">
        <v>1021</v>
      </c>
      <c r="O204" s="34" t="s">
        <v>181</v>
      </c>
      <c r="P204" s="34" t="s">
        <v>91</v>
      </c>
      <c r="Q204" s="34" t="s">
        <v>92</v>
      </c>
      <c r="R204" s="34">
        <v>378</v>
      </c>
      <c r="S204" s="34" t="s">
        <v>182</v>
      </c>
      <c r="T204" s="34" t="s">
        <v>69</v>
      </c>
      <c r="U204" s="34" t="s">
        <v>70</v>
      </c>
      <c r="V204" s="34" t="s">
        <v>76</v>
      </c>
      <c r="W204" s="37">
        <v>42304</v>
      </c>
      <c r="X204" s="34" t="s">
        <v>64</v>
      </c>
      <c r="Y204" s="37">
        <v>42296</v>
      </c>
      <c r="Z204" s="34" t="s">
        <v>100</v>
      </c>
      <c r="AA204" s="34">
        <v>62016702</v>
      </c>
      <c r="AB204" s="37">
        <v>42312</v>
      </c>
      <c r="AC204" s="34" t="s">
        <v>183</v>
      </c>
      <c r="AD204" s="34" t="s">
        <v>1012</v>
      </c>
      <c r="AE204" s="34" t="s">
        <v>77</v>
      </c>
      <c r="AF204" s="34" t="s">
        <v>1022</v>
      </c>
    </row>
    <row r="205" spans="1:32" x14ac:dyDescent="0.2">
      <c r="A205" s="34">
        <v>10019629</v>
      </c>
      <c r="B205" s="34" t="s">
        <v>26</v>
      </c>
      <c r="C205" s="34" t="s">
        <v>78</v>
      </c>
      <c r="D205" s="37">
        <v>42296</v>
      </c>
      <c r="E205" s="34">
        <v>93554659</v>
      </c>
      <c r="F205" s="37">
        <v>42289</v>
      </c>
      <c r="G205" s="34"/>
      <c r="H205" s="34">
        <v>1201047</v>
      </c>
      <c r="I205" s="34" t="s">
        <v>79</v>
      </c>
      <c r="J205" s="34">
        <v>1338648</v>
      </c>
      <c r="K205" s="34" t="s">
        <v>93</v>
      </c>
      <c r="L205" s="34">
        <v>1171089</v>
      </c>
      <c r="M205" s="34" t="s">
        <v>75</v>
      </c>
      <c r="N205" s="34">
        <v>63141135</v>
      </c>
      <c r="O205" s="34" t="s">
        <v>181</v>
      </c>
      <c r="P205" s="34" t="s">
        <v>86</v>
      </c>
      <c r="Q205" s="34" t="s">
        <v>87</v>
      </c>
      <c r="R205" s="34">
        <v>35.65</v>
      </c>
      <c r="S205" s="34" t="s">
        <v>182</v>
      </c>
      <c r="T205" s="34" t="s">
        <v>63</v>
      </c>
      <c r="U205" s="34" t="s">
        <v>105</v>
      </c>
      <c r="V205" s="34" t="s">
        <v>82</v>
      </c>
      <c r="W205" s="37">
        <v>42307</v>
      </c>
      <c r="X205" s="34" t="s">
        <v>83</v>
      </c>
      <c r="Y205" s="37">
        <v>42296</v>
      </c>
      <c r="Z205" s="34"/>
      <c r="AA205" s="34"/>
      <c r="AB205" s="34"/>
      <c r="AC205" s="34" t="s">
        <v>183</v>
      </c>
      <c r="AD205" s="34" t="s">
        <v>1023</v>
      </c>
      <c r="AE205" s="34" t="s">
        <v>89</v>
      </c>
      <c r="AF205" s="34" t="s">
        <v>988</v>
      </c>
    </row>
    <row r="206" spans="1:32" x14ac:dyDescent="0.2">
      <c r="A206" s="34">
        <v>10019631</v>
      </c>
      <c r="B206" s="34" t="s">
        <v>25</v>
      </c>
      <c r="C206" s="34" t="s">
        <v>78</v>
      </c>
      <c r="D206" s="37">
        <v>42296</v>
      </c>
      <c r="E206" s="34">
        <v>93558861</v>
      </c>
      <c r="F206" s="37">
        <v>42292</v>
      </c>
      <c r="G206" s="34"/>
      <c r="H206" s="34">
        <v>1201399</v>
      </c>
      <c r="I206" s="34" t="s">
        <v>144</v>
      </c>
      <c r="J206" s="34">
        <v>1170569</v>
      </c>
      <c r="K206" s="34" t="s">
        <v>350</v>
      </c>
      <c r="L206" s="34">
        <v>1171970</v>
      </c>
      <c r="M206" s="34" t="s">
        <v>144</v>
      </c>
      <c r="N206" s="34" t="s">
        <v>1024</v>
      </c>
      <c r="O206" s="34" t="s">
        <v>181</v>
      </c>
      <c r="P206" s="34" t="s">
        <v>97</v>
      </c>
      <c r="Q206" s="34" t="s">
        <v>98</v>
      </c>
      <c r="R206" s="34">
        <v>169.6</v>
      </c>
      <c r="S206" s="34" t="s">
        <v>182</v>
      </c>
      <c r="T206" s="34" t="s">
        <v>63</v>
      </c>
      <c r="U206" s="34" t="s">
        <v>94</v>
      </c>
      <c r="V206" s="34" t="s">
        <v>71</v>
      </c>
      <c r="W206" s="37">
        <v>42303</v>
      </c>
      <c r="X206" s="34" t="s">
        <v>64</v>
      </c>
      <c r="Y206" s="37">
        <v>42296</v>
      </c>
      <c r="Z206" s="34"/>
      <c r="AA206" s="34"/>
      <c r="AB206" s="34"/>
      <c r="AC206" s="34" t="s">
        <v>183</v>
      </c>
      <c r="AD206" s="34" t="s">
        <v>1025</v>
      </c>
      <c r="AE206" s="34" t="s">
        <v>465</v>
      </c>
      <c r="AF206" s="34" t="s">
        <v>1026</v>
      </c>
    </row>
    <row r="207" spans="1:32" x14ac:dyDescent="0.2">
      <c r="A207" s="34">
        <v>10019632</v>
      </c>
      <c r="B207" s="34" t="s">
        <v>18</v>
      </c>
      <c r="C207" s="34" t="s">
        <v>573</v>
      </c>
      <c r="D207" s="37">
        <v>42296</v>
      </c>
      <c r="E207" s="34">
        <v>93518881</v>
      </c>
      <c r="F207" s="37">
        <v>42258</v>
      </c>
      <c r="G207" s="37">
        <v>42263</v>
      </c>
      <c r="H207" s="34">
        <v>1201646</v>
      </c>
      <c r="I207" s="34" t="s">
        <v>164</v>
      </c>
      <c r="J207" s="34">
        <v>1201646</v>
      </c>
      <c r="K207" s="34" t="s">
        <v>164</v>
      </c>
      <c r="L207" s="34">
        <v>1201646</v>
      </c>
      <c r="M207" s="34" t="s">
        <v>164</v>
      </c>
      <c r="N207" s="34">
        <v>8045092</v>
      </c>
      <c r="O207" s="34" t="s">
        <v>181</v>
      </c>
      <c r="P207" s="34" t="s">
        <v>67</v>
      </c>
      <c r="Q207" s="34" t="s">
        <v>68</v>
      </c>
      <c r="R207" s="34">
        <v>21.2</v>
      </c>
      <c r="S207" s="34" t="s">
        <v>182</v>
      </c>
      <c r="T207" s="34" t="s">
        <v>63</v>
      </c>
      <c r="U207" s="34" t="s">
        <v>70</v>
      </c>
      <c r="V207" s="34" t="s">
        <v>76</v>
      </c>
      <c r="W207" s="37">
        <v>42304</v>
      </c>
      <c r="X207" s="34" t="s">
        <v>64</v>
      </c>
      <c r="Y207" s="37">
        <v>42296</v>
      </c>
      <c r="Z207" s="34"/>
      <c r="AA207" s="34"/>
      <c r="AB207" s="34"/>
      <c r="AC207" s="34" t="s">
        <v>183</v>
      </c>
      <c r="AD207" s="34">
        <v>3527004950</v>
      </c>
      <c r="AE207" s="34" t="s">
        <v>77</v>
      </c>
      <c r="AF207" s="34" t="s">
        <v>1027</v>
      </c>
    </row>
    <row r="208" spans="1:32" x14ac:dyDescent="0.2">
      <c r="A208" s="34">
        <v>10019633</v>
      </c>
      <c r="B208" s="34" t="s">
        <v>26</v>
      </c>
      <c r="C208" s="34" t="s">
        <v>78</v>
      </c>
      <c r="D208" s="37">
        <v>42296</v>
      </c>
      <c r="E208" s="34">
        <v>93515421</v>
      </c>
      <c r="F208" s="37">
        <v>42256</v>
      </c>
      <c r="G208" s="34"/>
      <c r="H208" s="34">
        <v>1318826</v>
      </c>
      <c r="I208" s="34" t="s">
        <v>110</v>
      </c>
      <c r="J208" s="34">
        <v>1334311</v>
      </c>
      <c r="K208" s="34" t="s">
        <v>113</v>
      </c>
      <c r="L208" s="34">
        <v>1318826</v>
      </c>
      <c r="M208" s="34" t="s">
        <v>110</v>
      </c>
      <c r="N208" s="34">
        <v>2049928</v>
      </c>
      <c r="O208" s="34" t="s">
        <v>181</v>
      </c>
      <c r="P208" s="34" t="s">
        <v>97</v>
      </c>
      <c r="Q208" s="34" t="s">
        <v>98</v>
      </c>
      <c r="R208" s="34">
        <v>168.96</v>
      </c>
      <c r="S208" s="34" t="s">
        <v>182</v>
      </c>
      <c r="T208" s="34" t="s">
        <v>63</v>
      </c>
      <c r="U208" s="34" t="s">
        <v>70</v>
      </c>
      <c r="V208" s="34" t="s">
        <v>82</v>
      </c>
      <c r="W208" s="37">
        <v>42307</v>
      </c>
      <c r="X208" s="34" t="s">
        <v>64</v>
      </c>
      <c r="Y208" s="37">
        <v>42296</v>
      </c>
      <c r="Z208" s="34"/>
      <c r="AA208" s="34"/>
      <c r="AB208" s="34"/>
      <c r="AC208" s="34" t="s">
        <v>183</v>
      </c>
      <c r="AD208" s="34">
        <v>87944972482695</v>
      </c>
      <c r="AE208" s="34" t="s">
        <v>893</v>
      </c>
      <c r="AF208" s="34" t="s">
        <v>1028</v>
      </c>
    </row>
    <row r="209" spans="1:32" x14ac:dyDescent="0.2">
      <c r="A209" s="34">
        <v>10019634</v>
      </c>
      <c r="B209" s="34" t="s">
        <v>18</v>
      </c>
      <c r="C209" s="34" t="s">
        <v>573</v>
      </c>
      <c r="D209" s="37">
        <v>42296</v>
      </c>
      <c r="E209" s="34">
        <v>93555795</v>
      </c>
      <c r="F209" s="37">
        <v>42290</v>
      </c>
      <c r="G209" s="34"/>
      <c r="H209" s="34">
        <v>1201047</v>
      </c>
      <c r="I209" s="34" t="s">
        <v>79</v>
      </c>
      <c r="J209" s="34">
        <v>1019056</v>
      </c>
      <c r="K209" s="34" t="s">
        <v>80</v>
      </c>
      <c r="L209" s="34">
        <v>1171089</v>
      </c>
      <c r="M209" s="34" t="s">
        <v>75</v>
      </c>
      <c r="N209" s="34">
        <v>41396492</v>
      </c>
      <c r="O209" s="34" t="s">
        <v>181</v>
      </c>
      <c r="P209" s="34" t="s">
        <v>86</v>
      </c>
      <c r="Q209" s="34" t="s">
        <v>87</v>
      </c>
      <c r="R209" s="34">
        <v>245.28</v>
      </c>
      <c r="S209" s="34" t="s">
        <v>182</v>
      </c>
      <c r="T209" s="34" t="s">
        <v>69</v>
      </c>
      <c r="U209" s="34" t="s">
        <v>70</v>
      </c>
      <c r="V209" s="34" t="s">
        <v>76</v>
      </c>
      <c r="W209" s="37">
        <v>42304</v>
      </c>
      <c r="X209" s="34" t="s">
        <v>64</v>
      </c>
      <c r="Y209" s="37">
        <v>42296</v>
      </c>
      <c r="Z209" s="34" t="s">
        <v>100</v>
      </c>
      <c r="AA209" s="34">
        <v>62016700</v>
      </c>
      <c r="AB209" s="37">
        <v>42312</v>
      </c>
      <c r="AC209" s="34" t="s">
        <v>183</v>
      </c>
      <c r="AD209" s="34" t="s">
        <v>1029</v>
      </c>
      <c r="AE209" s="34" t="s">
        <v>77</v>
      </c>
      <c r="AF209" s="34" t="s">
        <v>191</v>
      </c>
    </row>
    <row r="210" spans="1:32" x14ac:dyDescent="0.2">
      <c r="A210" s="34">
        <v>10019635</v>
      </c>
      <c r="B210" s="34" t="s">
        <v>18</v>
      </c>
      <c r="C210" s="34" t="s">
        <v>573</v>
      </c>
      <c r="D210" s="37">
        <v>42296</v>
      </c>
      <c r="E210" s="34">
        <v>93557268</v>
      </c>
      <c r="F210" s="37">
        <v>42291</v>
      </c>
      <c r="G210" s="34"/>
      <c r="H210" s="34">
        <v>1201047</v>
      </c>
      <c r="I210" s="34" t="s">
        <v>79</v>
      </c>
      <c r="J210" s="34">
        <v>1307128</v>
      </c>
      <c r="K210" s="34" t="s">
        <v>85</v>
      </c>
      <c r="L210" s="34">
        <v>1171089</v>
      </c>
      <c r="M210" s="34" t="s">
        <v>75</v>
      </c>
      <c r="N210" s="34">
        <v>10488998</v>
      </c>
      <c r="O210" s="34" t="s">
        <v>181</v>
      </c>
      <c r="P210" s="34" t="s">
        <v>91</v>
      </c>
      <c r="Q210" s="34" t="s">
        <v>92</v>
      </c>
      <c r="R210" s="34">
        <v>77.8</v>
      </c>
      <c r="S210" s="34" t="s">
        <v>182</v>
      </c>
      <c r="T210" s="34" t="s">
        <v>69</v>
      </c>
      <c r="U210" s="34" t="s">
        <v>70</v>
      </c>
      <c r="V210" s="34" t="s">
        <v>76</v>
      </c>
      <c r="W210" s="37">
        <v>42304</v>
      </c>
      <c r="X210" s="34" t="s">
        <v>64</v>
      </c>
      <c r="Y210" s="37">
        <v>42296</v>
      </c>
      <c r="Z210" s="34" t="s">
        <v>100</v>
      </c>
      <c r="AA210" s="34">
        <v>62016701</v>
      </c>
      <c r="AB210" s="37">
        <v>42312</v>
      </c>
      <c r="AC210" s="34" t="s">
        <v>183</v>
      </c>
      <c r="AD210" s="34" t="s">
        <v>1030</v>
      </c>
      <c r="AE210" s="34" t="s">
        <v>77</v>
      </c>
      <c r="AF210" s="34" t="s">
        <v>1031</v>
      </c>
    </row>
    <row r="211" spans="1:32" x14ac:dyDescent="0.2">
      <c r="A211" s="34">
        <v>10019636</v>
      </c>
      <c r="B211" s="34" t="s">
        <v>26</v>
      </c>
      <c r="C211" s="34" t="s">
        <v>78</v>
      </c>
      <c r="D211" s="37">
        <v>42297</v>
      </c>
      <c r="E211" s="34">
        <v>93554689</v>
      </c>
      <c r="F211" s="37">
        <v>42289</v>
      </c>
      <c r="G211" s="34"/>
      <c r="H211" s="34">
        <v>1201120</v>
      </c>
      <c r="I211" s="34" t="s">
        <v>117</v>
      </c>
      <c r="J211" s="34">
        <v>1307782</v>
      </c>
      <c r="K211" s="34" t="s">
        <v>119</v>
      </c>
      <c r="L211" s="34">
        <v>1171090</v>
      </c>
      <c r="M211" s="34" t="s">
        <v>118</v>
      </c>
      <c r="N211" s="34" t="s">
        <v>1032</v>
      </c>
      <c r="O211" s="34" t="s">
        <v>181</v>
      </c>
      <c r="P211" s="34" t="s">
        <v>123</v>
      </c>
      <c r="Q211" s="34" t="s">
        <v>124</v>
      </c>
      <c r="R211" s="34">
        <v>77.64</v>
      </c>
      <c r="S211" s="34" t="s">
        <v>182</v>
      </c>
      <c r="T211" s="34" t="s">
        <v>63</v>
      </c>
      <c r="U211" s="34" t="s">
        <v>94</v>
      </c>
      <c r="V211" s="34" t="s">
        <v>95</v>
      </c>
      <c r="W211" s="37">
        <v>42297</v>
      </c>
      <c r="X211" s="34" t="s">
        <v>64</v>
      </c>
      <c r="Y211" s="37">
        <v>42297</v>
      </c>
      <c r="Z211" s="34"/>
      <c r="AA211" s="34"/>
      <c r="AB211" s="34"/>
      <c r="AC211" s="34" t="s">
        <v>183</v>
      </c>
      <c r="AD211" s="34" t="s">
        <v>1033</v>
      </c>
      <c r="AE211" s="34" t="s">
        <v>96</v>
      </c>
      <c r="AF211" s="34" t="s">
        <v>1034</v>
      </c>
    </row>
    <row r="212" spans="1:32" x14ac:dyDescent="0.2">
      <c r="A212" s="34">
        <v>10019637</v>
      </c>
      <c r="B212" s="34" t="s">
        <v>18</v>
      </c>
      <c r="C212" s="34" t="s">
        <v>573</v>
      </c>
      <c r="D212" s="37">
        <v>42297</v>
      </c>
      <c r="E212" s="34">
        <v>93554561</v>
      </c>
      <c r="F212" s="37">
        <v>42289</v>
      </c>
      <c r="G212" s="34"/>
      <c r="H212" s="34">
        <v>1201047</v>
      </c>
      <c r="I212" s="34" t="s">
        <v>79</v>
      </c>
      <c r="J212" s="34">
        <v>1338648</v>
      </c>
      <c r="K212" s="34" t="s">
        <v>93</v>
      </c>
      <c r="L212" s="34">
        <v>1171089</v>
      </c>
      <c r="M212" s="34" t="s">
        <v>75</v>
      </c>
      <c r="N212" s="34">
        <v>63141202</v>
      </c>
      <c r="O212" s="34" t="s">
        <v>181</v>
      </c>
      <c r="P212" s="34" t="s">
        <v>86</v>
      </c>
      <c r="Q212" s="34" t="s">
        <v>87</v>
      </c>
      <c r="R212" s="34">
        <v>866.04</v>
      </c>
      <c r="S212" s="34" t="s">
        <v>182</v>
      </c>
      <c r="T212" s="34" t="s">
        <v>63</v>
      </c>
      <c r="U212" s="34" t="s">
        <v>70</v>
      </c>
      <c r="V212" s="34" t="s">
        <v>76</v>
      </c>
      <c r="W212" s="37">
        <v>42304</v>
      </c>
      <c r="X212" s="34" t="s">
        <v>64</v>
      </c>
      <c r="Y212" s="37">
        <v>42297</v>
      </c>
      <c r="Z212" s="34"/>
      <c r="AA212" s="34"/>
      <c r="AB212" s="34"/>
      <c r="AC212" s="34" t="s">
        <v>183</v>
      </c>
      <c r="AD212" s="34" t="s">
        <v>1023</v>
      </c>
      <c r="AE212" s="34" t="s">
        <v>77</v>
      </c>
      <c r="AF212" s="34" t="s">
        <v>1035</v>
      </c>
    </row>
    <row r="213" spans="1:32" x14ac:dyDescent="0.2">
      <c r="A213" s="34">
        <v>10019638</v>
      </c>
      <c r="B213" s="34" t="s">
        <v>18</v>
      </c>
      <c r="C213" s="34" t="s">
        <v>78</v>
      </c>
      <c r="D213" s="37">
        <v>42297</v>
      </c>
      <c r="E213" s="34">
        <v>93562867</v>
      </c>
      <c r="F213" s="37">
        <v>42296</v>
      </c>
      <c r="G213" s="34"/>
      <c r="H213" s="34">
        <v>1201120</v>
      </c>
      <c r="I213" s="34" t="s">
        <v>117</v>
      </c>
      <c r="J213" s="34">
        <v>1307782</v>
      </c>
      <c r="K213" s="34" t="s">
        <v>119</v>
      </c>
      <c r="L213" s="34">
        <v>1171090</v>
      </c>
      <c r="M213" s="34" t="s">
        <v>118</v>
      </c>
      <c r="N213" s="34" t="s">
        <v>1021</v>
      </c>
      <c r="O213" s="34" t="s">
        <v>181</v>
      </c>
      <c r="P213" s="34" t="s">
        <v>121</v>
      </c>
      <c r="Q213" s="34" t="s">
        <v>122</v>
      </c>
      <c r="R213" s="34">
        <v>56</v>
      </c>
      <c r="S213" s="34" t="s">
        <v>182</v>
      </c>
      <c r="T213" s="34" t="s">
        <v>69</v>
      </c>
      <c r="U213" s="34" t="s">
        <v>70</v>
      </c>
      <c r="V213" s="34" t="s">
        <v>76</v>
      </c>
      <c r="W213" s="37">
        <v>42304</v>
      </c>
      <c r="X213" s="34" t="s">
        <v>64</v>
      </c>
      <c r="Y213" s="37">
        <v>42297</v>
      </c>
      <c r="Z213" s="34" t="s">
        <v>100</v>
      </c>
      <c r="AA213" s="34">
        <v>62016698</v>
      </c>
      <c r="AB213" s="37">
        <v>42312</v>
      </c>
      <c r="AC213" s="34" t="s">
        <v>183</v>
      </c>
      <c r="AD213" s="34" t="s">
        <v>1036</v>
      </c>
      <c r="AE213" s="34" t="s">
        <v>77</v>
      </c>
      <c r="AF213" s="34" t="s">
        <v>355</v>
      </c>
    </row>
    <row r="214" spans="1:32" x14ac:dyDescent="0.2">
      <c r="A214" s="34">
        <v>10019639</v>
      </c>
      <c r="B214" s="34" t="s">
        <v>18</v>
      </c>
      <c r="C214" s="34" t="s">
        <v>573</v>
      </c>
      <c r="D214" s="37">
        <v>42297</v>
      </c>
      <c r="E214" s="34">
        <v>93557443</v>
      </c>
      <c r="F214" s="37">
        <v>42291</v>
      </c>
      <c r="G214" s="34"/>
      <c r="H214" s="34">
        <v>1201399</v>
      </c>
      <c r="I214" s="34" t="s">
        <v>144</v>
      </c>
      <c r="J214" s="34">
        <v>1334926</v>
      </c>
      <c r="K214" s="34" t="s">
        <v>145</v>
      </c>
      <c r="L214" s="34">
        <v>1171970</v>
      </c>
      <c r="M214" s="34" t="s">
        <v>144</v>
      </c>
      <c r="N214" s="34">
        <v>8106675715</v>
      </c>
      <c r="O214" s="34" t="s">
        <v>181</v>
      </c>
      <c r="P214" s="34" t="s">
        <v>91</v>
      </c>
      <c r="Q214" s="34" t="s">
        <v>92</v>
      </c>
      <c r="R214" s="34">
        <v>1100</v>
      </c>
      <c r="S214" s="34" t="s">
        <v>182</v>
      </c>
      <c r="T214" s="34" t="s">
        <v>63</v>
      </c>
      <c r="U214" s="34" t="s">
        <v>70</v>
      </c>
      <c r="V214" s="34" t="s">
        <v>76</v>
      </c>
      <c r="W214" s="37">
        <v>42304</v>
      </c>
      <c r="X214" s="34" t="s">
        <v>64</v>
      </c>
      <c r="Y214" s="37">
        <v>42297</v>
      </c>
      <c r="Z214" s="34"/>
      <c r="AA214" s="34"/>
      <c r="AB214" s="34"/>
      <c r="AC214" s="34" t="s">
        <v>183</v>
      </c>
      <c r="AD214" s="34" t="s">
        <v>1037</v>
      </c>
      <c r="AE214" s="34" t="s">
        <v>77</v>
      </c>
      <c r="AF214" s="34" t="s">
        <v>187</v>
      </c>
    </row>
    <row r="215" spans="1:32" x14ac:dyDescent="0.2">
      <c r="A215" s="34">
        <v>10019640</v>
      </c>
      <c r="B215" s="34" t="s">
        <v>24</v>
      </c>
      <c r="C215" s="34" t="s">
        <v>78</v>
      </c>
      <c r="D215" s="37">
        <v>42297</v>
      </c>
      <c r="E215" s="34">
        <v>93552565</v>
      </c>
      <c r="F215" s="37">
        <v>42286</v>
      </c>
      <c r="G215" s="37">
        <v>42296</v>
      </c>
      <c r="H215" s="34">
        <v>1201156</v>
      </c>
      <c r="I215" s="34" t="s">
        <v>131</v>
      </c>
      <c r="J215" s="34">
        <v>1319569</v>
      </c>
      <c r="K215" s="34" t="s">
        <v>132</v>
      </c>
      <c r="L215" s="34">
        <v>1201156</v>
      </c>
      <c r="M215" s="34" t="s">
        <v>131</v>
      </c>
      <c r="N215" s="34">
        <v>8325254</v>
      </c>
      <c r="O215" s="34" t="s">
        <v>181</v>
      </c>
      <c r="P215" s="34" t="s">
        <v>61</v>
      </c>
      <c r="Q215" s="34" t="s">
        <v>62</v>
      </c>
      <c r="R215" s="34">
        <v>156.47999999999999</v>
      </c>
      <c r="S215" s="34" t="s">
        <v>182</v>
      </c>
      <c r="T215" s="34" t="s">
        <v>63</v>
      </c>
      <c r="U215" s="34" t="s">
        <v>70</v>
      </c>
      <c r="V215" s="34" t="s">
        <v>71</v>
      </c>
      <c r="W215" s="37">
        <v>42303</v>
      </c>
      <c r="X215" s="34" t="s">
        <v>64</v>
      </c>
      <c r="Y215" s="37">
        <v>42297</v>
      </c>
      <c r="Z215" s="34"/>
      <c r="AA215" s="34"/>
      <c r="AB215" s="34"/>
      <c r="AC215" s="34" t="s">
        <v>183</v>
      </c>
      <c r="AD215" s="34">
        <v>327764693</v>
      </c>
      <c r="AE215" s="34" t="s">
        <v>73</v>
      </c>
      <c r="AF215" s="34" t="s">
        <v>1038</v>
      </c>
    </row>
    <row r="216" spans="1:32" x14ac:dyDescent="0.2">
      <c r="A216" s="34">
        <v>10019641</v>
      </c>
      <c r="B216" s="34" t="s">
        <v>26</v>
      </c>
      <c r="C216" s="34" t="s">
        <v>573</v>
      </c>
      <c r="D216" s="37">
        <v>42297</v>
      </c>
      <c r="E216" s="34">
        <v>93558800</v>
      </c>
      <c r="F216" s="37">
        <v>42292</v>
      </c>
      <c r="G216" s="34"/>
      <c r="H216" s="34">
        <v>1201232</v>
      </c>
      <c r="I216" s="34" t="s">
        <v>772</v>
      </c>
      <c r="J216" s="34">
        <v>1201232</v>
      </c>
      <c r="K216" s="34" t="s">
        <v>772</v>
      </c>
      <c r="L216" s="34">
        <v>1201232</v>
      </c>
      <c r="M216" s="34" t="s">
        <v>772</v>
      </c>
      <c r="N216" s="34">
        <v>26494</v>
      </c>
      <c r="O216" s="34" t="s">
        <v>181</v>
      </c>
      <c r="P216" s="34" t="s">
        <v>91</v>
      </c>
      <c r="Q216" s="34" t="s">
        <v>92</v>
      </c>
      <c r="R216" s="34">
        <v>220.32</v>
      </c>
      <c r="S216" s="34" t="s">
        <v>182</v>
      </c>
      <c r="T216" s="34" t="s">
        <v>63</v>
      </c>
      <c r="U216" s="34"/>
      <c r="V216" s="34"/>
      <c r="W216" s="34"/>
      <c r="X216" s="34" t="s">
        <v>64</v>
      </c>
      <c r="Y216" s="37">
        <v>42297</v>
      </c>
      <c r="Z216" s="34"/>
      <c r="AA216" s="34"/>
      <c r="AB216" s="34"/>
      <c r="AC216" s="34" t="s">
        <v>183</v>
      </c>
      <c r="AD216" s="34" t="s">
        <v>1039</v>
      </c>
      <c r="AE216" s="34"/>
      <c r="AF216" s="34"/>
    </row>
    <row r="217" spans="1:32" x14ac:dyDescent="0.2">
      <c r="A217" s="34">
        <v>10019642</v>
      </c>
      <c r="B217" s="34" t="s">
        <v>26</v>
      </c>
      <c r="C217" s="34" t="s">
        <v>78</v>
      </c>
      <c r="D217" s="37">
        <v>42297</v>
      </c>
      <c r="E217" s="34">
        <v>93534875</v>
      </c>
      <c r="F217" s="37">
        <v>42271</v>
      </c>
      <c r="G217" s="34"/>
      <c r="H217" s="34">
        <v>1322827</v>
      </c>
      <c r="I217" s="34" t="s">
        <v>253</v>
      </c>
      <c r="J217" s="34">
        <v>1322894</v>
      </c>
      <c r="K217" s="34" t="s">
        <v>449</v>
      </c>
      <c r="L217" s="34">
        <v>1322827</v>
      </c>
      <c r="M217" s="34" t="s">
        <v>253</v>
      </c>
      <c r="N217" s="34">
        <v>1267141</v>
      </c>
      <c r="O217" s="34" t="s">
        <v>181</v>
      </c>
      <c r="P217" s="34" t="s">
        <v>97</v>
      </c>
      <c r="Q217" s="34" t="s">
        <v>98</v>
      </c>
      <c r="R217" s="34">
        <v>15.48</v>
      </c>
      <c r="S217" s="34" t="s">
        <v>182</v>
      </c>
      <c r="T217" s="34" t="s">
        <v>63</v>
      </c>
      <c r="U217" s="34" t="s">
        <v>81</v>
      </c>
      <c r="V217" s="34" t="s">
        <v>88</v>
      </c>
      <c r="W217" s="37">
        <v>42307</v>
      </c>
      <c r="X217" s="34" t="s">
        <v>64</v>
      </c>
      <c r="Y217" s="37">
        <v>42297</v>
      </c>
      <c r="Z217" s="34"/>
      <c r="AA217" s="34"/>
      <c r="AB217" s="34"/>
      <c r="AC217" s="34" t="s">
        <v>183</v>
      </c>
      <c r="AD217" s="34" t="s">
        <v>1040</v>
      </c>
      <c r="AE217" s="34" t="s">
        <v>89</v>
      </c>
      <c r="AF217" s="34" t="s">
        <v>1041</v>
      </c>
    </row>
    <row r="218" spans="1:32" x14ac:dyDescent="0.2">
      <c r="A218" s="34">
        <v>10019643</v>
      </c>
      <c r="B218" s="34" t="s">
        <v>26</v>
      </c>
      <c r="C218" s="34" t="s">
        <v>78</v>
      </c>
      <c r="D218" s="37">
        <v>42297</v>
      </c>
      <c r="E218" s="34">
        <v>93555788</v>
      </c>
      <c r="F218" s="37">
        <v>42290</v>
      </c>
      <c r="G218" s="34"/>
      <c r="H218" s="34">
        <v>1201047</v>
      </c>
      <c r="I218" s="34" t="s">
        <v>79</v>
      </c>
      <c r="J218" s="34">
        <v>1317086</v>
      </c>
      <c r="K218" s="34" t="s">
        <v>85</v>
      </c>
      <c r="L218" s="34">
        <v>1171089</v>
      </c>
      <c r="M218" s="34" t="s">
        <v>75</v>
      </c>
      <c r="N218" s="34">
        <v>23611099</v>
      </c>
      <c r="O218" s="34" t="s">
        <v>181</v>
      </c>
      <c r="P218" s="34" t="s">
        <v>86</v>
      </c>
      <c r="Q218" s="34" t="s">
        <v>87</v>
      </c>
      <c r="R218" s="34">
        <v>830</v>
      </c>
      <c r="S218" s="34" t="s">
        <v>182</v>
      </c>
      <c r="T218" s="34" t="s">
        <v>63</v>
      </c>
      <c r="U218" s="34" t="s">
        <v>94</v>
      </c>
      <c r="V218" s="34" t="s">
        <v>95</v>
      </c>
      <c r="W218" s="37">
        <v>42304</v>
      </c>
      <c r="X218" s="34" t="s">
        <v>64</v>
      </c>
      <c r="Y218" s="37">
        <v>42297</v>
      </c>
      <c r="Z218" s="34"/>
      <c r="AA218" s="34"/>
      <c r="AB218" s="34"/>
      <c r="AC218" s="34" t="s">
        <v>183</v>
      </c>
      <c r="AD218" s="34" t="s">
        <v>1042</v>
      </c>
      <c r="AE218" s="34" t="s">
        <v>96</v>
      </c>
      <c r="AF218" s="34" t="s">
        <v>1043</v>
      </c>
    </row>
    <row r="219" spans="1:32" x14ac:dyDescent="0.2">
      <c r="A219" s="34">
        <v>10019644</v>
      </c>
      <c r="B219" s="34" t="s">
        <v>18</v>
      </c>
      <c r="C219" s="34" t="s">
        <v>573</v>
      </c>
      <c r="D219" s="37">
        <v>42297</v>
      </c>
      <c r="E219" s="34">
        <v>93552623</v>
      </c>
      <c r="F219" s="37">
        <v>42286</v>
      </c>
      <c r="G219" s="34"/>
      <c r="H219" s="34">
        <v>1201301</v>
      </c>
      <c r="I219" s="34" t="s">
        <v>378</v>
      </c>
      <c r="J219" s="34">
        <v>1058880</v>
      </c>
      <c r="K219" s="34" t="s">
        <v>379</v>
      </c>
      <c r="L219" s="34">
        <v>1171972</v>
      </c>
      <c r="M219" s="34" t="s">
        <v>379</v>
      </c>
      <c r="N219" s="34">
        <v>12829473</v>
      </c>
      <c r="O219" s="34" t="s">
        <v>181</v>
      </c>
      <c r="P219" s="34" t="s">
        <v>97</v>
      </c>
      <c r="Q219" s="34" t="s">
        <v>98</v>
      </c>
      <c r="R219" s="34">
        <v>87.34</v>
      </c>
      <c r="S219" s="34" t="s">
        <v>182</v>
      </c>
      <c r="T219" s="34" t="s">
        <v>63</v>
      </c>
      <c r="U219" s="34" t="s">
        <v>70</v>
      </c>
      <c r="V219" s="34" t="s">
        <v>76</v>
      </c>
      <c r="W219" s="37">
        <v>42304</v>
      </c>
      <c r="X219" s="34" t="s">
        <v>64</v>
      </c>
      <c r="Y219" s="37">
        <v>42297</v>
      </c>
      <c r="Z219" s="34"/>
      <c r="AA219" s="34"/>
      <c r="AB219" s="34"/>
      <c r="AC219" s="34" t="s">
        <v>183</v>
      </c>
      <c r="AD219" s="34" t="s">
        <v>1044</v>
      </c>
      <c r="AE219" s="34" t="s">
        <v>77</v>
      </c>
      <c r="AF219" s="34" t="s">
        <v>196</v>
      </c>
    </row>
    <row r="220" spans="1:32" x14ac:dyDescent="0.2">
      <c r="A220" s="34">
        <v>10019645</v>
      </c>
      <c r="B220" s="34" t="s">
        <v>22</v>
      </c>
      <c r="C220" s="34" t="s">
        <v>78</v>
      </c>
      <c r="D220" s="37">
        <v>42297</v>
      </c>
      <c r="E220" s="34"/>
      <c r="F220" s="34"/>
      <c r="G220" s="34"/>
      <c r="H220" s="34">
        <v>1337029</v>
      </c>
      <c r="I220" s="34" t="s">
        <v>1045</v>
      </c>
      <c r="J220" s="34">
        <v>1337029</v>
      </c>
      <c r="K220" s="34" t="s">
        <v>1045</v>
      </c>
      <c r="L220" s="34">
        <v>1337029</v>
      </c>
      <c r="M220" s="34" t="s">
        <v>1045</v>
      </c>
      <c r="N220" s="34">
        <v>201136</v>
      </c>
      <c r="O220" s="34" t="s">
        <v>181</v>
      </c>
      <c r="P220" s="34"/>
      <c r="Q220" s="34"/>
      <c r="R220" s="34">
        <v>235.2</v>
      </c>
      <c r="S220" s="34" t="s">
        <v>182</v>
      </c>
      <c r="T220" s="34" t="s">
        <v>63</v>
      </c>
      <c r="U220" s="34" t="s">
        <v>94</v>
      </c>
      <c r="V220" s="34" t="s">
        <v>82</v>
      </c>
      <c r="W220" s="37">
        <v>42305</v>
      </c>
      <c r="X220" s="34" t="s">
        <v>64</v>
      </c>
      <c r="Y220" s="37">
        <v>42297</v>
      </c>
      <c r="Z220" s="34"/>
      <c r="AA220" s="34"/>
      <c r="AB220" s="34"/>
      <c r="AC220" s="34" t="s">
        <v>183</v>
      </c>
      <c r="AD220" s="34"/>
      <c r="AE220" s="34" t="s">
        <v>142</v>
      </c>
      <c r="AF220" s="34" t="s">
        <v>1046</v>
      </c>
    </row>
    <row r="221" spans="1:32" x14ac:dyDescent="0.2">
      <c r="A221" s="34">
        <v>10019646</v>
      </c>
      <c r="B221" s="34" t="s">
        <v>18</v>
      </c>
      <c r="C221" s="34" t="s">
        <v>78</v>
      </c>
      <c r="D221" s="37">
        <v>42297</v>
      </c>
      <c r="E221" s="34">
        <v>93556211</v>
      </c>
      <c r="F221" s="37">
        <v>42290</v>
      </c>
      <c r="G221" s="34"/>
      <c r="H221" s="34">
        <v>1318826</v>
      </c>
      <c r="I221" s="34" t="s">
        <v>110</v>
      </c>
      <c r="J221" s="34">
        <v>1337268</v>
      </c>
      <c r="K221" s="34" t="s">
        <v>961</v>
      </c>
      <c r="L221" s="34">
        <v>1318826</v>
      </c>
      <c r="M221" s="34" t="s">
        <v>110</v>
      </c>
      <c r="N221" s="34">
        <v>2051392</v>
      </c>
      <c r="O221" s="34" t="s">
        <v>181</v>
      </c>
      <c r="P221" s="34" t="s">
        <v>91</v>
      </c>
      <c r="Q221" s="34" t="s">
        <v>92</v>
      </c>
      <c r="R221" s="34">
        <v>32.340000000000003</v>
      </c>
      <c r="S221" s="34" t="s">
        <v>182</v>
      </c>
      <c r="T221" s="34" t="s">
        <v>69</v>
      </c>
      <c r="U221" s="34" t="s">
        <v>70</v>
      </c>
      <c r="V221" s="34" t="s">
        <v>76</v>
      </c>
      <c r="W221" s="37">
        <v>42304</v>
      </c>
      <c r="X221" s="34" t="s">
        <v>64</v>
      </c>
      <c r="Y221" s="37">
        <v>42297</v>
      </c>
      <c r="Z221" s="34" t="s">
        <v>100</v>
      </c>
      <c r="AA221" s="34">
        <v>62016688</v>
      </c>
      <c r="AB221" s="37">
        <v>42312</v>
      </c>
      <c r="AC221" s="34" t="s">
        <v>183</v>
      </c>
      <c r="AD221" s="34" t="s">
        <v>1047</v>
      </c>
      <c r="AE221" s="34" t="s">
        <v>77</v>
      </c>
      <c r="AF221" s="34" t="s">
        <v>386</v>
      </c>
    </row>
    <row r="222" spans="1:32" x14ac:dyDescent="0.2">
      <c r="A222" s="34">
        <v>10019647</v>
      </c>
      <c r="B222" s="34" t="s">
        <v>18</v>
      </c>
      <c r="C222" s="34" t="s">
        <v>78</v>
      </c>
      <c r="D222" s="37">
        <v>42297</v>
      </c>
      <c r="E222" s="34">
        <v>93560410</v>
      </c>
      <c r="F222" s="37">
        <v>42293</v>
      </c>
      <c r="G222" s="34"/>
      <c r="H222" s="34">
        <v>1201047</v>
      </c>
      <c r="I222" s="34" t="s">
        <v>79</v>
      </c>
      <c r="J222" s="34">
        <v>1030742</v>
      </c>
      <c r="K222" s="34" t="s">
        <v>80</v>
      </c>
      <c r="L222" s="34">
        <v>1171089</v>
      </c>
      <c r="M222" s="34" t="s">
        <v>75</v>
      </c>
      <c r="N222" s="34">
        <v>20931105</v>
      </c>
      <c r="O222" s="34" t="s">
        <v>181</v>
      </c>
      <c r="P222" s="34" t="s">
        <v>168</v>
      </c>
      <c r="Q222" s="34" t="s">
        <v>169</v>
      </c>
      <c r="R222" s="34">
        <v>88.5</v>
      </c>
      <c r="S222" s="34" t="s">
        <v>182</v>
      </c>
      <c r="T222" s="34" t="s">
        <v>63</v>
      </c>
      <c r="U222" s="34" t="s">
        <v>70</v>
      </c>
      <c r="V222" s="34" t="s">
        <v>76</v>
      </c>
      <c r="W222" s="37">
        <v>42304</v>
      </c>
      <c r="X222" s="34" t="s">
        <v>64</v>
      </c>
      <c r="Y222" s="37">
        <v>42297</v>
      </c>
      <c r="Z222" s="34"/>
      <c r="AA222" s="34"/>
      <c r="AB222" s="34"/>
      <c r="AC222" s="34" t="s">
        <v>183</v>
      </c>
      <c r="AD222" s="34" t="s">
        <v>1048</v>
      </c>
      <c r="AE222" s="34" t="s">
        <v>77</v>
      </c>
      <c r="AF222" s="34" t="s">
        <v>487</v>
      </c>
    </row>
    <row r="223" spans="1:32" x14ac:dyDescent="0.2">
      <c r="A223" s="34">
        <v>10019648</v>
      </c>
      <c r="B223" s="34" t="s">
        <v>22</v>
      </c>
      <c r="C223" s="34" t="s">
        <v>78</v>
      </c>
      <c r="D223" s="37">
        <v>42298</v>
      </c>
      <c r="E223" s="34">
        <v>93400150</v>
      </c>
      <c r="F223" s="37">
        <v>42166</v>
      </c>
      <c r="G223" s="34"/>
      <c r="H223" s="34">
        <v>1201315</v>
      </c>
      <c r="I223" s="34" t="s">
        <v>256</v>
      </c>
      <c r="J223" s="34">
        <v>1311189</v>
      </c>
      <c r="K223" s="34" t="s">
        <v>558</v>
      </c>
      <c r="L223" s="34">
        <v>1201315</v>
      </c>
      <c r="M223" s="34" t="s">
        <v>256</v>
      </c>
      <c r="N223" s="34">
        <v>5557704</v>
      </c>
      <c r="O223" s="34" t="s">
        <v>181</v>
      </c>
      <c r="P223" s="34" t="s">
        <v>97</v>
      </c>
      <c r="Q223" s="34" t="s">
        <v>98</v>
      </c>
      <c r="R223" s="34">
        <v>7564.18</v>
      </c>
      <c r="S223" s="34" t="s">
        <v>182</v>
      </c>
      <c r="T223" s="34" t="s">
        <v>63</v>
      </c>
      <c r="U223" s="34" t="s">
        <v>94</v>
      </c>
      <c r="V223" s="34" t="s">
        <v>141</v>
      </c>
      <c r="W223" s="37">
        <v>42299</v>
      </c>
      <c r="X223" s="34" t="s">
        <v>64</v>
      </c>
      <c r="Y223" s="37">
        <v>42298</v>
      </c>
      <c r="Z223" s="34"/>
      <c r="AA223" s="34"/>
      <c r="AB223" s="34"/>
      <c r="AC223" s="34" t="s">
        <v>183</v>
      </c>
      <c r="AD223" s="34">
        <v>87944972146634</v>
      </c>
      <c r="AE223" s="34" t="s">
        <v>142</v>
      </c>
      <c r="AF223" s="34" t="s">
        <v>1049</v>
      </c>
    </row>
    <row r="224" spans="1:32" x14ac:dyDescent="0.2">
      <c r="A224" s="34">
        <v>10019655</v>
      </c>
      <c r="B224" s="34" t="s">
        <v>18</v>
      </c>
      <c r="C224" s="34" t="s">
        <v>573</v>
      </c>
      <c r="D224" s="37">
        <v>42298</v>
      </c>
      <c r="E224" s="34">
        <v>93556027</v>
      </c>
      <c r="F224" s="37">
        <v>42290</v>
      </c>
      <c r="G224" s="34"/>
      <c r="H224" s="34">
        <v>1201399</v>
      </c>
      <c r="I224" s="34" t="s">
        <v>144</v>
      </c>
      <c r="J224" s="34">
        <v>1334926</v>
      </c>
      <c r="K224" s="34" t="s">
        <v>145</v>
      </c>
      <c r="L224" s="34">
        <v>1171970</v>
      </c>
      <c r="M224" s="34" t="s">
        <v>144</v>
      </c>
      <c r="N224" s="34">
        <v>8106675713</v>
      </c>
      <c r="O224" s="34" t="s">
        <v>181</v>
      </c>
      <c r="P224" s="34" t="s">
        <v>91</v>
      </c>
      <c r="Q224" s="34" t="s">
        <v>92</v>
      </c>
      <c r="R224" s="34">
        <v>2517.12</v>
      </c>
      <c r="S224" s="34" t="s">
        <v>182</v>
      </c>
      <c r="T224" s="34" t="s">
        <v>63</v>
      </c>
      <c r="U224" s="34" t="s">
        <v>70</v>
      </c>
      <c r="V224" s="34" t="s">
        <v>76</v>
      </c>
      <c r="W224" s="37">
        <v>42304</v>
      </c>
      <c r="X224" s="34" t="s">
        <v>64</v>
      </c>
      <c r="Y224" s="37">
        <v>42298</v>
      </c>
      <c r="Z224" s="34"/>
      <c r="AA224" s="34"/>
      <c r="AB224" s="34"/>
      <c r="AC224" s="34" t="s">
        <v>183</v>
      </c>
      <c r="AD224" s="34" t="s">
        <v>1050</v>
      </c>
      <c r="AE224" s="34" t="s">
        <v>77</v>
      </c>
      <c r="AF224" s="34" t="s">
        <v>1051</v>
      </c>
    </row>
    <row r="225" spans="1:32" x14ac:dyDescent="0.2">
      <c r="A225" s="34">
        <v>10019657</v>
      </c>
      <c r="B225" s="34" t="s">
        <v>26</v>
      </c>
      <c r="C225" s="34" t="s">
        <v>78</v>
      </c>
      <c r="D225" s="37">
        <v>42298</v>
      </c>
      <c r="E225" s="34">
        <v>93547760</v>
      </c>
      <c r="F225" s="37">
        <v>42283</v>
      </c>
      <c r="G225" s="34"/>
      <c r="H225" s="34">
        <v>1201047</v>
      </c>
      <c r="I225" s="34" t="s">
        <v>79</v>
      </c>
      <c r="J225" s="34">
        <v>1019056</v>
      </c>
      <c r="K225" s="34" t="s">
        <v>80</v>
      </c>
      <c r="L225" s="34">
        <v>1171089</v>
      </c>
      <c r="M225" s="34" t="s">
        <v>75</v>
      </c>
      <c r="N225" s="34">
        <v>41395788</v>
      </c>
      <c r="O225" s="34" t="s">
        <v>181</v>
      </c>
      <c r="P225" s="34" t="s">
        <v>86</v>
      </c>
      <c r="Q225" s="34" t="s">
        <v>87</v>
      </c>
      <c r="R225" s="34">
        <v>2651.52</v>
      </c>
      <c r="S225" s="34" t="s">
        <v>182</v>
      </c>
      <c r="T225" s="34" t="s">
        <v>63</v>
      </c>
      <c r="U225" s="34" t="s">
        <v>94</v>
      </c>
      <c r="V225" s="34" t="s">
        <v>95</v>
      </c>
      <c r="W225" s="37">
        <v>42304</v>
      </c>
      <c r="X225" s="34" t="s">
        <v>64</v>
      </c>
      <c r="Y225" s="37">
        <v>42298</v>
      </c>
      <c r="Z225" s="34"/>
      <c r="AA225" s="34"/>
      <c r="AB225" s="34"/>
      <c r="AC225" s="34" t="s">
        <v>183</v>
      </c>
      <c r="AD225" s="34" t="s">
        <v>1052</v>
      </c>
      <c r="AE225" s="34" t="s">
        <v>96</v>
      </c>
      <c r="AF225" s="34" t="s">
        <v>869</v>
      </c>
    </row>
    <row r="226" spans="1:32" x14ac:dyDescent="0.2">
      <c r="A226" s="34">
        <v>10019659</v>
      </c>
      <c r="B226" s="34" t="s">
        <v>18</v>
      </c>
      <c r="C226" s="34" t="s">
        <v>573</v>
      </c>
      <c r="D226" s="37">
        <v>42298</v>
      </c>
      <c r="E226" s="34">
        <v>93556018</v>
      </c>
      <c r="F226" s="37">
        <v>42290</v>
      </c>
      <c r="G226" s="34"/>
      <c r="H226" s="34">
        <v>1201399</v>
      </c>
      <c r="I226" s="34" t="s">
        <v>144</v>
      </c>
      <c r="J226" s="34">
        <v>1334926</v>
      </c>
      <c r="K226" s="34" t="s">
        <v>145</v>
      </c>
      <c r="L226" s="34">
        <v>1171970</v>
      </c>
      <c r="M226" s="34" t="s">
        <v>144</v>
      </c>
      <c r="N226" s="34">
        <v>8106675706</v>
      </c>
      <c r="O226" s="34" t="s">
        <v>181</v>
      </c>
      <c r="P226" s="34" t="s">
        <v>91</v>
      </c>
      <c r="Q226" s="34" t="s">
        <v>92</v>
      </c>
      <c r="R226" s="34">
        <v>1435.2</v>
      </c>
      <c r="S226" s="34" t="s">
        <v>182</v>
      </c>
      <c r="T226" s="34" t="s">
        <v>63</v>
      </c>
      <c r="U226" s="34" t="s">
        <v>70</v>
      </c>
      <c r="V226" s="34" t="s">
        <v>76</v>
      </c>
      <c r="W226" s="37">
        <v>42304</v>
      </c>
      <c r="X226" s="34" t="s">
        <v>64</v>
      </c>
      <c r="Y226" s="37">
        <v>42298</v>
      </c>
      <c r="Z226" s="34"/>
      <c r="AA226" s="34"/>
      <c r="AB226" s="34"/>
      <c r="AC226" s="34" t="s">
        <v>183</v>
      </c>
      <c r="AD226" s="34" t="s">
        <v>1050</v>
      </c>
      <c r="AE226" s="34" t="s">
        <v>77</v>
      </c>
      <c r="AF226" s="34" t="s">
        <v>370</v>
      </c>
    </row>
    <row r="227" spans="1:32" x14ac:dyDescent="0.2">
      <c r="A227" s="34">
        <v>10019660</v>
      </c>
      <c r="B227" s="34" t="s">
        <v>18</v>
      </c>
      <c r="C227" s="34" t="s">
        <v>78</v>
      </c>
      <c r="D227" s="37">
        <v>42299</v>
      </c>
      <c r="E227" s="34">
        <v>93564593</v>
      </c>
      <c r="F227" s="37">
        <v>42297</v>
      </c>
      <c r="G227" s="37">
        <v>42298</v>
      </c>
      <c r="H227" s="34">
        <v>1201483</v>
      </c>
      <c r="I227" s="34" t="s">
        <v>147</v>
      </c>
      <c r="J227" s="34">
        <v>1001169</v>
      </c>
      <c r="K227" s="34" t="s">
        <v>148</v>
      </c>
      <c r="L227" s="34">
        <v>1201483</v>
      </c>
      <c r="M227" s="34" t="s">
        <v>147</v>
      </c>
      <c r="N227" s="34">
        <v>94530</v>
      </c>
      <c r="O227" s="34" t="s">
        <v>181</v>
      </c>
      <c r="P227" s="34" t="s">
        <v>67</v>
      </c>
      <c r="Q227" s="34" t="s">
        <v>68</v>
      </c>
      <c r="R227" s="34">
        <v>69.48</v>
      </c>
      <c r="S227" s="34" t="s">
        <v>182</v>
      </c>
      <c r="T227" s="34" t="s">
        <v>63</v>
      </c>
      <c r="U227" s="34" t="s">
        <v>70</v>
      </c>
      <c r="V227" s="34" t="s">
        <v>76</v>
      </c>
      <c r="W227" s="37">
        <v>42304</v>
      </c>
      <c r="X227" s="34" t="s">
        <v>64</v>
      </c>
      <c r="Y227" s="37">
        <v>42299</v>
      </c>
      <c r="Z227" s="34"/>
      <c r="AA227" s="34"/>
      <c r="AB227" s="34"/>
      <c r="AC227" s="34" t="s">
        <v>183</v>
      </c>
      <c r="AD227" s="34">
        <v>3527001741</v>
      </c>
      <c r="AE227" s="34" t="s">
        <v>77</v>
      </c>
      <c r="AF227" s="34" t="s">
        <v>386</v>
      </c>
    </row>
    <row r="228" spans="1:32" x14ac:dyDescent="0.2">
      <c r="A228" s="34">
        <v>10019661</v>
      </c>
      <c r="B228" s="34" t="s">
        <v>18</v>
      </c>
      <c r="C228" s="34" t="s">
        <v>573</v>
      </c>
      <c r="D228" s="37">
        <v>42299</v>
      </c>
      <c r="E228" s="34">
        <v>93554756</v>
      </c>
      <c r="F228" s="37">
        <v>42289</v>
      </c>
      <c r="G228" s="37">
        <v>42291</v>
      </c>
      <c r="H228" s="34">
        <v>1201215</v>
      </c>
      <c r="I228" s="34" t="s">
        <v>138</v>
      </c>
      <c r="J228" s="34">
        <v>1338389</v>
      </c>
      <c r="K228" s="34" t="s">
        <v>822</v>
      </c>
      <c r="L228" s="34">
        <v>1201215</v>
      </c>
      <c r="M228" s="34" t="s">
        <v>138</v>
      </c>
      <c r="N228" s="34" t="s">
        <v>1053</v>
      </c>
      <c r="O228" s="34" t="s">
        <v>181</v>
      </c>
      <c r="P228" s="34" t="s">
        <v>67</v>
      </c>
      <c r="Q228" s="34" t="s">
        <v>68</v>
      </c>
      <c r="R228" s="34">
        <v>224.64</v>
      </c>
      <c r="S228" s="34" t="s">
        <v>182</v>
      </c>
      <c r="T228" s="34" t="s">
        <v>63</v>
      </c>
      <c r="U228" s="34" t="s">
        <v>70</v>
      </c>
      <c r="V228" s="34" t="s">
        <v>76</v>
      </c>
      <c r="W228" s="37">
        <v>42304</v>
      </c>
      <c r="X228" s="34" t="s">
        <v>64</v>
      </c>
      <c r="Y228" s="37">
        <v>42299</v>
      </c>
      <c r="Z228" s="34"/>
      <c r="AA228" s="34"/>
      <c r="AB228" s="34"/>
      <c r="AC228" s="34" t="s">
        <v>183</v>
      </c>
      <c r="AD228" s="34">
        <v>3527009312</v>
      </c>
      <c r="AE228" s="34" t="s">
        <v>77</v>
      </c>
      <c r="AF228" s="34" t="s">
        <v>376</v>
      </c>
    </row>
    <row r="229" spans="1:32" x14ac:dyDescent="0.2">
      <c r="A229" s="34">
        <v>10019662</v>
      </c>
      <c r="B229" s="34" t="s">
        <v>26</v>
      </c>
      <c r="C229" s="34" t="s">
        <v>573</v>
      </c>
      <c r="D229" s="37">
        <v>42299</v>
      </c>
      <c r="E229" s="34">
        <v>93562769</v>
      </c>
      <c r="F229" s="37">
        <v>42296</v>
      </c>
      <c r="G229" s="34"/>
      <c r="H229" s="34">
        <v>1201047</v>
      </c>
      <c r="I229" s="34" t="s">
        <v>79</v>
      </c>
      <c r="J229" s="34">
        <v>1058305</v>
      </c>
      <c r="K229" s="34" t="s">
        <v>99</v>
      </c>
      <c r="L229" s="34">
        <v>1171089</v>
      </c>
      <c r="M229" s="34" t="s">
        <v>75</v>
      </c>
      <c r="N229" s="34">
        <v>52934148</v>
      </c>
      <c r="O229" s="34" t="s">
        <v>181</v>
      </c>
      <c r="P229" s="34" t="s">
        <v>91</v>
      </c>
      <c r="Q229" s="34" t="s">
        <v>92</v>
      </c>
      <c r="R229" s="34">
        <v>37452</v>
      </c>
      <c r="S229" s="34" t="s">
        <v>182</v>
      </c>
      <c r="T229" s="34" t="s">
        <v>69</v>
      </c>
      <c r="U229" s="34" t="s">
        <v>94</v>
      </c>
      <c r="V229" s="34" t="s">
        <v>71</v>
      </c>
      <c r="W229" s="37">
        <v>42312</v>
      </c>
      <c r="X229" s="34" t="s">
        <v>64</v>
      </c>
      <c r="Y229" s="37">
        <v>42299</v>
      </c>
      <c r="Z229" s="34" t="s">
        <v>72</v>
      </c>
      <c r="AA229" s="34">
        <v>62016681</v>
      </c>
      <c r="AB229" s="37">
        <v>42312</v>
      </c>
      <c r="AC229" s="34" t="s">
        <v>183</v>
      </c>
      <c r="AD229" s="34" t="s">
        <v>1054</v>
      </c>
      <c r="AE229" s="34" t="s">
        <v>96</v>
      </c>
      <c r="AF229" s="34" t="s">
        <v>1055</v>
      </c>
    </row>
    <row r="230" spans="1:32" x14ac:dyDescent="0.2">
      <c r="A230" s="34">
        <v>10019665</v>
      </c>
      <c r="B230" s="34" t="s">
        <v>22</v>
      </c>
      <c r="C230" s="34" t="s">
        <v>78</v>
      </c>
      <c r="D230" s="37">
        <v>42299</v>
      </c>
      <c r="E230" s="34">
        <v>93562770</v>
      </c>
      <c r="F230" s="37">
        <v>42296</v>
      </c>
      <c r="G230" s="34"/>
      <c r="H230" s="34">
        <v>1201047</v>
      </c>
      <c r="I230" s="34" t="s">
        <v>79</v>
      </c>
      <c r="J230" s="34">
        <v>1338648</v>
      </c>
      <c r="K230" s="34" t="s">
        <v>93</v>
      </c>
      <c r="L230" s="34">
        <v>1171089</v>
      </c>
      <c r="M230" s="34" t="s">
        <v>75</v>
      </c>
      <c r="N230" s="34">
        <v>63141929</v>
      </c>
      <c r="O230" s="34" t="s">
        <v>181</v>
      </c>
      <c r="P230" s="34" t="s">
        <v>91</v>
      </c>
      <c r="Q230" s="34" t="s">
        <v>92</v>
      </c>
      <c r="R230" s="34">
        <v>35954.400000000001</v>
      </c>
      <c r="S230" s="34" t="s">
        <v>182</v>
      </c>
      <c r="T230" s="34" t="s">
        <v>63</v>
      </c>
      <c r="U230" s="34" t="s">
        <v>94</v>
      </c>
      <c r="V230" s="34" t="s">
        <v>82</v>
      </c>
      <c r="W230" s="37">
        <v>42312</v>
      </c>
      <c r="X230" s="34" t="s">
        <v>64</v>
      </c>
      <c r="Y230" s="37">
        <v>42299</v>
      </c>
      <c r="Z230" s="34"/>
      <c r="AA230" s="34"/>
      <c r="AB230" s="34"/>
      <c r="AC230" s="34" t="s">
        <v>183</v>
      </c>
      <c r="AD230" s="34" t="s">
        <v>1056</v>
      </c>
      <c r="AE230" s="34" t="s">
        <v>142</v>
      </c>
      <c r="AF230" s="34" t="s">
        <v>1057</v>
      </c>
    </row>
    <row r="231" spans="1:32" x14ac:dyDescent="0.2">
      <c r="A231" s="34">
        <v>10019666</v>
      </c>
      <c r="B231" s="34" t="s">
        <v>22</v>
      </c>
      <c r="C231" s="34" t="s">
        <v>78</v>
      </c>
      <c r="D231" s="37">
        <v>42299</v>
      </c>
      <c r="E231" s="34">
        <v>93562839</v>
      </c>
      <c r="F231" s="37">
        <v>42296</v>
      </c>
      <c r="G231" s="34"/>
      <c r="H231" s="34">
        <v>1201047</v>
      </c>
      <c r="I231" s="34" t="s">
        <v>79</v>
      </c>
      <c r="J231" s="34">
        <v>1338648</v>
      </c>
      <c r="K231" s="34" t="s">
        <v>93</v>
      </c>
      <c r="L231" s="34">
        <v>1171089</v>
      </c>
      <c r="M231" s="34" t="s">
        <v>75</v>
      </c>
      <c r="N231" s="34">
        <v>63141929</v>
      </c>
      <c r="O231" s="34" t="s">
        <v>181</v>
      </c>
      <c r="P231" s="34" t="s">
        <v>91</v>
      </c>
      <c r="Q231" s="34" t="s">
        <v>92</v>
      </c>
      <c r="R231" s="34">
        <v>1497.6</v>
      </c>
      <c r="S231" s="34" t="s">
        <v>182</v>
      </c>
      <c r="T231" s="34" t="s">
        <v>63</v>
      </c>
      <c r="U231" s="34" t="s">
        <v>94</v>
      </c>
      <c r="V231" s="34" t="s">
        <v>82</v>
      </c>
      <c r="W231" s="37">
        <v>42312</v>
      </c>
      <c r="X231" s="34" t="s">
        <v>64</v>
      </c>
      <c r="Y231" s="37">
        <v>42299</v>
      </c>
      <c r="Z231" s="34"/>
      <c r="AA231" s="34"/>
      <c r="AB231" s="34"/>
      <c r="AC231" s="34" t="s">
        <v>183</v>
      </c>
      <c r="AD231" s="34" t="s">
        <v>1056</v>
      </c>
      <c r="AE231" s="34" t="s">
        <v>142</v>
      </c>
      <c r="AF231" s="34" t="s">
        <v>1057</v>
      </c>
    </row>
    <row r="232" spans="1:32" x14ac:dyDescent="0.2">
      <c r="A232" s="34">
        <v>10019667</v>
      </c>
      <c r="B232" s="34" t="s">
        <v>22</v>
      </c>
      <c r="C232" s="34" t="s">
        <v>78</v>
      </c>
      <c r="D232" s="37">
        <v>42299</v>
      </c>
      <c r="E232" s="34"/>
      <c r="F232" s="34"/>
      <c r="G232" s="34"/>
      <c r="H232" s="34" t="s">
        <v>1058</v>
      </c>
      <c r="I232" s="34" t="s">
        <v>1059</v>
      </c>
      <c r="J232" s="34" t="s">
        <v>1058</v>
      </c>
      <c r="K232" s="34" t="s">
        <v>1059</v>
      </c>
      <c r="L232" s="34" t="s">
        <v>1058</v>
      </c>
      <c r="M232" s="34" t="s">
        <v>1059</v>
      </c>
      <c r="N232" s="34">
        <v>104757</v>
      </c>
      <c r="O232" s="34"/>
      <c r="P232" s="34"/>
      <c r="Q232" s="34"/>
      <c r="R232" s="34">
        <v>625</v>
      </c>
      <c r="S232" s="34" t="s">
        <v>182</v>
      </c>
      <c r="T232" s="34" t="s">
        <v>63</v>
      </c>
      <c r="U232" s="34" t="s">
        <v>104</v>
      </c>
      <c r="V232" s="34" t="s">
        <v>82</v>
      </c>
      <c r="W232" s="37">
        <v>42304</v>
      </c>
      <c r="X232" s="34" t="s">
        <v>64</v>
      </c>
      <c r="Y232" s="37">
        <v>42299</v>
      </c>
      <c r="Z232" s="34"/>
      <c r="AA232" s="34"/>
      <c r="AB232" s="34"/>
      <c r="AC232" s="34" t="s">
        <v>183</v>
      </c>
      <c r="AD232" s="34"/>
      <c r="AE232" s="34" t="s">
        <v>1060</v>
      </c>
      <c r="AF232" s="34" t="s">
        <v>1061</v>
      </c>
    </row>
    <row r="233" spans="1:32" x14ac:dyDescent="0.2">
      <c r="A233" s="34">
        <v>10019668</v>
      </c>
      <c r="B233" s="34" t="s">
        <v>26</v>
      </c>
      <c r="C233" s="34" t="s">
        <v>78</v>
      </c>
      <c r="D233" s="37">
        <v>42299</v>
      </c>
      <c r="E233" s="34">
        <v>93544485</v>
      </c>
      <c r="F233" s="37">
        <v>42279</v>
      </c>
      <c r="G233" s="34"/>
      <c r="H233" s="34">
        <v>1201259</v>
      </c>
      <c r="I233" s="34" t="s">
        <v>525</v>
      </c>
      <c r="J233" s="34">
        <v>1201259</v>
      </c>
      <c r="K233" s="34" t="s">
        <v>525</v>
      </c>
      <c r="L233" s="34">
        <v>1171974</v>
      </c>
      <c r="M233" s="34" t="s">
        <v>525</v>
      </c>
      <c r="N233" s="34">
        <v>14981</v>
      </c>
      <c r="O233" s="34" t="s">
        <v>181</v>
      </c>
      <c r="P233" s="34" t="s">
        <v>91</v>
      </c>
      <c r="Q233" s="34" t="s">
        <v>92</v>
      </c>
      <c r="R233" s="34">
        <v>29.96</v>
      </c>
      <c r="S233" s="34" t="s">
        <v>182</v>
      </c>
      <c r="T233" s="34" t="s">
        <v>63</v>
      </c>
      <c r="U233" s="34" t="s">
        <v>105</v>
      </c>
      <c r="V233" s="34" t="s">
        <v>82</v>
      </c>
      <c r="W233" s="37">
        <v>42305</v>
      </c>
      <c r="X233" s="34" t="s">
        <v>64</v>
      </c>
      <c r="Y233" s="37">
        <v>42299</v>
      </c>
      <c r="Z233" s="34"/>
      <c r="AA233" s="34"/>
      <c r="AB233" s="34"/>
      <c r="AC233" s="34" t="s">
        <v>183</v>
      </c>
      <c r="AD233" s="34" t="s">
        <v>1062</v>
      </c>
      <c r="AE233" s="34" t="s">
        <v>89</v>
      </c>
      <c r="AF233" s="34" t="s">
        <v>1063</v>
      </c>
    </row>
    <row r="234" spans="1:32" x14ac:dyDescent="0.2">
      <c r="A234" s="34">
        <v>10019669</v>
      </c>
      <c r="B234" s="34" t="s">
        <v>18</v>
      </c>
      <c r="C234" s="34" t="s">
        <v>78</v>
      </c>
      <c r="D234" s="37">
        <v>42299</v>
      </c>
      <c r="E234" s="34">
        <v>93544485</v>
      </c>
      <c r="F234" s="37">
        <v>42279</v>
      </c>
      <c r="G234" s="34"/>
      <c r="H234" s="34">
        <v>1201259</v>
      </c>
      <c r="I234" s="34" t="s">
        <v>525</v>
      </c>
      <c r="J234" s="34">
        <v>1201259</v>
      </c>
      <c r="K234" s="34" t="s">
        <v>525</v>
      </c>
      <c r="L234" s="34">
        <v>1171974</v>
      </c>
      <c r="M234" s="34" t="s">
        <v>525</v>
      </c>
      <c r="N234" s="34">
        <v>14981</v>
      </c>
      <c r="O234" s="34" t="s">
        <v>181</v>
      </c>
      <c r="P234" s="34" t="s">
        <v>91</v>
      </c>
      <c r="Q234" s="34" t="s">
        <v>92</v>
      </c>
      <c r="R234" s="34">
        <v>59.92</v>
      </c>
      <c r="S234" s="34" t="s">
        <v>182</v>
      </c>
      <c r="T234" s="34" t="s">
        <v>63</v>
      </c>
      <c r="U234" s="34" t="s">
        <v>105</v>
      </c>
      <c r="V234" s="34" t="s">
        <v>82</v>
      </c>
      <c r="W234" s="37">
        <v>42304</v>
      </c>
      <c r="X234" s="34" t="s">
        <v>64</v>
      </c>
      <c r="Y234" s="37">
        <v>42299</v>
      </c>
      <c r="Z234" s="34"/>
      <c r="AA234" s="34"/>
      <c r="AB234" s="34"/>
      <c r="AC234" s="34" t="s">
        <v>183</v>
      </c>
      <c r="AD234" s="34" t="s">
        <v>1062</v>
      </c>
      <c r="AE234" s="34" t="s">
        <v>106</v>
      </c>
      <c r="AF234" s="34" t="s">
        <v>1064</v>
      </c>
    </row>
    <row r="235" spans="1:32" x14ac:dyDescent="0.2">
      <c r="A235" s="34">
        <v>10019670</v>
      </c>
      <c r="B235" s="34" t="s">
        <v>26</v>
      </c>
      <c r="C235" s="34" t="s">
        <v>78</v>
      </c>
      <c r="D235" s="37">
        <v>42299</v>
      </c>
      <c r="E235" s="34">
        <v>93560799</v>
      </c>
      <c r="F235" s="37">
        <v>42293</v>
      </c>
      <c r="G235" s="37">
        <v>42297</v>
      </c>
      <c r="H235" s="34">
        <v>1201731</v>
      </c>
      <c r="I235" s="34" t="s">
        <v>342</v>
      </c>
      <c r="J235" s="34">
        <v>1319945</v>
      </c>
      <c r="K235" s="34" t="s">
        <v>343</v>
      </c>
      <c r="L235" s="34">
        <v>1171089</v>
      </c>
      <c r="M235" s="34" t="s">
        <v>75</v>
      </c>
      <c r="N235" s="34">
        <v>300073683</v>
      </c>
      <c r="O235" s="34" t="s">
        <v>181</v>
      </c>
      <c r="P235" s="34" t="s">
        <v>67</v>
      </c>
      <c r="Q235" s="34" t="s">
        <v>68</v>
      </c>
      <c r="R235" s="34">
        <v>240.55</v>
      </c>
      <c r="S235" s="34" t="s">
        <v>182</v>
      </c>
      <c r="T235" s="34" t="s">
        <v>63</v>
      </c>
      <c r="U235" s="34" t="s">
        <v>70</v>
      </c>
      <c r="V235" s="34" t="s">
        <v>82</v>
      </c>
      <c r="W235" s="37">
        <v>42307</v>
      </c>
      <c r="X235" s="34" t="s">
        <v>64</v>
      </c>
      <c r="Y235" s="37">
        <v>42299</v>
      </c>
      <c r="Z235" s="34"/>
      <c r="AA235" s="34"/>
      <c r="AB235" s="34"/>
      <c r="AC235" s="34" t="s">
        <v>183</v>
      </c>
      <c r="AD235" s="34">
        <v>3527001531</v>
      </c>
      <c r="AE235" s="34" t="s">
        <v>77</v>
      </c>
      <c r="AF235" s="34" t="s">
        <v>1065</v>
      </c>
    </row>
    <row r="236" spans="1:32" x14ac:dyDescent="0.2">
      <c r="A236" s="34">
        <v>10019671</v>
      </c>
      <c r="B236" s="34" t="s">
        <v>22</v>
      </c>
      <c r="C236" s="34" t="s">
        <v>573</v>
      </c>
      <c r="D236" s="37">
        <v>42299</v>
      </c>
      <c r="E236" s="34"/>
      <c r="F236" s="34"/>
      <c r="G236" s="34"/>
      <c r="H236" s="34">
        <v>1201057</v>
      </c>
      <c r="I236" s="34" t="s">
        <v>643</v>
      </c>
      <c r="J236" s="34">
        <v>1335345</v>
      </c>
      <c r="K236" s="34" t="s">
        <v>1066</v>
      </c>
      <c r="L236" s="34">
        <v>1201057</v>
      </c>
      <c r="M236" s="34" t="s">
        <v>643</v>
      </c>
      <c r="N236" s="34">
        <v>177158</v>
      </c>
      <c r="O236" s="34" t="s">
        <v>181</v>
      </c>
      <c r="P236" s="34"/>
      <c r="Q236" s="34"/>
      <c r="R236" s="34">
        <v>3062.64</v>
      </c>
      <c r="S236" s="34" t="s">
        <v>182</v>
      </c>
      <c r="T236" s="34" t="s">
        <v>63</v>
      </c>
      <c r="U236" s="34"/>
      <c r="V236" s="34"/>
      <c r="W236" s="34"/>
      <c r="X236" s="34" t="s">
        <v>64</v>
      </c>
      <c r="Y236" s="37">
        <v>42299</v>
      </c>
      <c r="Z236" s="34"/>
      <c r="AA236" s="34"/>
      <c r="AB236" s="34"/>
      <c r="AC236" s="34" t="s">
        <v>183</v>
      </c>
      <c r="AD236" s="34"/>
      <c r="AE236" s="34"/>
      <c r="AF236" s="34"/>
    </row>
    <row r="237" spans="1:32" x14ac:dyDescent="0.2">
      <c r="A237" s="34">
        <v>10019672</v>
      </c>
      <c r="B237" s="34" t="s">
        <v>22</v>
      </c>
      <c r="C237" s="34" t="s">
        <v>78</v>
      </c>
      <c r="D237" s="37">
        <v>42300</v>
      </c>
      <c r="E237" s="34">
        <v>93567601</v>
      </c>
      <c r="F237" s="37">
        <v>42299</v>
      </c>
      <c r="G237" s="34"/>
      <c r="H237" s="34">
        <v>1201108</v>
      </c>
      <c r="I237" s="34" t="s">
        <v>674</v>
      </c>
      <c r="J237" s="34">
        <v>1201108</v>
      </c>
      <c r="K237" s="34" t="s">
        <v>674</v>
      </c>
      <c r="L237" s="34">
        <v>1201108</v>
      </c>
      <c r="M237" s="34" t="s">
        <v>674</v>
      </c>
      <c r="N237" s="34">
        <v>512812</v>
      </c>
      <c r="O237" s="34" t="s">
        <v>181</v>
      </c>
      <c r="P237" s="34" t="s">
        <v>102</v>
      </c>
      <c r="Q237" s="34" t="s">
        <v>103</v>
      </c>
      <c r="R237" s="34">
        <v>2450.4</v>
      </c>
      <c r="S237" s="34" t="s">
        <v>182</v>
      </c>
      <c r="T237" s="34" t="s">
        <v>63</v>
      </c>
      <c r="U237" s="34" t="s">
        <v>94</v>
      </c>
      <c r="V237" s="34" t="s">
        <v>141</v>
      </c>
      <c r="W237" s="37">
        <v>42304</v>
      </c>
      <c r="X237" s="34" t="s">
        <v>64</v>
      </c>
      <c r="Y237" s="37">
        <v>42300</v>
      </c>
      <c r="Z237" s="34"/>
      <c r="AA237" s="34"/>
      <c r="AB237" s="34"/>
      <c r="AC237" s="34" t="s">
        <v>183</v>
      </c>
      <c r="AD237" s="34">
        <v>649275088801</v>
      </c>
      <c r="AE237" s="34" t="s">
        <v>142</v>
      </c>
      <c r="AF237" s="34" t="s">
        <v>1067</v>
      </c>
    </row>
    <row r="238" spans="1:32" x14ac:dyDescent="0.2">
      <c r="A238" s="34">
        <v>10019673</v>
      </c>
      <c r="B238" s="34" t="s">
        <v>26</v>
      </c>
      <c r="C238" s="34" t="s">
        <v>78</v>
      </c>
      <c r="D238" s="37">
        <v>42300</v>
      </c>
      <c r="E238" s="34">
        <v>93557268</v>
      </c>
      <c r="F238" s="37">
        <v>42291</v>
      </c>
      <c r="G238" s="34"/>
      <c r="H238" s="34">
        <v>1201047</v>
      </c>
      <c r="I238" s="34" t="s">
        <v>79</v>
      </c>
      <c r="J238" s="34">
        <v>1307128</v>
      </c>
      <c r="K238" s="34" t="s">
        <v>85</v>
      </c>
      <c r="L238" s="34">
        <v>1171089</v>
      </c>
      <c r="M238" s="34" t="s">
        <v>75</v>
      </c>
      <c r="N238" s="34">
        <v>10488998</v>
      </c>
      <c r="O238" s="34" t="s">
        <v>181</v>
      </c>
      <c r="P238" s="34" t="s">
        <v>91</v>
      </c>
      <c r="Q238" s="34" t="s">
        <v>92</v>
      </c>
      <c r="R238" s="34">
        <v>28512</v>
      </c>
      <c r="S238" s="34" t="s">
        <v>182</v>
      </c>
      <c r="T238" s="34" t="s">
        <v>63</v>
      </c>
      <c r="U238" s="34"/>
      <c r="V238" s="34"/>
      <c r="W238" s="34"/>
      <c r="X238" s="34" t="s">
        <v>83</v>
      </c>
      <c r="Y238" s="37">
        <v>42305</v>
      </c>
      <c r="Z238" s="34"/>
      <c r="AA238" s="34"/>
      <c r="AB238" s="34"/>
      <c r="AC238" s="34" t="s">
        <v>183</v>
      </c>
      <c r="AD238" s="34" t="s">
        <v>1030</v>
      </c>
      <c r="AE238" s="34"/>
      <c r="AF238" s="34"/>
    </row>
    <row r="239" spans="1:32" x14ac:dyDescent="0.2">
      <c r="A239" s="34">
        <v>10019674</v>
      </c>
      <c r="B239" s="34" t="s">
        <v>18</v>
      </c>
      <c r="C239" s="34" t="s">
        <v>573</v>
      </c>
      <c r="D239" s="37">
        <v>42300</v>
      </c>
      <c r="E239" s="34">
        <v>93430632</v>
      </c>
      <c r="F239" s="37">
        <v>42192</v>
      </c>
      <c r="G239" s="37">
        <v>42195</v>
      </c>
      <c r="H239" s="34">
        <v>1201494</v>
      </c>
      <c r="I239" s="34" t="s">
        <v>161</v>
      </c>
      <c r="J239" s="34">
        <v>1060523</v>
      </c>
      <c r="K239" s="34" t="s">
        <v>427</v>
      </c>
      <c r="L239" s="34">
        <v>1172005</v>
      </c>
      <c r="M239" s="34" t="s">
        <v>161</v>
      </c>
      <c r="N239" s="34">
        <v>24858</v>
      </c>
      <c r="O239" s="34" t="s">
        <v>181</v>
      </c>
      <c r="P239" s="34" t="s">
        <v>67</v>
      </c>
      <c r="Q239" s="34" t="s">
        <v>68</v>
      </c>
      <c r="R239" s="34">
        <v>104.4</v>
      </c>
      <c r="S239" s="34" t="s">
        <v>182</v>
      </c>
      <c r="T239" s="34" t="s">
        <v>63</v>
      </c>
      <c r="U239" s="34" t="s">
        <v>70</v>
      </c>
      <c r="V239" s="34" t="s">
        <v>76</v>
      </c>
      <c r="W239" s="37">
        <v>42304</v>
      </c>
      <c r="X239" s="34" t="s">
        <v>64</v>
      </c>
      <c r="Y239" s="37">
        <v>42300</v>
      </c>
      <c r="Z239" s="34"/>
      <c r="AA239" s="34"/>
      <c r="AB239" s="34"/>
      <c r="AC239" s="34" t="s">
        <v>183</v>
      </c>
      <c r="AD239" s="34">
        <v>2795188944</v>
      </c>
      <c r="AE239" s="34" t="s">
        <v>77</v>
      </c>
      <c r="AF239" s="34" t="s">
        <v>394</v>
      </c>
    </row>
    <row r="240" spans="1:32" x14ac:dyDescent="0.2">
      <c r="A240" s="34">
        <v>10019675</v>
      </c>
      <c r="B240" s="34" t="s">
        <v>26</v>
      </c>
      <c r="C240" s="34" t="s">
        <v>78</v>
      </c>
      <c r="D240" s="37">
        <v>42300</v>
      </c>
      <c r="E240" s="34">
        <v>93557261</v>
      </c>
      <c r="F240" s="37">
        <v>42291</v>
      </c>
      <c r="G240" s="34"/>
      <c r="H240" s="34">
        <v>1201047</v>
      </c>
      <c r="I240" s="34" t="s">
        <v>79</v>
      </c>
      <c r="J240" s="34">
        <v>1307128</v>
      </c>
      <c r="K240" s="34" t="s">
        <v>85</v>
      </c>
      <c r="L240" s="34">
        <v>1171089</v>
      </c>
      <c r="M240" s="34" t="s">
        <v>75</v>
      </c>
      <c r="N240" s="34">
        <v>10488998</v>
      </c>
      <c r="O240" s="34" t="s">
        <v>181</v>
      </c>
      <c r="P240" s="34" t="s">
        <v>91</v>
      </c>
      <c r="Q240" s="34" t="s">
        <v>92</v>
      </c>
      <c r="R240" s="34">
        <v>1650</v>
      </c>
      <c r="S240" s="34" t="s">
        <v>182</v>
      </c>
      <c r="T240" s="34" t="s">
        <v>63</v>
      </c>
      <c r="U240" s="34" t="s">
        <v>81</v>
      </c>
      <c r="V240" s="34" t="s">
        <v>88</v>
      </c>
      <c r="W240" s="37">
        <v>42307</v>
      </c>
      <c r="X240" s="34" t="s">
        <v>64</v>
      </c>
      <c r="Y240" s="37">
        <v>42300</v>
      </c>
      <c r="Z240" s="34"/>
      <c r="AA240" s="34"/>
      <c r="AB240" s="34"/>
      <c r="AC240" s="34" t="s">
        <v>183</v>
      </c>
      <c r="AD240" s="34" t="s">
        <v>1030</v>
      </c>
      <c r="AE240" s="34" t="s">
        <v>89</v>
      </c>
      <c r="AF240" s="34" t="s">
        <v>274</v>
      </c>
    </row>
    <row r="241" spans="1:32" x14ac:dyDescent="0.2">
      <c r="A241" s="34">
        <v>10019676</v>
      </c>
      <c r="B241" s="34" t="s">
        <v>18</v>
      </c>
      <c r="C241" s="34" t="s">
        <v>573</v>
      </c>
      <c r="D241" s="37">
        <v>42300</v>
      </c>
      <c r="E241" s="34">
        <v>93558970</v>
      </c>
      <c r="F241" s="37">
        <v>42292</v>
      </c>
      <c r="G241" s="37">
        <v>42293</v>
      </c>
      <c r="H241" s="34">
        <v>1201494</v>
      </c>
      <c r="I241" s="34" t="s">
        <v>161</v>
      </c>
      <c r="J241" s="34">
        <v>1064093</v>
      </c>
      <c r="K241" s="34" t="s">
        <v>390</v>
      </c>
      <c r="L241" s="34">
        <v>1172005</v>
      </c>
      <c r="M241" s="34" t="s">
        <v>161</v>
      </c>
      <c r="N241" s="34">
        <v>68545</v>
      </c>
      <c r="O241" s="34" t="s">
        <v>181</v>
      </c>
      <c r="P241" s="34" t="s">
        <v>67</v>
      </c>
      <c r="Q241" s="34" t="s">
        <v>68</v>
      </c>
      <c r="R241" s="34">
        <v>497.76</v>
      </c>
      <c r="S241" s="34" t="s">
        <v>182</v>
      </c>
      <c r="T241" s="34" t="s">
        <v>63</v>
      </c>
      <c r="U241" s="34" t="s">
        <v>70</v>
      </c>
      <c r="V241" s="34" t="s">
        <v>76</v>
      </c>
      <c r="W241" s="37">
        <v>42304</v>
      </c>
      <c r="X241" s="34" t="s">
        <v>64</v>
      </c>
      <c r="Y241" s="37">
        <v>42300</v>
      </c>
      <c r="Z241" s="34"/>
      <c r="AA241" s="34"/>
      <c r="AB241" s="34"/>
      <c r="AC241" s="34" t="s">
        <v>183</v>
      </c>
      <c r="AD241" s="34">
        <v>3527006755</v>
      </c>
      <c r="AE241" s="34" t="s">
        <v>77</v>
      </c>
      <c r="AF241" s="34" t="s">
        <v>388</v>
      </c>
    </row>
    <row r="242" spans="1:32" x14ac:dyDescent="0.2">
      <c r="A242" s="34">
        <v>10019677</v>
      </c>
      <c r="B242" s="34" t="s">
        <v>25</v>
      </c>
      <c r="C242" s="34" t="s">
        <v>78</v>
      </c>
      <c r="D242" s="37">
        <v>42300</v>
      </c>
      <c r="E242" s="34">
        <v>93567617</v>
      </c>
      <c r="F242" s="37">
        <v>42299</v>
      </c>
      <c r="G242" s="34"/>
      <c r="H242" s="34">
        <v>1201120</v>
      </c>
      <c r="I242" s="34" t="s">
        <v>117</v>
      </c>
      <c r="J242" s="34">
        <v>1028218</v>
      </c>
      <c r="K242" s="34" t="s">
        <v>119</v>
      </c>
      <c r="L242" s="34">
        <v>1171090</v>
      </c>
      <c r="M242" s="34" t="s">
        <v>118</v>
      </c>
      <c r="N242" s="34">
        <v>6915898</v>
      </c>
      <c r="O242" s="34" t="s">
        <v>181</v>
      </c>
      <c r="P242" s="34" t="s">
        <v>102</v>
      </c>
      <c r="Q242" s="34" t="s">
        <v>103</v>
      </c>
      <c r="R242" s="34">
        <v>470476.79999999999</v>
      </c>
      <c r="S242" s="34" t="s">
        <v>182</v>
      </c>
      <c r="T242" s="34" t="s">
        <v>63</v>
      </c>
      <c r="U242" s="34"/>
      <c r="V242" s="34"/>
      <c r="W242" s="34"/>
      <c r="X242" s="34" t="s">
        <v>64</v>
      </c>
      <c r="Y242" s="37">
        <v>42300</v>
      </c>
      <c r="Z242" s="34"/>
      <c r="AA242" s="34"/>
      <c r="AB242" s="34"/>
      <c r="AC242" s="34" t="s">
        <v>183</v>
      </c>
      <c r="AD242" s="34">
        <v>649275088503</v>
      </c>
      <c r="AE242" s="34"/>
      <c r="AF242" s="34"/>
    </row>
    <row r="243" spans="1:32" x14ac:dyDescent="0.2">
      <c r="A243" s="34">
        <v>10019678</v>
      </c>
      <c r="B243" s="34" t="s">
        <v>18</v>
      </c>
      <c r="C243" s="34" t="s">
        <v>573</v>
      </c>
      <c r="D243" s="37">
        <v>42300</v>
      </c>
      <c r="E243" s="34">
        <v>93555780</v>
      </c>
      <c r="F243" s="37">
        <v>42290</v>
      </c>
      <c r="G243" s="34"/>
      <c r="H243" s="34">
        <v>1201047</v>
      </c>
      <c r="I243" s="34" t="s">
        <v>79</v>
      </c>
      <c r="J243" s="34">
        <v>1003713</v>
      </c>
      <c r="K243" s="34" t="s">
        <v>80</v>
      </c>
      <c r="L243" s="34">
        <v>1171089</v>
      </c>
      <c r="M243" s="34" t="s">
        <v>75</v>
      </c>
      <c r="N243" s="34">
        <v>32760616</v>
      </c>
      <c r="O243" s="34" t="s">
        <v>181</v>
      </c>
      <c r="P243" s="34" t="s">
        <v>91</v>
      </c>
      <c r="Q243" s="34" t="s">
        <v>92</v>
      </c>
      <c r="R243" s="34">
        <v>2750</v>
      </c>
      <c r="S243" s="34" t="s">
        <v>182</v>
      </c>
      <c r="T243" s="34" t="s">
        <v>63</v>
      </c>
      <c r="U243" s="34" t="s">
        <v>70</v>
      </c>
      <c r="V243" s="34" t="s">
        <v>76</v>
      </c>
      <c r="W243" s="37">
        <v>42304</v>
      </c>
      <c r="X243" s="34" t="s">
        <v>64</v>
      </c>
      <c r="Y243" s="37">
        <v>42300</v>
      </c>
      <c r="Z243" s="34"/>
      <c r="AA243" s="34"/>
      <c r="AB243" s="34"/>
      <c r="AC243" s="34" t="s">
        <v>183</v>
      </c>
      <c r="AD243" s="34" t="s">
        <v>1068</v>
      </c>
      <c r="AE243" s="34" t="s">
        <v>77</v>
      </c>
      <c r="AF243" s="34" t="s">
        <v>187</v>
      </c>
    </row>
    <row r="244" spans="1:32" x14ac:dyDescent="0.2">
      <c r="A244" s="34">
        <v>10019679</v>
      </c>
      <c r="B244" s="34" t="s">
        <v>26</v>
      </c>
      <c r="C244" s="34" t="s">
        <v>78</v>
      </c>
      <c r="D244" s="37">
        <v>42303</v>
      </c>
      <c r="E244" s="34">
        <v>93565697</v>
      </c>
      <c r="F244" s="37">
        <v>42298</v>
      </c>
      <c r="G244" s="37">
        <v>42299</v>
      </c>
      <c r="H244" s="34">
        <v>1201178</v>
      </c>
      <c r="I244" s="34" t="s">
        <v>1069</v>
      </c>
      <c r="J244" s="34">
        <v>1168379</v>
      </c>
      <c r="K244" s="34" t="s">
        <v>1070</v>
      </c>
      <c r="L244" s="34">
        <v>1201178</v>
      </c>
      <c r="M244" s="34" t="s">
        <v>1069</v>
      </c>
      <c r="N244" s="34">
        <v>567823</v>
      </c>
      <c r="O244" s="34" t="s">
        <v>181</v>
      </c>
      <c r="P244" s="34" t="s">
        <v>67</v>
      </c>
      <c r="Q244" s="34" t="s">
        <v>68</v>
      </c>
      <c r="R244" s="34">
        <v>448.8</v>
      </c>
      <c r="S244" s="34" t="s">
        <v>182</v>
      </c>
      <c r="T244" s="34" t="s">
        <v>63</v>
      </c>
      <c r="U244" s="34" t="s">
        <v>81</v>
      </c>
      <c r="V244" s="34" t="s">
        <v>88</v>
      </c>
      <c r="W244" s="37">
        <v>42307</v>
      </c>
      <c r="X244" s="34" t="s">
        <v>64</v>
      </c>
      <c r="Y244" s="37">
        <v>42303</v>
      </c>
      <c r="Z244" s="34"/>
      <c r="AA244" s="34"/>
      <c r="AB244" s="34"/>
      <c r="AC244" s="34" t="s">
        <v>183</v>
      </c>
      <c r="AD244" s="34">
        <v>3527002124</v>
      </c>
      <c r="AE244" s="34" t="s">
        <v>89</v>
      </c>
      <c r="AF244" s="34" t="s">
        <v>274</v>
      </c>
    </row>
    <row r="245" spans="1:32" x14ac:dyDescent="0.2">
      <c r="A245" s="34">
        <v>10019680</v>
      </c>
      <c r="B245" s="34" t="s">
        <v>26</v>
      </c>
      <c r="C245" s="34" t="s">
        <v>78</v>
      </c>
      <c r="D245" s="37">
        <v>42303</v>
      </c>
      <c r="E245" s="34">
        <v>93560400</v>
      </c>
      <c r="F245" s="37">
        <v>42293</v>
      </c>
      <c r="G245" s="34"/>
      <c r="H245" s="34">
        <v>1201047</v>
      </c>
      <c r="I245" s="34" t="s">
        <v>79</v>
      </c>
      <c r="J245" s="34">
        <v>1300235</v>
      </c>
      <c r="K245" s="34" t="s">
        <v>109</v>
      </c>
      <c r="L245" s="34">
        <v>1171089</v>
      </c>
      <c r="M245" s="34" t="s">
        <v>75</v>
      </c>
      <c r="N245" s="34">
        <v>8371851</v>
      </c>
      <c r="O245" s="34" t="s">
        <v>181</v>
      </c>
      <c r="P245" s="34" t="s">
        <v>91</v>
      </c>
      <c r="Q245" s="34" t="s">
        <v>92</v>
      </c>
      <c r="R245" s="34">
        <v>2150.4</v>
      </c>
      <c r="S245" s="34" t="s">
        <v>182</v>
      </c>
      <c r="T245" s="34" t="s">
        <v>63</v>
      </c>
      <c r="U245" s="34" t="s">
        <v>94</v>
      </c>
      <c r="V245" s="34" t="s">
        <v>95</v>
      </c>
      <c r="W245" s="37">
        <v>42304</v>
      </c>
      <c r="X245" s="34" t="s">
        <v>64</v>
      </c>
      <c r="Y245" s="37">
        <v>42303</v>
      </c>
      <c r="Z245" s="34"/>
      <c r="AA245" s="34"/>
      <c r="AB245" s="34"/>
      <c r="AC245" s="34" t="s">
        <v>183</v>
      </c>
      <c r="AD245" s="34" t="s">
        <v>1071</v>
      </c>
      <c r="AE245" s="34" t="s">
        <v>96</v>
      </c>
      <c r="AF245" s="34" t="s">
        <v>1072</v>
      </c>
    </row>
    <row r="246" spans="1:32" x14ac:dyDescent="0.2">
      <c r="A246" s="34">
        <v>10019681</v>
      </c>
      <c r="B246" s="34" t="s">
        <v>26</v>
      </c>
      <c r="C246" s="34" t="s">
        <v>78</v>
      </c>
      <c r="D246" s="37">
        <v>42303</v>
      </c>
      <c r="E246" s="34">
        <v>93560568</v>
      </c>
      <c r="F246" s="37">
        <v>42293</v>
      </c>
      <c r="G246" s="34"/>
      <c r="H246" s="34">
        <v>1201315</v>
      </c>
      <c r="I246" s="34" t="s">
        <v>256</v>
      </c>
      <c r="J246" s="34">
        <v>1319929</v>
      </c>
      <c r="K246" s="34" t="s">
        <v>558</v>
      </c>
      <c r="L246" s="34">
        <v>1201315</v>
      </c>
      <c r="M246" s="34" t="s">
        <v>256</v>
      </c>
      <c r="N246" s="34">
        <v>5642273</v>
      </c>
      <c r="O246" s="34" t="s">
        <v>181</v>
      </c>
      <c r="P246" s="34" t="s">
        <v>86</v>
      </c>
      <c r="Q246" s="34" t="s">
        <v>87</v>
      </c>
      <c r="R246" s="34">
        <v>285.16000000000003</v>
      </c>
      <c r="S246" s="34" t="s">
        <v>182</v>
      </c>
      <c r="T246" s="34" t="s">
        <v>63</v>
      </c>
      <c r="U246" s="34" t="s">
        <v>81</v>
      </c>
      <c r="V246" s="34" t="s">
        <v>88</v>
      </c>
      <c r="W246" s="37">
        <v>42310</v>
      </c>
      <c r="X246" s="34" t="s">
        <v>64</v>
      </c>
      <c r="Y246" s="37">
        <v>42303</v>
      </c>
      <c r="Z246" s="34"/>
      <c r="AA246" s="34"/>
      <c r="AB246" s="34"/>
      <c r="AC246" s="34" t="s">
        <v>183</v>
      </c>
      <c r="AD246" s="34" t="s">
        <v>1073</v>
      </c>
      <c r="AE246" s="34" t="s">
        <v>89</v>
      </c>
      <c r="AF246" s="34" t="s">
        <v>274</v>
      </c>
    </row>
    <row r="247" spans="1:32" x14ac:dyDescent="0.2">
      <c r="A247" s="34">
        <v>10019682</v>
      </c>
      <c r="B247" s="34" t="s">
        <v>26</v>
      </c>
      <c r="C247" s="34" t="s">
        <v>573</v>
      </c>
      <c r="D247" s="37">
        <v>42303</v>
      </c>
      <c r="E247" s="34">
        <v>93552361</v>
      </c>
      <c r="F247" s="37">
        <v>42286</v>
      </c>
      <c r="G247" s="37">
        <v>42296</v>
      </c>
      <c r="H247" s="34">
        <v>1201044</v>
      </c>
      <c r="I247" s="34" t="s">
        <v>65</v>
      </c>
      <c r="J247" s="34">
        <v>1033809</v>
      </c>
      <c r="K247" s="34" t="s">
        <v>66</v>
      </c>
      <c r="L247" s="34">
        <v>1201044</v>
      </c>
      <c r="M247" s="34" t="s">
        <v>65</v>
      </c>
      <c r="N247" s="34">
        <v>10428929</v>
      </c>
      <c r="O247" s="34" t="s">
        <v>181</v>
      </c>
      <c r="P247" s="34" t="s">
        <v>67</v>
      </c>
      <c r="Q247" s="34" t="s">
        <v>68</v>
      </c>
      <c r="R247" s="34">
        <v>92.58</v>
      </c>
      <c r="S247" s="34" t="s">
        <v>182</v>
      </c>
      <c r="T247" s="34" t="s">
        <v>63</v>
      </c>
      <c r="U247" s="34" t="s">
        <v>94</v>
      </c>
      <c r="V247" s="34" t="s">
        <v>95</v>
      </c>
      <c r="W247" s="37">
        <v>42304</v>
      </c>
      <c r="X247" s="34" t="s">
        <v>64</v>
      </c>
      <c r="Y247" s="37">
        <v>42303</v>
      </c>
      <c r="Z247" s="34"/>
      <c r="AA247" s="34"/>
      <c r="AB247" s="34"/>
      <c r="AC247" s="34" t="s">
        <v>183</v>
      </c>
      <c r="AD247" s="34">
        <v>3527009102</v>
      </c>
      <c r="AE247" s="34" t="s">
        <v>96</v>
      </c>
      <c r="AF247" s="34" t="s">
        <v>1074</v>
      </c>
    </row>
    <row r="248" spans="1:32" x14ac:dyDescent="0.2">
      <c r="A248" s="34">
        <v>10019683</v>
      </c>
      <c r="B248" s="34" t="s">
        <v>18</v>
      </c>
      <c r="C248" s="34" t="s">
        <v>573</v>
      </c>
      <c r="D248" s="37">
        <v>42303</v>
      </c>
      <c r="E248" s="34">
        <v>93565452</v>
      </c>
      <c r="F248" s="37">
        <v>42298</v>
      </c>
      <c r="G248" s="34"/>
      <c r="H248" s="34">
        <v>1057544</v>
      </c>
      <c r="I248" s="34" t="s">
        <v>363</v>
      </c>
      <c r="J248" s="34">
        <v>1327308</v>
      </c>
      <c r="K248" s="34" t="s">
        <v>363</v>
      </c>
      <c r="L248" s="34">
        <v>1057544</v>
      </c>
      <c r="M248" s="34" t="s">
        <v>363</v>
      </c>
      <c r="N248" s="34">
        <v>8121052</v>
      </c>
      <c r="O248" s="34" t="s">
        <v>181</v>
      </c>
      <c r="P248" s="34" t="s">
        <v>102</v>
      </c>
      <c r="Q248" s="34" t="s">
        <v>103</v>
      </c>
      <c r="R248" s="34">
        <v>5422.56</v>
      </c>
      <c r="S248" s="34" t="s">
        <v>182</v>
      </c>
      <c r="T248" s="34" t="s">
        <v>63</v>
      </c>
      <c r="U248" s="34" t="s">
        <v>70</v>
      </c>
      <c r="V248" s="34" t="s">
        <v>76</v>
      </c>
      <c r="W248" s="37">
        <v>42304</v>
      </c>
      <c r="X248" s="34" t="s">
        <v>64</v>
      </c>
      <c r="Y248" s="37">
        <v>42303</v>
      </c>
      <c r="Z248" s="34"/>
      <c r="AA248" s="34"/>
      <c r="AB248" s="34"/>
      <c r="AC248" s="34" t="s">
        <v>183</v>
      </c>
      <c r="AD248" s="34">
        <v>649275085560</v>
      </c>
      <c r="AE248" s="34" t="s">
        <v>77</v>
      </c>
      <c r="AF248" s="34" t="s">
        <v>1075</v>
      </c>
    </row>
    <row r="249" spans="1:32" x14ac:dyDescent="0.2">
      <c r="A249" s="34">
        <v>10019684</v>
      </c>
      <c r="B249" s="34" t="s">
        <v>25</v>
      </c>
      <c r="C249" s="34" t="s">
        <v>78</v>
      </c>
      <c r="D249" s="37">
        <v>42304</v>
      </c>
      <c r="E249" s="34">
        <v>93567722</v>
      </c>
      <c r="F249" s="37">
        <v>42299</v>
      </c>
      <c r="G249" s="37">
        <v>42303</v>
      </c>
      <c r="H249" s="34">
        <v>1201354</v>
      </c>
      <c r="I249" s="34" t="s">
        <v>778</v>
      </c>
      <c r="J249" s="34">
        <v>1329790</v>
      </c>
      <c r="K249" s="34" t="s">
        <v>1076</v>
      </c>
      <c r="L249" s="34">
        <v>1171836</v>
      </c>
      <c r="M249" s="34" t="s">
        <v>780</v>
      </c>
      <c r="N249" s="34" t="s">
        <v>1077</v>
      </c>
      <c r="O249" s="34" t="s">
        <v>181</v>
      </c>
      <c r="P249" s="34" t="s">
        <v>67</v>
      </c>
      <c r="Q249" s="34" t="s">
        <v>68</v>
      </c>
      <c r="R249" s="34">
        <v>7130</v>
      </c>
      <c r="S249" s="34" t="s">
        <v>182</v>
      </c>
      <c r="T249" s="34" t="s">
        <v>63</v>
      </c>
      <c r="U249" s="34"/>
      <c r="V249" s="34"/>
      <c r="W249" s="34"/>
      <c r="X249" s="34" t="s">
        <v>64</v>
      </c>
      <c r="Y249" s="37">
        <v>42304</v>
      </c>
      <c r="Z249" s="34"/>
      <c r="AA249" s="34"/>
      <c r="AB249" s="34"/>
      <c r="AC249" s="34" t="s">
        <v>183</v>
      </c>
      <c r="AD249" s="34">
        <v>3527002301</v>
      </c>
      <c r="AE249" s="34"/>
      <c r="AF249" s="34"/>
    </row>
    <row r="250" spans="1:32" x14ac:dyDescent="0.2">
      <c r="A250" s="34">
        <v>10019685</v>
      </c>
      <c r="B250" s="34" t="s">
        <v>26</v>
      </c>
      <c r="C250" s="34" t="s">
        <v>573</v>
      </c>
      <c r="D250" s="37">
        <v>42304</v>
      </c>
      <c r="E250" s="34">
        <v>93562869</v>
      </c>
      <c r="F250" s="37">
        <v>42296</v>
      </c>
      <c r="G250" s="34"/>
      <c r="H250" s="34">
        <v>1201120</v>
      </c>
      <c r="I250" s="34" t="s">
        <v>117</v>
      </c>
      <c r="J250" s="34">
        <v>1307782</v>
      </c>
      <c r="K250" s="34" t="s">
        <v>119</v>
      </c>
      <c r="L250" s="34">
        <v>1171090</v>
      </c>
      <c r="M250" s="34" t="s">
        <v>118</v>
      </c>
      <c r="N250" s="34" t="s">
        <v>1021</v>
      </c>
      <c r="O250" s="34" t="s">
        <v>181</v>
      </c>
      <c r="P250" s="34" t="s">
        <v>121</v>
      </c>
      <c r="Q250" s="34" t="s">
        <v>122</v>
      </c>
      <c r="R250" s="34">
        <v>768</v>
      </c>
      <c r="S250" s="34" t="s">
        <v>182</v>
      </c>
      <c r="T250" s="34" t="s">
        <v>63</v>
      </c>
      <c r="U250" s="34"/>
      <c r="V250" s="34"/>
      <c r="W250" s="34"/>
      <c r="X250" s="34" t="s">
        <v>64</v>
      </c>
      <c r="Y250" s="37">
        <v>42304</v>
      </c>
      <c r="Z250" s="34"/>
      <c r="AA250" s="34"/>
      <c r="AB250" s="34"/>
      <c r="AC250" s="34" t="s">
        <v>183</v>
      </c>
      <c r="AD250" s="34" t="s">
        <v>1036</v>
      </c>
      <c r="AE250" s="34"/>
      <c r="AF250" s="34"/>
    </row>
    <row r="251" spans="1:32" x14ac:dyDescent="0.2">
      <c r="A251" s="34">
        <v>10019686</v>
      </c>
      <c r="B251" s="34" t="s">
        <v>26</v>
      </c>
      <c r="C251" s="34" t="s">
        <v>573</v>
      </c>
      <c r="D251" s="37">
        <v>42304</v>
      </c>
      <c r="E251" s="34">
        <v>93565503</v>
      </c>
      <c r="F251" s="37">
        <v>42298</v>
      </c>
      <c r="G251" s="34"/>
      <c r="H251" s="34">
        <v>1201047</v>
      </c>
      <c r="I251" s="34" t="s">
        <v>79</v>
      </c>
      <c r="J251" s="34">
        <v>1340974</v>
      </c>
      <c r="K251" s="34" t="s">
        <v>93</v>
      </c>
      <c r="L251" s="34">
        <v>1171089</v>
      </c>
      <c r="M251" s="34" t="s">
        <v>75</v>
      </c>
      <c r="N251" s="34">
        <v>87102523</v>
      </c>
      <c r="O251" s="34" t="s">
        <v>181</v>
      </c>
      <c r="P251" s="34" t="s">
        <v>279</v>
      </c>
      <c r="Q251" s="34" t="s">
        <v>280</v>
      </c>
      <c r="R251" s="34">
        <v>3188.04</v>
      </c>
      <c r="S251" s="34" t="s">
        <v>182</v>
      </c>
      <c r="T251" s="34" t="s">
        <v>63</v>
      </c>
      <c r="U251" s="34"/>
      <c r="V251" s="34"/>
      <c r="W251" s="34"/>
      <c r="X251" s="34" t="s">
        <v>64</v>
      </c>
      <c r="Y251" s="37">
        <v>42304</v>
      </c>
      <c r="Z251" s="34"/>
      <c r="AA251" s="34"/>
      <c r="AB251" s="34"/>
      <c r="AC251" s="34" t="s">
        <v>183</v>
      </c>
      <c r="AD251" s="34" t="s">
        <v>1078</v>
      </c>
      <c r="AE251" s="34"/>
      <c r="AF251" s="34"/>
    </row>
    <row r="252" spans="1:32" x14ac:dyDescent="0.2">
      <c r="A252" s="34">
        <v>10019687</v>
      </c>
      <c r="B252" s="34" t="s">
        <v>22</v>
      </c>
      <c r="C252" s="34" t="s">
        <v>78</v>
      </c>
      <c r="D252" s="37">
        <v>42304</v>
      </c>
      <c r="E252" s="34"/>
      <c r="F252" s="34"/>
      <c r="G252" s="34"/>
      <c r="H252" s="34">
        <v>1201072</v>
      </c>
      <c r="I252" s="34" t="s">
        <v>115</v>
      </c>
      <c r="J252" s="34">
        <v>1201072</v>
      </c>
      <c r="K252" s="34" t="s">
        <v>115</v>
      </c>
      <c r="L252" s="34">
        <v>1171089</v>
      </c>
      <c r="M252" s="34" t="s">
        <v>75</v>
      </c>
      <c r="N252" s="34">
        <v>321213</v>
      </c>
      <c r="O252" s="34" t="s">
        <v>181</v>
      </c>
      <c r="P252" s="34"/>
      <c r="Q252" s="34"/>
      <c r="R252" s="34">
        <v>3811.2</v>
      </c>
      <c r="S252" s="34" t="s">
        <v>182</v>
      </c>
      <c r="T252" s="34" t="s">
        <v>63</v>
      </c>
      <c r="U252" s="34" t="s">
        <v>94</v>
      </c>
      <c r="V252" s="34" t="s">
        <v>82</v>
      </c>
      <c r="W252" s="37">
        <v>42312</v>
      </c>
      <c r="X252" s="34" t="s">
        <v>64</v>
      </c>
      <c r="Y252" s="37">
        <v>42304</v>
      </c>
      <c r="Z252" s="34"/>
      <c r="AA252" s="34"/>
      <c r="AB252" s="34"/>
      <c r="AC252" s="34" t="s">
        <v>183</v>
      </c>
      <c r="AD252" s="34"/>
      <c r="AE252" s="34" t="s">
        <v>142</v>
      </c>
      <c r="AF252" s="34" t="s">
        <v>1079</v>
      </c>
    </row>
    <row r="253" spans="1:32" x14ac:dyDescent="0.2">
      <c r="A253" s="34">
        <v>10019688</v>
      </c>
      <c r="B253" s="34" t="s">
        <v>26</v>
      </c>
      <c r="C253" s="34" t="s">
        <v>78</v>
      </c>
      <c r="D253" s="37">
        <v>42304</v>
      </c>
      <c r="E253" s="34">
        <v>93565499</v>
      </c>
      <c r="F253" s="37">
        <v>42298</v>
      </c>
      <c r="G253" s="34"/>
      <c r="H253" s="34">
        <v>1201047</v>
      </c>
      <c r="I253" s="34" t="s">
        <v>79</v>
      </c>
      <c r="J253" s="34">
        <v>1311011</v>
      </c>
      <c r="K253" s="34" t="s">
        <v>85</v>
      </c>
      <c r="L253" s="34">
        <v>1171089</v>
      </c>
      <c r="M253" s="34" t="s">
        <v>75</v>
      </c>
      <c r="N253" s="34">
        <v>19626237</v>
      </c>
      <c r="O253" s="34" t="s">
        <v>181</v>
      </c>
      <c r="P253" s="34" t="s">
        <v>86</v>
      </c>
      <c r="Q253" s="34" t="s">
        <v>87</v>
      </c>
      <c r="R253" s="34">
        <v>180</v>
      </c>
      <c r="S253" s="34" t="s">
        <v>182</v>
      </c>
      <c r="T253" s="34" t="s">
        <v>63</v>
      </c>
      <c r="U253" s="34" t="s">
        <v>94</v>
      </c>
      <c r="V253" s="34" t="s">
        <v>95</v>
      </c>
      <c r="W253" s="37">
        <v>42307</v>
      </c>
      <c r="X253" s="34" t="s">
        <v>64</v>
      </c>
      <c r="Y253" s="37">
        <v>42304</v>
      </c>
      <c r="Z253" s="34"/>
      <c r="AA253" s="34"/>
      <c r="AB253" s="34"/>
      <c r="AC253" s="34" t="s">
        <v>183</v>
      </c>
      <c r="AD253" s="34" t="s">
        <v>1080</v>
      </c>
      <c r="AE253" s="34" t="s">
        <v>96</v>
      </c>
      <c r="AF253" s="34" t="s">
        <v>1081</v>
      </c>
    </row>
    <row r="254" spans="1:32" x14ac:dyDescent="0.2">
      <c r="A254" s="34">
        <v>10019689</v>
      </c>
      <c r="B254" s="34" t="s">
        <v>26</v>
      </c>
      <c r="C254" s="34" t="s">
        <v>78</v>
      </c>
      <c r="D254" s="37">
        <v>42304</v>
      </c>
      <c r="E254" s="34">
        <v>93564223</v>
      </c>
      <c r="F254" s="37">
        <v>42297</v>
      </c>
      <c r="G254" s="34"/>
      <c r="H254" s="34">
        <v>1201047</v>
      </c>
      <c r="I254" s="34" t="s">
        <v>79</v>
      </c>
      <c r="J254" s="34">
        <v>1003713</v>
      </c>
      <c r="K254" s="34" t="s">
        <v>80</v>
      </c>
      <c r="L254" s="34">
        <v>1171089</v>
      </c>
      <c r="M254" s="34" t="s">
        <v>75</v>
      </c>
      <c r="N254" s="34">
        <v>32761249</v>
      </c>
      <c r="O254" s="34" t="s">
        <v>181</v>
      </c>
      <c r="P254" s="34" t="s">
        <v>91</v>
      </c>
      <c r="Q254" s="34" t="s">
        <v>92</v>
      </c>
      <c r="R254" s="34">
        <v>131.88999999999999</v>
      </c>
      <c r="S254" s="34" t="s">
        <v>182</v>
      </c>
      <c r="T254" s="34" t="s">
        <v>63</v>
      </c>
      <c r="U254" s="34" t="s">
        <v>94</v>
      </c>
      <c r="V254" s="34" t="s">
        <v>95</v>
      </c>
      <c r="W254" s="37">
        <v>42311</v>
      </c>
      <c r="X254" s="34" t="s">
        <v>64</v>
      </c>
      <c r="Y254" s="37">
        <v>42304</v>
      </c>
      <c r="Z254" s="34"/>
      <c r="AA254" s="34"/>
      <c r="AB254" s="34"/>
      <c r="AC254" s="34" t="s">
        <v>183</v>
      </c>
      <c r="AD254" s="34" t="s">
        <v>1082</v>
      </c>
      <c r="AE254" s="34" t="s">
        <v>96</v>
      </c>
      <c r="AF254" s="34" t="s">
        <v>1083</v>
      </c>
    </row>
    <row r="255" spans="1:32" x14ac:dyDescent="0.2">
      <c r="A255" s="34">
        <v>10019690</v>
      </c>
      <c r="B255" s="34" t="s">
        <v>18</v>
      </c>
      <c r="C255" s="34" t="s">
        <v>573</v>
      </c>
      <c r="D255" s="37">
        <v>42304</v>
      </c>
      <c r="E255" s="34">
        <v>93568626</v>
      </c>
      <c r="F255" s="37">
        <v>42300</v>
      </c>
      <c r="G255" s="34"/>
      <c r="H255" s="34">
        <v>1201120</v>
      </c>
      <c r="I255" s="34" t="s">
        <v>117</v>
      </c>
      <c r="J255" s="34">
        <v>1307782</v>
      </c>
      <c r="K255" s="34" t="s">
        <v>119</v>
      </c>
      <c r="L255" s="34">
        <v>1171090</v>
      </c>
      <c r="M255" s="34" t="s">
        <v>118</v>
      </c>
      <c r="N255" s="34" t="s">
        <v>1084</v>
      </c>
      <c r="O255" s="34" t="s">
        <v>181</v>
      </c>
      <c r="P255" s="34" t="s">
        <v>91</v>
      </c>
      <c r="Q255" s="34" t="s">
        <v>92</v>
      </c>
      <c r="R255" s="34">
        <v>1339.46</v>
      </c>
      <c r="S255" s="34" t="s">
        <v>182</v>
      </c>
      <c r="T255" s="34" t="s">
        <v>63</v>
      </c>
      <c r="U255" s="34"/>
      <c r="V255" s="34"/>
      <c r="W255" s="34"/>
      <c r="X255" s="34" t="s">
        <v>64</v>
      </c>
      <c r="Y255" s="37">
        <v>42304</v>
      </c>
      <c r="Z255" s="34"/>
      <c r="AA255" s="34"/>
      <c r="AB255" s="34"/>
      <c r="AC255" s="34" t="s">
        <v>183</v>
      </c>
      <c r="AD255" s="34" t="s">
        <v>1085</v>
      </c>
      <c r="AE255" s="34"/>
      <c r="AF255" s="34"/>
    </row>
    <row r="256" spans="1:32" x14ac:dyDescent="0.2">
      <c r="A256" s="34">
        <v>10019691</v>
      </c>
      <c r="B256" s="34" t="s">
        <v>18</v>
      </c>
      <c r="C256" s="34" t="s">
        <v>78</v>
      </c>
      <c r="D256" s="37">
        <v>42304</v>
      </c>
      <c r="E256" s="34">
        <v>93567710</v>
      </c>
      <c r="F256" s="37">
        <v>42299</v>
      </c>
      <c r="G256" s="37">
        <v>42303</v>
      </c>
      <c r="H256" s="34">
        <v>1201315</v>
      </c>
      <c r="I256" s="34" t="s">
        <v>256</v>
      </c>
      <c r="J256" s="34">
        <v>1319408</v>
      </c>
      <c r="K256" s="34" t="s">
        <v>256</v>
      </c>
      <c r="L256" s="34">
        <v>1201315</v>
      </c>
      <c r="M256" s="34" t="s">
        <v>256</v>
      </c>
      <c r="N256" s="34">
        <v>5648092</v>
      </c>
      <c r="O256" s="34" t="s">
        <v>181</v>
      </c>
      <c r="P256" s="34" t="s">
        <v>67</v>
      </c>
      <c r="Q256" s="34" t="s">
        <v>68</v>
      </c>
      <c r="R256" s="34">
        <v>378</v>
      </c>
      <c r="S256" s="34" t="s">
        <v>182</v>
      </c>
      <c r="T256" s="34" t="s">
        <v>63</v>
      </c>
      <c r="U256" s="34"/>
      <c r="V256" s="34"/>
      <c r="W256" s="34"/>
      <c r="X256" s="34" t="s">
        <v>64</v>
      </c>
      <c r="Y256" s="37">
        <v>42304</v>
      </c>
      <c r="Z256" s="34"/>
      <c r="AA256" s="34"/>
      <c r="AB256" s="34"/>
      <c r="AC256" s="34" t="s">
        <v>183</v>
      </c>
      <c r="AD256" s="34">
        <v>3527002323</v>
      </c>
      <c r="AE256" s="34"/>
      <c r="AF256" s="34"/>
    </row>
    <row r="257" spans="1:32" x14ac:dyDescent="0.2">
      <c r="A257" s="34">
        <v>10019697</v>
      </c>
      <c r="B257" s="34"/>
      <c r="C257" s="34" t="s">
        <v>573</v>
      </c>
      <c r="D257" s="37">
        <v>42304</v>
      </c>
      <c r="E257" s="34">
        <v>93568743</v>
      </c>
      <c r="F257" s="37">
        <v>42300</v>
      </c>
      <c r="G257" s="34"/>
      <c r="H257" s="34">
        <v>1201315</v>
      </c>
      <c r="I257" s="34" t="s">
        <v>256</v>
      </c>
      <c r="J257" s="34">
        <v>1319929</v>
      </c>
      <c r="K257" s="34" t="s">
        <v>558</v>
      </c>
      <c r="L257" s="34">
        <v>1201315</v>
      </c>
      <c r="M257" s="34" t="s">
        <v>256</v>
      </c>
      <c r="N257" s="34">
        <v>5647960</v>
      </c>
      <c r="O257" s="34" t="s">
        <v>181</v>
      </c>
      <c r="P257" s="34" t="s">
        <v>86</v>
      </c>
      <c r="Q257" s="34" t="s">
        <v>87</v>
      </c>
      <c r="R257" s="34">
        <v>63.36</v>
      </c>
      <c r="S257" s="34" t="s">
        <v>182</v>
      </c>
      <c r="T257" s="34" t="s">
        <v>120</v>
      </c>
      <c r="U257" s="34"/>
      <c r="V257" s="34"/>
      <c r="W257" s="34"/>
      <c r="X257" s="34"/>
      <c r="Y257" s="34"/>
      <c r="Z257" s="34"/>
      <c r="AA257" s="34"/>
      <c r="AB257" s="34"/>
      <c r="AC257" s="34" t="s">
        <v>183</v>
      </c>
      <c r="AD257" s="34" t="s">
        <v>1086</v>
      </c>
      <c r="AE257" s="34"/>
      <c r="AF257" s="34"/>
    </row>
    <row r="258" spans="1:32" x14ac:dyDescent="0.2">
      <c r="A258" s="34">
        <v>10019700</v>
      </c>
      <c r="B258" s="34" t="s">
        <v>18</v>
      </c>
      <c r="C258" s="34" t="s">
        <v>573</v>
      </c>
      <c r="D258" s="37">
        <v>42305</v>
      </c>
      <c r="E258" s="34">
        <v>93568636</v>
      </c>
      <c r="F258" s="37">
        <v>42300</v>
      </c>
      <c r="G258" s="34"/>
      <c r="H258" s="34">
        <v>1201120</v>
      </c>
      <c r="I258" s="34" t="s">
        <v>117</v>
      </c>
      <c r="J258" s="34">
        <v>1307782</v>
      </c>
      <c r="K258" s="34" t="s">
        <v>119</v>
      </c>
      <c r="L258" s="34">
        <v>1171090</v>
      </c>
      <c r="M258" s="34" t="s">
        <v>118</v>
      </c>
      <c r="N258" s="34" t="s">
        <v>1087</v>
      </c>
      <c r="O258" s="34" t="s">
        <v>181</v>
      </c>
      <c r="P258" s="34" t="s">
        <v>91</v>
      </c>
      <c r="Q258" s="34" t="s">
        <v>92</v>
      </c>
      <c r="R258" s="34">
        <v>651.44000000000005</v>
      </c>
      <c r="S258" s="34" t="s">
        <v>182</v>
      </c>
      <c r="T258" s="34" t="s">
        <v>63</v>
      </c>
      <c r="U258" s="34"/>
      <c r="V258" s="34"/>
      <c r="W258" s="34"/>
      <c r="X258" s="34" t="s">
        <v>64</v>
      </c>
      <c r="Y258" s="37">
        <v>42305</v>
      </c>
      <c r="Z258" s="34"/>
      <c r="AA258" s="34"/>
      <c r="AB258" s="34"/>
      <c r="AC258" s="34" t="s">
        <v>183</v>
      </c>
      <c r="AD258" s="34" t="s">
        <v>1085</v>
      </c>
      <c r="AE258" s="34"/>
      <c r="AF258" s="34"/>
    </row>
    <row r="259" spans="1:32" x14ac:dyDescent="0.2">
      <c r="A259" s="34">
        <v>10019701</v>
      </c>
      <c r="B259" s="34" t="s">
        <v>18</v>
      </c>
      <c r="C259" s="34" t="s">
        <v>78</v>
      </c>
      <c r="D259" s="37">
        <v>42305</v>
      </c>
      <c r="E259" s="34">
        <v>93567780</v>
      </c>
      <c r="F259" s="37">
        <v>42299</v>
      </c>
      <c r="G259" s="37">
        <v>42300</v>
      </c>
      <c r="H259" s="34">
        <v>1201483</v>
      </c>
      <c r="I259" s="34" t="s">
        <v>147</v>
      </c>
      <c r="J259" s="34">
        <v>1001169</v>
      </c>
      <c r="K259" s="34" t="s">
        <v>148</v>
      </c>
      <c r="L259" s="34">
        <v>1201483</v>
      </c>
      <c r="M259" s="34" t="s">
        <v>147</v>
      </c>
      <c r="N259" s="34">
        <v>94582</v>
      </c>
      <c r="O259" s="34" t="s">
        <v>181</v>
      </c>
      <c r="P259" s="34" t="s">
        <v>67</v>
      </c>
      <c r="Q259" s="34" t="s">
        <v>68</v>
      </c>
      <c r="R259" s="34">
        <v>46.32</v>
      </c>
      <c r="S259" s="34" t="s">
        <v>182</v>
      </c>
      <c r="T259" s="34" t="s">
        <v>63</v>
      </c>
      <c r="U259" s="34"/>
      <c r="V259" s="34"/>
      <c r="W259" s="34"/>
      <c r="X259" s="34" t="s">
        <v>64</v>
      </c>
      <c r="Y259" s="37">
        <v>42305</v>
      </c>
      <c r="Z259" s="34"/>
      <c r="AA259" s="34"/>
      <c r="AB259" s="34"/>
      <c r="AC259" s="34" t="s">
        <v>183</v>
      </c>
      <c r="AD259" s="34">
        <v>3527002216</v>
      </c>
      <c r="AE259" s="34"/>
      <c r="AF259" s="34"/>
    </row>
    <row r="260" spans="1:32" x14ac:dyDescent="0.2">
      <c r="A260" s="34">
        <v>10019702</v>
      </c>
      <c r="B260" s="34" t="s">
        <v>18</v>
      </c>
      <c r="C260" s="34" t="s">
        <v>573</v>
      </c>
      <c r="D260" s="37">
        <v>42305</v>
      </c>
      <c r="E260" s="34">
        <v>93568644</v>
      </c>
      <c r="F260" s="37">
        <v>42300</v>
      </c>
      <c r="G260" s="34"/>
      <c r="H260" s="34">
        <v>1201120</v>
      </c>
      <c r="I260" s="34" t="s">
        <v>117</v>
      </c>
      <c r="J260" s="34">
        <v>1307782</v>
      </c>
      <c r="K260" s="34" t="s">
        <v>119</v>
      </c>
      <c r="L260" s="34">
        <v>1171090</v>
      </c>
      <c r="M260" s="34" t="s">
        <v>118</v>
      </c>
      <c r="N260" s="34" t="s">
        <v>1088</v>
      </c>
      <c r="O260" s="34" t="s">
        <v>181</v>
      </c>
      <c r="P260" s="34" t="s">
        <v>91</v>
      </c>
      <c r="Q260" s="34" t="s">
        <v>92</v>
      </c>
      <c r="R260" s="34">
        <v>297</v>
      </c>
      <c r="S260" s="34" t="s">
        <v>182</v>
      </c>
      <c r="T260" s="34" t="s">
        <v>63</v>
      </c>
      <c r="U260" s="34"/>
      <c r="V260" s="34"/>
      <c r="W260" s="34"/>
      <c r="X260" s="34" t="s">
        <v>64</v>
      </c>
      <c r="Y260" s="37">
        <v>42305</v>
      </c>
      <c r="Z260" s="34"/>
      <c r="AA260" s="34"/>
      <c r="AB260" s="34"/>
      <c r="AC260" s="34" t="s">
        <v>183</v>
      </c>
      <c r="AD260" s="34" t="s">
        <v>1085</v>
      </c>
      <c r="AE260" s="34"/>
      <c r="AF260" s="34"/>
    </row>
    <row r="261" spans="1:32" x14ac:dyDescent="0.2">
      <c r="A261" s="34">
        <v>10019703</v>
      </c>
      <c r="B261" s="34" t="s">
        <v>18</v>
      </c>
      <c r="C261" s="34" t="s">
        <v>573</v>
      </c>
      <c r="D261" s="37">
        <v>42305</v>
      </c>
      <c r="E261" s="34">
        <v>93523282</v>
      </c>
      <c r="F261" s="37">
        <v>42262</v>
      </c>
      <c r="G261" s="34"/>
      <c r="H261" s="34">
        <v>1318826</v>
      </c>
      <c r="I261" s="34" t="s">
        <v>110</v>
      </c>
      <c r="J261" s="34">
        <v>1334311</v>
      </c>
      <c r="K261" s="34" t="s">
        <v>113</v>
      </c>
      <c r="L261" s="34">
        <v>1318826</v>
      </c>
      <c r="M261" s="34" t="s">
        <v>110</v>
      </c>
      <c r="N261" s="34">
        <v>2050131</v>
      </c>
      <c r="O261" s="34" t="s">
        <v>181</v>
      </c>
      <c r="P261" s="34" t="s">
        <v>102</v>
      </c>
      <c r="Q261" s="34" t="s">
        <v>103</v>
      </c>
      <c r="R261" s="34">
        <v>1136.19</v>
      </c>
      <c r="S261" s="34" t="s">
        <v>182</v>
      </c>
      <c r="T261" s="34" t="s">
        <v>63</v>
      </c>
      <c r="U261" s="34"/>
      <c r="V261" s="34"/>
      <c r="W261" s="34"/>
      <c r="X261" s="34" t="s">
        <v>64</v>
      </c>
      <c r="Y261" s="37">
        <v>42305</v>
      </c>
      <c r="Z261" s="34"/>
      <c r="AA261" s="34"/>
      <c r="AB261" s="34"/>
      <c r="AC261" s="34" t="s">
        <v>183</v>
      </c>
      <c r="AD261" s="34">
        <v>649275030920</v>
      </c>
      <c r="AE261" s="34"/>
      <c r="AF261" s="34"/>
    </row>
    <row r="262" spans="1:32" x14ac:dyDescent="0.2">
      <c r="A262" s="34">
        <v>10019704</v>
      </c>
      <c r="B262" s="34" t="s">
        <v>18</v>
      </c>
      <c r="C262" s="34" t="s">
        <v>78</v>
      </c>
      <c r="D262" s="37">
        <v>42305</v>
      </c>
      <c r="E262" s="34">
        <v>93568560</v>
      </c>
      <c r="F262" s="37">
        <v>42300</v>
      </c>
      <c r="G262" s="34"/>
      <c r="H262" s="34">
        <v>1201047</v>
      </c>
      <c r="I262" s="34" t="s">
        <v>79</v>
      </c>
      <c r="J262" s="34">
        <v>1030742</v>
      </c>
      <c r="K262" s="34" t="s">
        <v>80</v>
      </c>
      <c r="L262" s="34">
        <v>1171089</v>
      </c>
      <c r="M262" s="34" t="s">
        <v>75</v>
      </c>
      <c r="N262" s="34">
        <v>20931709</v>
      </c>
      <c r="O262" s="34" t="s">
        <v>181</v>
      </c>
      <c r="P262" s="34" t="s">
        <v>168</v>
      </c>
      <c r="Q262" s="34" t="s">
        <v>169</v>
      </c>
      <c r="R262" s="34">
        <v>1471.68</v>
      </c>
      <c r="S262" s="34" t="s">
        <v>182</v>
      </c>
      <c r="T262" s="34" t="s">
        <v>63</v>
      </c>
      <c r="U262" s="34"/>
      <c r="V262" s="34"/>
      <c r="W262" s="34"/>
      <c r="X262" s="34" t="s">
        <v>64</v>
      </c>
      <c r="Y262" s="37">
        <v>42305</v>
      </c>
      <c r="Z262" s="34"/>
      <c r="AA262" s="34"/>
      <c r="AB262" s="34"/>
      <c r="AC262" s="34" t="s">
        <v>183</v>
      </c>
      <c r="AD262" s="34" t="s">
        <v>1089</v>
      </c>
      <c r="AE262" s="34"/>
      <c r="AF262" s="34"/>
    </row>
    <row r="263" spans="1:32" x14ac:dyDescent="0.2">
      <c r="A263" s="34">
        <v>10019705</v>
      </c>
      <c r="B263" s="34" t="s">
        <v>18</v>
      </c>
      <c r="C263" s="34" t="s">
        <v>78</v>
      </c>
      <c r="D263" s="37">
        <v>42305</v>
      </c>
      <c r="E263" s="34">
        <v>93572332</v>
      </c>
      <c r="F263" s="37">
        <v>42304</v>
      </c>
      <c r="G263" s="37">
        <v>42305</v>
      </c>
      <c r="H263" s="34">
        <v>1201057</v>
      </c>
      <c r="I263" s="34" t="s">
        <v>643</v>
      </c>
      <c r="J263" s="34">
        <v>1335345</v>
      </c>
      <c r="K263" s="34" t="s">
        <v>1066</v>
      </c>
      <c r="L263" s="34">
        <v>1201057</v>
      </c>
      <c r="M263" s="34" t="s">
        <v>643</v>
      </c>
      <c r="N263" s="34">
        <v>177281</v>
      </c>
      <c r="O263" s="34" t="s">
        <v>181</v>
      </c>
      <c r="P263" s="34" t="s">
        <v>67</v>
      </c>
      <c r="Q263" s="34" t="s">
        <v>68</v>
      </c>
      <c r="R263" s="34">
        <v>1251.5999999999999</v>
      </c>
      <c r="S263" s="34" t="s">
        <v>182</v>
      </c>
      <c r="T263" s="34" t="s">
        <v>63</v>
      </c>
      <c r="U263" s="34"/>
      <c r="V263" s="34"/>
      <c r="W263" s="34"/>
      <c r="X263" s="34" t="s">
        <v>64</v>
      </c>
      <c r="Y263" s="37">
        <v>42305</v>
      </c>
      <c r="Z263" s="34"/>
      <c r="AA263" s="34"/>
      <c r="AB263" s="34"/>
      <c r="AC263" s="34" t="s">
        <v>183</v>
      </c>
      <c r="AD263" s="34">
        <v>3527002706</v>
      </c>
      <c r="AE263" s="34"/>
      <c r="AF263" s="34"/>
    </row>
    <row r="264" spans="1:32" x14ac:dyDescent="0.2">
      <c r="A264" s="34">
        <v>10019706</v>
      </c>
      <c r="B264" s="34" t="s">
        <v>25</v>
      </c>
      <c r="C264" s="34" t="s">
        <v>78</v>
      </c>
      <c r="D264" s="37">
        <v>42305</v>
      </c>
      <c r="E264" s="34">
        <v>93319971</v>
      </c>
      <c r="F264" s="37">
        <v>42101</v>
      </c>
      <c r="G264" s="34"/>
      <c r="H264" s="34">
        <v>1318826</v>
      </c>
      <c r="I264" s="34" t="s">
        <v>110</v>
      </c>
      <c r="J264" s="34">
        <v>1131869</v>
      </c>
      <c r="K264" s="34" t="s">
        <v>366</v>
      </c>
      <c r="L264" s="34">
        <v>1318826</v>
      </c>
      <c r="M264" s="34" t="s">
        <v>110</v>
      </c>
      <c r="N264" s="34">
        <v>3007693</v>
      </c>
      <c r="O264" s="34" t="s">
        <v>181</v>
      </c>
      <c r="P264" s="34" t="s">
        <v>102</v>
      </c>
      <c r="Q264" s="34" t="s">
        <v>103</v>
      </c>
      <c r="R264" s="34">
        <v>31900</v>
      </c>
      <c r="S264" s="34" t="s">
        <v>182</v>
      </c>
      <c r="T264" s="34" t="s">
        <v>69</v>
      </c>
      <c r="U264" s="34" t="s">
        <v>104</v>
      </c>
      <c r="V264" s="34" t="s">
        <v>71</v>
      </c>
      <c r="W264" s="37">
        <v>42306</v>
      </c>
      <c r="X264" s="34" t="s">
        <v>64</v>
      </c>
      <c r="Y264" s="37">
        <v>42305</v>
      </c>
      <c r="Z264" s="34" t="s">
        <v>72</v>
      </c>
      <c r="AA264" s="34">
        <v>62012774</v>
      </c>
      <c r="AB264" s="37">
        <v>42306</v>
      </c>
      <c r="AC264" s="34" t="s">
        <v>183</v>
      </c>
      <c r="AD264" s="34">
        <v>626415020068</v>
      </c>
      <c r="AE264" s="34" t="s">
        <v>465</v>
      </c>
      <c r="AF264" s="34" t="s">
        <v>1090</v>
      </c>
    </row>
    <row r="265" spans="1:32" x14ac:dyDescent="0.2">
      <c r="A265" s="34">
        <v>10019707</v>
      </c>
      <c r="B265" s="34" t="s">
        <v>26</v>
      </c>
      <c r="C265" s="34" t="s">
        <v>78</v>
      </c>
      <c r="D265" s="37">
        <v>42305</v>
      </c>
      <c r="E265" s="34">
        <v>93554900</v>
      </c>
      <c r="F265" s="37">
        <v>42289</v>
      </c>
      <c r="G265" s="37">
        <v>42290</v>
      </c>
      <c r="H265" s="34">
        <v>1201483</v>
      </c>
      <c r="I265" s="34" t="s">
        <v>147</v>
      </c>
      <c r="J265" s="34">
        <v>1001169</v>
      </c>
      <c r="K265" s="34" t="s">
        <v>148</v>
      </c>
      <c r="L265" s="34">
        <v>1201483</v>
      </c>
      <c r="M265" s="34" t="s">
        <v>147</v>
      </c>
      <c r="N265" s="34">
        <v>94342</v>
      </c>
      <c r="O265" s="34" t="s">
        <v>181</v>
      </c>
      <c r="P265" s="34" t="s">
        <v>67</v>
      </c>
      <c r="Q265" s="34" t="s">
        <v>68</v>
      </c>
      <c r="R265" s="34">
        <v>0</v>
      </c>
      <c r="S265" s="34" t="s">
        <v>182</v>
      </c>
      <c r="T265" s="34" t="s">
        <v>63</v>
      </c>
      <c r="U265" s="34"/>
      <c r="V265" s="34"/>
      <c r="W265" s="34"/>
      <c r="X265" s="34" t="s">
        <v>64</v>
      </c>
      <c r="Y265" s="37">
        <v>42305</v>
      </c>
      <c r="Z265" s="34"/>
      <c r="AA265" s="34"/>
      <c r="AB265" s="34"/>
      <c r="AC265" s="34" t="s">
        <v>183</v>
      </c>
      <c r="AD265" s="34">
        <v>3527009286</v>
      </c>
      <c r="AE265" s="34"/>
      <c r="AF265" s="34"/>
    </row>
    <row r="266" spans="1:32" x14ac:dyDescent="0.2">
      <c r="A266" s="34">
        <v>10019708</v>
      </c>
      <c r="B266" s="34" t="s">
        <v>26</v>
      </c>
      <c r="C266" s="34" t="s">
        <v>573</v>
      </c>
      <c r="D266" s="37">
        <v>42306</v>
      </c>
      <c r="E266" s="34">
        <v>93568625</v>
      </c>
      <c r="F266" s="37">
        <v>42300</v>
      </c>
      <c r="G266" s="34"/>
      <c r="H266" s="34">
        <v>1201120</v>
      </c>
      <c r="I266" s="34" t="s">
        <v>117</v>
      </c>
      <c r="J266" s="34">
        <v>1307782</v>
      </c>
      <c r="K266" s="34" t="s">
        <v>119</v>
      </c>
      <c r="L266" s="34">
        <v>1171090</v>
      </c>
      <c r="M266" s="34" t="s">
        <v>118</v>
      </c>
      <c r="N266" s="34" t="s">
        <v>1091</v>
      </c>
      <c r="O266" s="34" t="s">
        <v>181</v>
      </c>
      <c r="P266" s="34" t="s">
        <v>91</v>
      </c>
      <c r="Q266" s="34" t="s">
        <v>92</v>
      </c>
      <c r="R266" s="34">
        <v>3159</v>
      </c>
      <c r="S266" s="34" t="s">
        <v>182</v>
      </c>
      <c r="T266" s="34" t="s">
        <v>63</v>
      </c>
      <c r="U266" s="34" t="s">
        <v>94</v>
      </c>
      <c r="V266" s="34" t="s">
        <v>95</v>
      </c>
      <c r="W266" s="37">
        <v>42307</v>
      </c>
      <c r="X266" s="34" t="s">
        <v>64</v>
      </c>
      <c r="Y266" s="37">
        <v>42306</v>
      </c>
      <c r="Z266" s="34"/>
      <c r="AA266" s="34"/>
      <c r="AB266" s="34"/>
      <c r="AC266" s="34" t="s">
        <v>183</v>
      </c>
      <c r="AD266" s="34" t="s">
        <v>1085</v>
      </c>
      <c r="AE266" s="34" t="s">
        <v>96</v>
      </c>
      <c r="AF266" s="34" t="s">
        <v>1092</v>
      </c>
    </row>
    <row r="267" spans="1:32" x14ac:dyDescent="0.2">
      <c r="A267" s="34">
        <v>10019709</v>
      </c>
      <c r="B267" s="34" t="s">
        <v>18</v>
      </c>
      <c r="C267" s="34" t="s">
        <v>78</v>
      </c>
      <c r="D267" s="37">
        <v>42306</v>
      </c>
      <c r="E267" s="34">
        <v>93568564</v>
      </c>
      <c r="F267" s="37">
        <v>42300</v>
      </c>
      <c r="G267" s="34"/>
      <c r="H267" s="34">
        <v>1201047</v>
      </c>
      <c r="I267" s="34" t="s">
        <v>79</v>
      </c>
      <c r="J267" s="34">
        <v>1051549</v>
      </c>
      <c r="K267" s="34" t="s">
        <v>85</v>
      </c>
      <c r="L267" s="34">
        <v>1171089</v>
      </c>
      <c r="M267" s="34" t="s">
        <v>75</v>
      </c>
      <c r="N267" s="34">
        <v>12911957</v>
      </c>
      <c r="O267" s="34" t="s">
        <v>181</v>
      </c>
      <c r="P267" s="34" t="s">
        <v>91</v>
      </c>
      <c r="Q267" s="34" t="s">
        <v>92</v>
      </c>
      <c r="R267" s="34">
        <v>260.68</v>
      </c>
      <c r="S267" s="34" t="s">
        <v>182</v>
      </c>
      <c r="T267" s="34" t="s">
        <v>63</v>
      </c>
      <c r="U267" s="34" t="s">
        <v>70</v>
      </c>
      <c r="V267" s="34" t="s">
        <v>76</v>
      </c>
      <c r="W267" s="37">
        <v>42307</v>
      </c>
      <c r="X267" s="34" t="s">
        <v>64</v>
      </c>
      <c r="Y267" s="37">
        <v>42306</v>
      </c>
      <c r="Z267" s="34"/>
      <c r="AA267" s="34"/>
      <c r="AB267" s="34"/>
      <c r="AC267" s="34" t="s">
        <v>183</v>
      </c>
      <c r="AD267" s="34" t="s">
        <v>1093</v>
      </c>
      <c r="AE267" s="34" t="s">
        <v>77</v>
      </c>
      <c r="AF267" s="34" t="s">
        <v>191</v>
      </c>
    </row>
    <row r="268" spans="1:32" x14ac:dyDescent="0.2">
      <c r="A268" s="34">
        <v>10019710</v>
      </c>
      <c r="B268" s="34" t="s">
        <v>18</v>
      </c>
      <c r="C268" s="34" t="s">
        <v>573</v>
      </c>
      <c r="D268" s="37">
        <v>42306</v>
      </c>
      <c r="E268" s="34">
        <v>93574092</v>
      </c>
      <c r="F268" s="37">
        <v>42305</v>
      </c>
      <c r="G268" s="34"/>
      <c r="H268" s="34">
        <v>1201047</v>
      </c>
      <c r="I268" s="34" t="s">
        <v>79</v>
      </c>
      <c r="J268" s="34">
        <v>1340974</v>
      </c>
      <c r="K268" s="34" t="s">
        <v>93</v>
      </c>
      <c r="L268" s="34">
        <v>1171089</v>
      </c>
      <c r="M268" s="34" t="s">
        <v>75</v>
      </c>
      <c r="N268" s="34">
        <v>87102609</v>
      </c>
      <c r="O268" s="34" t="s">
        <v>181</v>
      </c>
      <c r="P268" s="34" t="s">
        <v>279</v>
      </c>
      <c r="Q268" s="34" t="s">
        <v>280</v>
      </c>
      <c r="R268" s="34">
        <v>6355.52</v>
      </c>
      <c r="S268" s="34" t="s">
        <v>182</v>
      </c>
      <c r="T268" s="34" t="s">
        <v>63</v>
      </c>
      <c r="U268" s="34"/>
      <c r="V268" s="34"/>
      <c r="W268" s="34"/>
      <c r="X268" s="34" t="s">
        <v>64</v>
      </c>
      <c r="Y268" s="37">
        <v>42306</v>
      </c>
      <c r="Z268" s="34"/>
      <c r="AA268" s="34"/>
      <c r="AB268" s="34"/>
      <c r="AC268" s="34" t="s">
        <v>183</v>
      </c>
      <c r="AD268" s="34" t="s">
        <v>1094</v>
      </c>
      <c r="AE268" s="34"/>
      <c r="AF268" s="34"/>
    </row>
    <row r="269" spans="1:32" x14ac:dyDescent="0.2">
      <c r="A269" s="34">
        <v>10019711</v>
      </c>
      <c r="B269" s="34" t="s">
        <v>18</v>
      </c>
      <c r="C269" s="34" t="s">
        <v>78</v>
      </c>
      <c r="D269" s="37">
        <v>42306</v>
      </c>
      <c r="E269" s="34">
        <v>93568549</v>
      </c>
      <c r="F269" s="37">
        <v>42300</v>
      </c>
      <c r="G269" s="34"/>
      <c r="H269" s="34">
        <v>1201047</v>
      </c>
      <c r="I269" s="34" t="s">
        <v>79</v>
      </c>
      <c r="J269" s="34">
        <v>1051549</v>
      </c>
      <c r="K269" s="34" t="s">
        <v>85</v>
      </c>
      <c r="L269" s="34">
        <v>1171089</v>
      </c>
      <c r="M269" s="34" t="s">
        <v>75</v>
      </c>
      <c r="N269" s="34">
        <v>12911957</v>
      </c>
      <c r="O269" s="34" t="s">
        <v>181</v>
      </c>
      <c r="P269" s="34" t="s">
        <v>91</v>
      </c>
      <c r="Q269" s="34" t="s">
        <v>92</v>
      </c>
      <c r="R269" s="34">
        <v>309.10000000000002</v>
      </c>
      <c r="S269" s="34" t="s">
        <v>182</v>
      </c>
      <c r="T269" s="34" t="s">
        <v>63</v>
      </c>
      <c r="U269" s="34"/>
      <c r="V269" s="34"/>
      <c r="W269" s="34"/>
      <c r="X269" s="34" t="s">
        <v>64</v>
      </c>
      <c r="Y269" s="37">
        <v>42306</v>
      </c>
      <c r="Z269" s="34"/>
      <c r="AA269" s="34"/>
      <c r="AB269" s="34"/>
      <c r="AC269" s="34" t="s">
        <v>183</v>
      </c>
      <c r="AD269" s="34" t="s">
        <v>1093</v>
      </c>
      <c r="AE269" s="34"/>
      <c r="AF269" s="34"/>
    </row>
    <row r="270" spans="1:32" x14ac:dyDescent="0.2">
      <c r="A270" s="34">
        <v>10019712</v>
      </c>
      <c r="B270" s="34" t="s">
        <v>18</v>
      </c>
      <c r="C270" s="34" t="s">
        <v>78</v>
      </c>
      <c r="D270" s="37">
        <v>42306</v>
      </c>
      <c r="E270" s="34">
        <v>93574092</v>
      </c>
      <c r="F270" s="37">
        <v>42305</v>
      </c>
      <c r="G270" s="34"/>
      <c r="H270" s="34">
        <v>1201047</v>
      </c>
      <c r="I270" s="34" t="s">
        <v>79</v>
      </c>
      <c r="J270" s="34">
        <v>1340974</v>
      </c>
      <c r="K270" s="34" t="s">
        <v>93</v>
      </c>
      <c r="L270" s="34">
        <v>1171089</v>
      </c>
      <c r="M270" s="34" t="s">
        <v>75</v>
      </c>
      <c r="N270" s="34">
        <v>87102609</v>
      </c>
      <c r="O270" s="34" t="s">
        <v>181</v>
      </c>
      <c r="P270" s="34" t="s">
        <v>279</v>
      </c>
      <c r="Q270" s="34" t="s">
        <v>280</v>
      </c>
      <c r="R270" s="34">
        <v>801.36</v>
      </c>
      <c r="S270" s="34" t="s">
        <v>182</v>
      </c>
      <c r="T270" s="34" t="s">
        <v>63</v>
      </c>
      <c r="U270" s="34"/>
      <c r="V270" s="34"/>
      <c r="W270" s="34"/>
      <c r="X270" s="34" t="s">
        <v>64</v>
      </c>
      <c r="Y270" s="37">
        <v>42306</v>
      </c>
      <c r="Z270" s="34"/>
      <c r="AA270" s="34"/>
      <c r="AB270" s="34"/>
      <c r="AC270" s="34" t="s">
        <v>183</v>
      </c>
      <c r="AD270" s="34" t="s">
        <v>1094</v>
      </c>
      <c r="AE270" s="34"/>
      <c r="AF270" s="34"/>
    </row>
    <row r="271" spans="1:32" x14ac:dyDescent="0.2">
      <c r="A271" s="34">
        <v>10019713</v>
      </c>
      <c r="B271" s="34" t="s">
        <v>18</v>
      </c>
      <c r="C271" s="34" t="s">
        <v>78</v>
      </c>
      <c r="D271" s="37">
        <v>42306</v>
      </c>
      <c r="E271" s="34">
        <v>93574095</v>
      </c>
      <c r="F271" s="37">
        <v>42305</v>
      </c>
      <c r="G271" s="34"/>
      <c r="H271" s="34">
        <v>1201047</v>
      </c>
      <c r="I271" s="34" t="s">
        <v>79</v>
      </c>
      <c r="J271" s="34">
        <v>1340974</v>
      </c>
      <c r="K271" s="34" t="s">
        <v>93</v>
      </c>
      <c r="L271" s="34">
        <v>1171089</v>
      </c>
      <c r="M271" s="34" t="s">
        <v>75</v>
      </c>
      <c r="N271" s="34">
        <v>87102609</v>
      </c>
      <c r="O271" s="34" t="s">
        <v>181</v>
      </c>
      <c r="P271" s="34" t="s">
        <v>279</v>
      </c>
      <c r="Q271" s="34" t="s">
        <v>280</v>
      </c>
      <c r="R271" s="34">
        <v>5554.16</v>
      </c>
      <c r="S271" s="34" t="s">
        <v>182</v>
      </c>
      <c r="T271" s="34" t="s">
        <v>63</v>
      </c>
      <c r="U271" s="34"/>
      <c r="V271" s="34"/>
      <c r="W271" s="34"/>
      <c r="X271" s="34" t="s">
        <v>64</v>
      </c>
      <c r="Y271" s="37">
        <v>42306</v>
      </c>
      <c r="Z271" s="34"/>
      <c r="AA271" s="34"/>
      <c r="AB271" s="34"/>
      <c r="AC271" s="34" t="s">
        <v>183</v>
      </c>
      <c r="AD271" s="34" t="s">
        <v>1094</v>
      </c>
      <c r="AE271" s="34"/>
      <c r="AF271" s="34"/>
    </row>
    <row r="272" spans="1:32" x14ac:dyDescent="0.2">
      <c r="A272" s="34">
        <v>10019714</v>
      </c>
      <c r="B272" s="34" t="s">
        <v>26</v>
      </c>
      <c r="C272" s="34" t="s">
        <v>78</v>
      </c>
      <c r="D272" s="37">
        <v>42306</v>
      </c>
      <c r="E272" s="34">
        <v>93572200</v>
      </c>
      <c r="F272" s="37">
        <v>42304</v>
      </c>
      <c r="G272" s="37">
        <v>42305</v>
      </c>
      <c r="H272" s="34">
        <v>1016311</v>
      </c>
      <c r="I272" s="34" t="s">
        <v>152</v>
      </c>
      <c r="J272" s="34">
        <v>1132034</v>
      </c>
      <c r="K272" s="34" t="s">
        <v>152</v>
      </c>
      <c r="L272" s="34">
        <v>1016311</v>
      </c>
      <c r="M272" s="34" t="s">
        <v>152</v>
      </c>
      <c r="N272" s="34">
        <v>233456</v>
      </c>
      <c r="O272" s="34" t="s">
        <v>181</v>
      </c>
      <c r="P272" s="34" t="s">
        <v>67</v>
      </c>
      <c r="Q272" s="34" t="s">
        <v>68</v>
      </c>
      <c r="R272" s="34">
        <v>733.5</v>
      </c>
      <c r="S272" s="34" t="s">
        <v>182</v>
      </c>
      <c r="T272" s="34" t="s">
        <v>63</v>
      </c>
      <c r="U272" s="34"/>
      <c r="V272" s="34"/>
      <c r="W272" s="34"/>
      <c r="X272" s="34" t="s">
        <v>64</v>
      </c>
      <c r="Y272" s="37">
        <v>42306</v>
      </c>
      <c r="Z272" s="34"/>
      <c r="AA272" s="34"/>
      <c r="AB272" s="34"/>
      <c r="AC272" s="34" t="s">
        <v>183</v>
      </c>
      <c r="AD272" s="34">
        <v>3527002673</v>
      </c>
      <c r="AE272" s="34"/>
      <c r="AF272" s="34"/>
    </row>
    <row r="273" spans="1:32" x14ac:dyDescent="0.2">
      <c r="A273" s="34">
        <v>10019715</v>
      </c>
      <c r="B273" s="34" t="s">
        <v>22</v>
      </c>
      <c r="C273" s="34" t="s">
        <v>78</v>
      </c>
      <c r="D273" s="37">
        <v>42306</v>
      </c>
      <c r="E273" s="34"/>
      <c r="F273" s="34"/>
      <c r="G273" s="34"/>
      <c r="H273" s="34">
        <v>1016311</v>
      </c>
      <c r="I273" s="34" t="s">
        <v>152</v>
      </c>
      <c r="J273" s="34">
        <v>1132034</v>
      </c>
      <c r="K273" s="34" t="s">
        <v>152</v>
      </c>
      <c r="L273" s="34">
        <v>1016311</v>
      </c>
      <c r="M273" s="34" t="s">
        <v>152</v>
      </c>
      <c r="N273" s="34">
        <v>233456</v>
      </c>
      <c r="O273" s="34" t="s">
        <v>181</v>
      </c>
      <c r="P273" s="34"/>
      <c r="Q273" s="34"/>
      <c r="R273" s="34">
        <v>733.5</v>
      </c>
      <c r="S273" s="34" t="s">
        <v>182</v>
      </c>
      <c r="T273" s="34" t="s">
        <v>63</v>
      </c>
      <c r="U273" s="34"/>
      <c r="V273" s="34"/>
      <c r="W273" s="34"/>
      <c r="X273" s="34" t="s">
        <v>64</v>
      </c>
      <c r="Y273" s="37">
        <v>42306</v>
      </c>
      <c r="Z273" s="34"/>
      <c r="AA273" s="34"/>
      <c r="AB273" s="34"/>
      <c r="AC273" s="34" t="s">
        <v>183</v>
      </c>
      <c r="AD273" s="34"/>
      <c r="AE273" s="34"/>
      <c r="AF273" s="34"/>
    </row>
    <row r="274" spans="1:32" x14ac:dyDescent="0.2">
      <c r="A274" s="34">
        <v>10019716</v>
      </c>
      <c r="B274" s="34" t="s">
        <v>26</v>
      </c>
      <c r="C274" s="34" t="s">
        <v>573</v>
      </c>
      <c r="D274" s="37">
        <v>42306</v>
      </c>
      <c r="E274" s="34">
        <v>93567469</v>
      </c>
      <c r="F274" s="37">
        <v>42299</v>
      </c>
      <c r="G274" s="37">
        <v>42303</v>
      </c>
      <c r="H274" s="34">
        <v>1201047</v>
      </c>
      <c r="I274" s="34" t="s">
        <v>79</v>
      </c>
      <c r="J274" s="34">
        <v>1311671</v>
      </c>
      <c r="K274" s="34" t="s">
        <v>90</v>
      </c>
      <c r="L274" s="34">
        <v>1171089</v>
      </c>
      <c r="M274" s="34" t="s">
        <v>75</v>
      </c>
      <c r="N274" s="34">
        <v>21464000</v>
      </c>
      <c r="O274" s="34" t="s">
        <v>181</v>
      </c>
      <c r="P274" s="34" t="s">
        <v>67</v>
      </c>
      <c r="Q274" s="34" t="s">
        <v>68</v>
      </c>
      <c r="R274" s="34">
        <v>31.8</v>
      </c>
      <c r="S274" s="34" t="s">
        <v>182</v>
      </c>
      <c r="T274" s="34" t="s">
        <v>63</v>
      </c>
      <c r="U274" s="34"/>
      <c r="V274" s="34"/>
      <c r="W274" s="34"/>
      <c r="X274" s="34" t="s">
        <v>64</v>
      </c>
      <c r="Y274" s="37">
        <v>42306</v>
      </c>
      <c r="Z274" s="34"/>
      <c r="AA274" s="34"/>
      <c r="AB274" s="34"/>
      <c r="AC274" s="34" t="s">
        <v>183</v>
      </c>
      <c r="AD274" s="34">
        <v>3527002253</v>
      </c>
      <c r="AE274" s="34"/>
      <c r="AF274" s="34"/>
    </row>
    <row r="275" spans="1:32" x14ac:dyDescent="0.2">
      <c r="A275" s="34">
        <v>10019717</v>
      </c>
      <c r="B275" s="34"/>
      <c r="C275" s="34" t="s">
        <v>573</v>
      </c>
      <c r="D275" s="37">
        <v>42306</v>
      </c>
      <c r="E275" s="34">
        <v>93569973</v>
      </c>
      <c r="F275" s="37">
        <v>42303</v>
      </c>
      <c r="G275" s="37">
        <v>42304</v>
      </c>
      <c r="H275" s="34">
        <v>1201047</v>
      </c>
      <c r="I275" s="34" t="s">
        <v>79</v>
      </c>
      <c r="J275" s="34">
        <v>1049975</v>
      </c>
      <c r="K275" s="34" t="s">
        <v>247</v>
      </c>
      <c r="L275" s="34">
        <v>1171089</v>
      </c>
      <c r="M275" s="34" t="s">
        <v>75</v>
      </c>
      <c r="N275" s="34">
        <v>44299392</v>
      </c>
      <c r="O275" s="34" t="s">
        <v>181</v>
      </c>
      <c r="P275" s="34" t="s">
        <v>91</v>
      </c>
      <c r="Q275" s="34" t="s">
        <v>92</v>
      </c>
      <c r="R275" s="34">
        <v>1660</v>
      </c>
      <c r="S275" s="34" t="s">
        <v>182</v>
      </c>
      <c r="T275" s="34" t="s">
        <v>120</v>
      </c>
      <c r="U275" s="34"/>
      <c r="V275" s="34"/>
      <c r="W275" s="34"/>
      <c r="X275" s="34"/>
      <c r="Y275" s="34"/>
      <c r="Z275" s="34"/>
      <c r="AA275" s="34"/>
      <c r="AB275" s="34"/>
      <c r="AC275" s="34" t="s">
        <v>183</v>
      </c>
      <c r="AD275" s="34" t="s">
        <v>1095</v>
      </c>
      <c r="AE275" s="34"/>
      <c r="AF275" s="34"/>
    </row>
    <row r="276" spans="1:32" x14ac:dyDescent="0.2">
      <c r="A276" s="34">
        <v>10019718</v>
      </c>
      <c r="B276" s="34" t="s">
        <v>22</v>
      </c>
      <c r="C276" s="34" t="s">
        <v>573</v>
      </c>
      <c r="D276" s="37">
        <v>42306</v>
      </c>
      <c r="E276" s="34">
        <v>93569973</v>
      </c>
      <c r="F276" s="37">
        <v>42303</v>
      </c>
      <c r="G276" s="37">
        <v>42304</v>
      </c>
      <c r="H276" s="34">
        <v>1201047</v>
      </c>
      <c r="I276" s="34" t="s">
        <v>79</v>
      </c>
      <c r="J276" s="34">
        <v>1049975</v>
      </c>
      <c r="K276" s="34" t="s">
        <v>247</v>
      </c>
      <c r="L276" s="34">
        <v>1171089</v>
      </c>
      <c r="M276" s="34" t="s">
        <v>75</v>
      </c>
      <c r="N276" s="34">
        <v>44299392</v>
      </c>
      <c r="O276" s="34" t="s">
        <v>181</v>
      </c>
      <c r="P276" s="34" t="s">
        <v>91</v>
      </c>
      <c r="Q276" s="34" t="s">
        <v>92</v>
      </c>
      <c r="R276" s="34">
        <v>1660</v>
      </c>
      <c r="S276" s="34" t="s">
        <v>182</v>
      </c>
      <c r="T276" s="34" t="s">
        <v>63</v>
      </c>
      <c r="U276" s="34"/>
      <c r="V276" s="34"/>
      <c r="W276" s="34"/>
      <c r="X276" s="34" t="s">
        <v>64</v>
      </c>
      <c r="Y276" s="37">
        <v>42306</v>
      </c>
      <c r="Z276" s="34"/>
      <c r="AA276" s="34"/>
      <c r="AB276" s="34"/>
      <c r="AC276" s="34" t="s">
        <v>183</v>
      </c>
      <c r="AD276" s="34" t="s">
        <v>1095</v>
      </c>
      <c r="AE276" s="34"/>
      <c r="AF276" s="34"/>
    </row>
    <row r="277" spans="1:32" x14ac:dyDescent="0.2">
      <c r="A277" s="34">
        <v>10019719</v>
      </c>
      <c r="B277" s="34" t="s">
        <v>26</v>
      </c>
      <c r="C277" s="34" t="s">
        <v>573</v>
      </c>
      <c r="D277" s="37">
        <v>42306</v>
      </c>
      <c r="E277" s="34">
        <v>93562778</v>
      </c>
      <c r="F277" s="37">
        <v>42296</v>
      </c>
      <c r="G277" s="34"/>
      <c r="H277" s="34">
        <v>1201047</v>
      </c>
      <c r="I277" s="34" t="s">
        <v>79</v>
      </c>
      <c r="J277" s="34">
        <v>1058305</v>
      </c>
      <c r="K277" s="34" t="s">
        <v>99</v>
      </c>
      <c r="L277" s="34">
        <v>1171089</v>
      </c>
      <c r="M277" s="34" t="s">
        <v>75</v>
      </c>
      <c r="N277" s="34">
        <v>52934149</v>
      </c>
      <c r="O277" s="34" t="s">
        <v>181</v>
      </c>
      <c r="P277" s="34" t="s">
        <v>91</v>
      </c>
      <c r="Q277" s="34" t="s">
        <v>92</v>
      </c>
      <c r="R277" s="34">
        <v>12763.2</v>
      </c>
      <c r="S277" s="34" t="s">
        <v>182</v>
      </c>
      <c r="T277" s="34" t="s">
        <v>63</v>
      </c>
      <c r="U277" s="34"/>
      <c r="V277" s="34"/>
      <c r="W277" s="34"/>
      <c r="X277" s="34"/>
      <c r="Y277" s="34"/>
      <c r="Z277" s="34"/>
      <c r="AA277" s="34"/>
      <c r="AB277" s="34"/>
      <c r="AC277" s="34" t="s">
        <v>183</v>
      </c>
      <c r="AD277" s="34" t="s">
        <v>1054</v>
      </c>
      <c r="AE277" s="34"/>
      <c r="AF277" s="34"/>
    </row>
    <row r="278" spans="1:32" x14ac:dyDescent="0.2">
      <c r="A278" s="34">
        <v>10019720</v>
      </c>
      <c r="B278" s="34" t="s">
        <v>22</v>
      </c>
      <c r="C278" s="34" t="s">
        <v>573</v>
      </c>
      <c r="D278" s="37">
        <v>42306</v>
      </c>
      <c r="E278" s="34">
        <v>93572575</v>
      </c>
      <c r="F278" s="37">
        <v>42304</v>
      </c>
      <c r="G278" s="37">
        <v>42305</v>
      </c>
      <c r="H278" s="34">
        <v>1201643</v>
      </c>
      <c r="I278" s="34" t="s">
        <v>162</v>
      </c>
      <c r="J278" s="34">
        <v>1329411</v>
      </c>
      <c r="K278" s="34" t="s">
        <v>163</v>
      </c>
      <c r="L278" s="34">
        <v>1201643</v>
      </c>
      <c r="M278" s="34" t="s">
        <v>162</v>
      </c>
      <c r="N278" s="34">
        <v>24633</v>
      </c>
      <c r="O278" s="34" t="s">
        <v>181</v>
      </c>
      <c r="P278" s="34" t="s">
        <v>67</v>
      </c>
      <c r="Q278" s="34" t="s">
        <v>68</v>
      </c>
      <c r="R278" s="34">
        <v>46.3</v>
      </c>
      <c r="S278" s="34" t="s">
        <v>182</v>
      </c>
      <c r="T278" s="34" t="s">
        <v>63</v>
      </c>
      <c r="U278" s="34"/>
      <c r="V278" s="34"/>
      <c r="W278" s="34"/>
      <c r="X278" s="34" t="s">
        <v>64</v>
      </c>
      <c r="Y278" s="37">
        <v>42306</v>
      </c>
      <c r="Z278" s="34"/>
      <c r="AA278" s="34"/>
      <c r="AB278" s="34"/>
      <c r="AC278" s="34" t="s">
        <v>183</v>
      </c>
      <c r="AD278" s="34">
        <v>3527002625</v>
      </c>
      <c r="AE278" s="34"/>
      <c r="AF278" s="34"/>
    </row>
    <row r="279" spans="1:32" x14ac:dyDescent="0.2">
      <c r="A279" s="34">
        <v>10019721</v>
      </c>
      <c r="B279" s="34" t="s">
        <v>22</v>
      </c>
      <c r="C279" s="34" t="s">
        <v>78</v>
      </c>
      <c r="D279" s="37">
        <v>42306</v>
      </c>
      <c r="E279" s="34">
        <v>93572246</v>
      </c>
      <c r="F279" s="37">
        <v>42304</v>
      </c>
      <c r="G279" s="34"/>
      <c r="H279" s="34">
        <v>1201047</v>
      </c>
      <c r="I279" s="34" t="s">
        <v>79</v>
      </c>
      <c r="J279" s="34">
        <v>1002905</v>
      </c>
      <c r="K279" s="34" t="s">
        <v>80</v>
      </c>
      <c r="L279" s="34">
        <v>1171089</v>
      </c>
      <c r="M279" s="34" t="s">
        <v>75</v>
      </c>
      <c r="N279" s="34">
        <v>38287340</v>
      </c>
      <c r="O279" s="34" t="s">
        <v>181</v>
      </c>
      <c r="P279" s="34" t="s">
        <v>91</v>
      </c>
      <c r="Q279" s="34" t="s">
        <v>92</v>
      </c>
      <c r="R279" s="34">
        <v>15766.08</v>
      </c>
      <c r="S279" s="34" t="s">
        <v>182</v>
      </c>
      <c r="T279" s="34" t="s">
        <v>63</v>
      </c>
      <c r="U279" s="34"/>
      <c r="V279" s="34"/>
      <c r="W279" s="34"/>
      <c r="X279" s="34" t="s">
        <v>64</v>
      </c>
      <c r="Y279" s="37">
        <v>42306</v>
      </c>
      <c r="Z279" s="34"/>
      <c r="AA279" s="34"/>
      <c r="AB279" s="34"/>
      <c r="AC279" s="34" t="s">
        <v>183</v>
      </c>
      <c r="AD279" s="34" t="s">
        <v>1096</v>
      </c>
      <c r="AE279" s="34"/>
      <c r="AF279" s="34"/>
    </row>
    <row r="280" spans="1:32" x14ac:dyDescent="0.2">
      <c r="A280" s="34">
        <v>10019722</v>
      </c>
      <c r="B280" s="34" t="s">
        <v>26</v>
      </c>
      <c r="C280" s="34" t="s">
        <v>78</v>
      </c>
      <c r="D280" s="37">
        <v>42306</v>
      </c>
      <c r="E280" s="34">
        <v>93569970</v>
      </c>
      <c r="F280" s="37">
        <v>42303</v>
      </c>
      <c r="G280" s="34"/>
      <c r="H280" s="34">
        <v>1201047</v>
      </c>
      <c r="I280" s="34" t="s">
        <v>79</v>
      </c>
      <c r="J280" s="34">
        <v>1058305</v>
      </c>
      <c r="K280" s="34" t="s">
        <v>99</v>
      </c>
      <c r="L280" s="34">
        <v>1171089</v>
      </c>
      <c r="M280" s="34" t="s">
        <v>75</v>
      </c>
      <c r="N280" s="34">
        <v>52934798</v>
      </c>
      <c r="O280" s="34" t="s">
        <v>181</v>
      </c>
      <c r="P280" s="34" t="s">
        <v>91</v>
      </c>
      <c r="Q280" s="34" t="s">
        <v>92</v>
      </c>
      <c r="R280" s="34">
        <v>830</v>
      </c>
      <c r="S280" s="34" t="s">
        <v>182</v>
      </c>
      <c r="T280" s="34" t="s">
        <v>63</v>
      </c>
      <c r="U280" s="34"/>
      <c r="V280" s="34"/>
      <c r="W280" s="34"/>
      <c r="X280" s="34" t="s">
        <v>64</v>
      </c>
      <c r="Y280" s="37">
        <v>42306</v>
      </c>
      <c r="Z280" s="34"/>
      <c r="AA280" s="34"/>
      <c r="AB280" s="34"/>
      <c r="AC280" s="34" t="s">
        <v>183</v>
      </c>
      <c r="AD280" s="34" t="s">
        <v>1097</v>
      </c>
      <c r="AE280" s="34"/>
      <c r="AF280" s="34"/>
    </row>
    <row r="281" spans="1:32" x14ac:dyDescent="0.2">
      <c r="A281" s="34">
        <v>10019723</v>
      </c>
      <c r="B281" s="34" t="s">
        <v>22</v>
      </c>
      <c r="C281" s="34" t="s">
        <v>78</v>
      </c>
      <c r="D281" s="37">
        <v>42306</v>
      </c>
      <c r="E281" s="34">
        <v>93569970</v>
      </c>
      <c r="F281" s="37">
        <v>42303</v>
      </c>
      <c r="G281" s="34"/>
      <c r="H281" s="34">
        <v>1201047</v>
      </c>
      <c r="I281" s="34" t="s">
        <v>79</v>
      </c>
      <c r="J281" s="34">
        <v>1058305</v>
      </c>
      <c r="K281" s="34" t="s">
        <v>99</v>
      </c>
      <c r="L281" s="34">
        <v>1171089</v>
      </c>
      <c r="M281" s="34" t="s">
        <v>75</v>
      </c>
      <c r="N281" s="34">
        <v>52934798</v>
      </c>
      <c r="O281" s="34" t="s">
        <v>181</v>
      </c>
      <c r="P281" s="34" t="s">
        <v>91</v>
      </c>
      <c r="Q281" s="34" t="s">
        <v>92</v>
      </c>
      <c r="R281" s="34">
        <v>830</v>
      </c>
      <c r="S281" s="34" t="s">
        <v>182</v>
      </c>
      <c r="T281" s="34" t="s">
        <v>63</v>
      </c>
      <c r="U281" s="34"/>
      <c r="V281" s="34"/>
      <c r="W281" s="34"/>
      <c r="X281" s="34" t="s">
        <v>64</v>
      </c>
      <c r="Y281" s="37">
        <v>42306</v>
      </c>
      <c r="Z281" s="34"/>
      <c r="AA281" s="34"/>
      <c r="AB281" s="34"/>
      <c r="AC281" s="34" t="s">
        <v>183</v>
      </c>
      <c r="AD281" s="34" t="s">
        <v>1097</v>
      </c>
      <c r="AE281" s="34"/>
      <c r="AF281" s="34"/>
    </row>
    <row r="282" spans="1:32" x14ac:dyDescent="0.2">
      <c r="A282" s="34">
        <v>10019724</v>
      </c>
      <c r="B282" s="34" t="s">
        <v>18</v>
      </c>
      <c r="C282" s="34" t="s">
        <v>573</v>
      </c>
      <c r="D282" s="37">
        <v>42306</v>
      </c>
      <c r="E282" s="34">
        <v>93567821</v>
      </c>
      <c r="F282" s="37">
        <v>42299</v>
      </c>
      <c r="G282" s="37">
        <v>42304</v>
      </c>
      <c r="H282" s="34">
        <v>1201646</v>
      </c>
      <c r="I282" s="34" t="s">
        <v>164</v>
      </c>
      <c r="J282" s="34">
        <v>1201646</v>
      </c>
      <c r="K282" s="34" t="s">
        <v>164</v>
      </c>
      <c r="L282" s="34">
        <v>1201646</v>
      </c>
      <c r="M282" s="34" t="s">
        <v>164</v>
      </c>
      <c r="N282" s="34">
        <v>8045716</v>
      </c>
      <c r="O282" s="34" t="s">
        <v>235</v>
      </c>
      <c r="P282" s="34" t="s">
        <v>67</v>
      </c>
      <c r="Q282" s="34" t="s">
        <v>68</v>
      </c>
      <c r="R282" s="34">
        <v>0.75</v>
      </c>
      <c r="S282" s="34" t="s">
        <v>182</v>
      </c>
      <c r="T282" s="34" t="s">
        <v>63</v>
      </c>
      <c r="U282" s="34"/>
      <c r="V282" s="34"/>
      <c r="W282" s="34"/>
      <c r="X282" s="34" t="s">
        <v>64</v>
      </c>
      <c r="Y282" s="37">
        <v>42306</v>
      </c>
      <c r="Z282" s="34"/>
      <c r="AA282" s="34"/>
      <c r="AB282" s="34"/>
      <c r="AC282" s="34" t="s">
        <v>183</v>
      </c>
      <c r="AD282" s="34">
        <v>3527002194</v>
      </c>
      <c r="AE282" s="34"/>
      <c r="AF282" s="34"/>
    </row>
    <row r="283" spans="1:32" x14ac:dyDescent="0.2">
      <c r="A283" s="34">
        <v>10019728</v>
      </c>
      <c r="B283" s="34" t="s">
        <v>18</v>
      </c>
      <c r="C283" s="34" t="s">
        <v>78</v>
      </c>
      <c r="D283" s="37">
        <v>42307</v>
      </c>
      <c r="E283" s="34">
        <v>93572531</v>
      </c>
      <c r="F283" s="37">
        <v>42304</v>
      </c>
      <c r="G283" s="34"/>
      <c r="H283" s="34">
        <v>1201483</v>
      </c>
      <c r="I283" s="34" t="s">
        <v>147</v>
      </c>
      <c r="J283" s="34">
        <v>1001169</v>
      </c>
      <c r="K283" s="34" t="s">
        <v>148</v>
      </c>
      <c r="L283" s="34">
        <v>1201483</v>
      </c>
      <c r="M283" s="34" t="s">
        <v>147</v>
      </c>
      <c r="N283" s="34">
        <v>94590</v>
      </c>
      <c r="O283" s="34" t="s">
        <v>181</v>
      </c>
      <c r="P283" s="34" t="s">
        <v>102</v>
      </c>
      <c r="Q283" s="34" t="s">
        <v>103</v>
      </c>
      <c r="R283" s="34">
        <v>15.2</v>
      </c>
      <c r="S283" s="34" t="s">
        <v>182</v>
      </c>
      <c r="T283" s="34" t="s">
        <v>63</v>
      </c>
      <c r="U283" s="34"/>
      <c r="V283" s="34"/>
      <c r="W283" s="34"/>
      <c r="X283" s="34" t="s">
        <v>64</v>
      </c>
      <c r="Y283" s="37">
        <v>42307</v>
      </c>
      <c r="Z283" s="34"/>
      <c r="AA283" s="34"/>
      <c r="AB283" s="34"/>
      <c r="AC283" s="34" t="s">
        <v>183</v>
      </c>
      <c r="AD283" s="34" t="s">
        <v>1098</v>
      </c>
      <c r="AE283" s="34"/>
      <c r="AF283" s="34"/>
    </row>
    <row r="284" spans="1:32" x14ac:dyDescent="0.2">
      <c r="A284" s="34">
        <v>10019729</v>
      </c>
      <c r="B284" s="34" t="s">
        <v>22</v>
      </c>
      <c r="C284" s="34" t="s">
        <v>78</v>
      </c>
      <c r="D284" s="37">
        <v>42307</v>
      </c>
      <c r="E284" s="34">
        <v>93568980</v>
      </c>
      <c r="F284" s="37">
        <v>42300</v>
      </c>
      <c r="G284" s="34"/>
      <c r="H284" s="34">
        <v>1322515</v>
      </c>
      <c r="I284" s="34" t="s">
        <v>139</v>
      </c>
      <c r="J284" s="34">
        <v>1322536</v>
      </c>
      <c r="K284" s="34" t="s">
        <v>140</v>
      </c>
      <c r="L284" s="34">
        <v>1322515</v>
      </c>
      <c r="M284" s="34" t="s">
        <v>139</v>
      </c>
      <c r="N284" s="34">
        <v>239731</v>
      </c>
      <c r="O284" s="34" t="s">
        <v>181</v>
      </c>
      <c r="P284" s="34" t="s">
        <v>168</v>
      </c>
      <c r="Q284" s="34" t="s">
        <v>169</v>
      </c>
      <c r="R284" s="34">
        <v>3420</v>
      </c>
      <c r="S284" s="34" t="s">
        <v>182</v>
      </c>
      <c r="T284" s="34" t="s">
        <v>63</v>
      </c>
      <c r="U284" s="34"/>
      <c r="V284" s="34"/>
      <c r="W284" s="34"/>
      <c r="X284" s="34" t="s">
        <v>64</v>
      </c>
      <c r="Y284" s="37">
        <v>42307</v>
      </c>
      <c r="Z284" s="34"/>
      <c r="AA284" s="34"/>
      <c r="AB284" s="34"/>
      <c r="AC284" s="34" t="s">
        <v>183</v>
      </c>
      <c r="AD284" s="34" t="s">
        <v>1099</v>
      </c>
      <c r="AE284" s="34"/>
      <c r="AF284" s="34"/>
    </row>
    <row r="285" spans="1:32" x14ac:dyDescent="0.2">
      <c r="A285" s="34">
        <v>10019730</v>
      </c>
      <c r="B285" s="34" t="s">
        <v>22</v>
      </c>
      <c r="C285" s="34" t="s">
        <v>78</v>
      </c>
      <c r="D285" s="37">
        <v>42307</v>
      </c>
      <c r="E285" s="34">
        <v>93560717</v>
      </c>
      <c r="F285" s="37">
        <v>42293</v>
      </c>
      <c r="G285" s="34"/>
      <c r="H285" s="34">
        <v>1201646</v>
      </c>
      <c r="I285" s="34" t="s">
        <v>164</v>
      </c>
      <c r="J285" s="34">
        <v>1201646</v>
      </c>
      <c r="K285" s="34" t="s">
        <v>164</v>
      </c>
      <c r="L285" s="34">
        <v>1201646</v>
      </c>
      <c r="M285" s="34" t="s">
        <v>164</v>
      </c>
      <c r="N285" s="34">
        <v>8045664</v>
      </c>
      <c r="O285" s="34" t="s">
        <v>181</v>
      </c>
      <c r="P285" s="34" t="s">
        <v>97</v>
      </c>
      <c r="Q285" s="34" t="s">
        <v>98</v>
      </c>
      <c r="R285" s="34">
        <v>127805.75999999999</v>
      </c>
      <c r="S285" s="34" t="s">
        <v>182</v>
      </c>
      <c r="T285" s="34" t="s">
        <v>63</v>
      </c>
      <c r="U285" s="34"/>
      <c r="V285" s="34"/>
      <c r="W285" s="34"/>
      <c r="X285" s="34" t="s">
        <v>64</v>
      </c>
      <c r="Y285" s="37">
        <v>42307</v>
      </c>
      <c r="Z285" s="34"/>
      <c r="AA285" s="34"/>
      <c r="AB285" s="34"/>
      <c r="AC285" s="34" t="s">
        <v>183</v>
      </c>
      <c r="AD285" s="34">
        <v>87944972621056</v>
      </c>
      <c r="AE285" s="34"/>
      <c r="AF285" s="34"/>
    </row>
    <row r="286" spans="1:32" x14ac:dyDescent="0.2">
      <c r="A286" s="34">
        <v>10019731</v>
      </c>
      <c r="B286" s="34" t="s">
        <v>18</v>
      </c>
      <c r="C286" s="34" t="s">
        <v>573</v>
      </c>
      <c r="D286" s="37">
        <v>42307</v>
      </c>
      <c r="E286" s="34">
        <v>93572202</v>
      </c>
      <c r="F286" s="37">
        <v>42304</v>
      </c>
      <c r="G286" s="37">
        <v>42306</v>
      </c>
      <c r="H286" s="34">
        <v>1022013</v>
      </c>
      <c r="I286" s="34" t="s">
        <v>114</v>
      </c>
      <c r="J286" s="34">
        <v>1335507</v>
      </c>
      <c r="K286" s="34" t="s">
        <v>114</v>
      </c>
      <c r="L286" s="34">
        <v>1022013</v>
      </c>
      <c r="M286" s="34" t="s">
        <v>114</v>
      </c>
      <c r="N286" s="34">
        <v>75894</v>
      </c>
      <c r="O286" s="34" t="s">
        <v>181</v>
      </c>
      <c r="P286" s="34" t="s">
        <v>67</v>
      </c>
      <c r="Q286" s="34" t="s">
        <v>68</v>
      </c>
      <c r="R286" s="34">
        <v>99.32</v>
      </c>
      <c r="S286" s="34" t="s">
        <v>182</v>
      </c>
      <c r="T286" s="34" t="s">
        <v>63</v>
      </c>
      <c r="U286" s="34"/>
      <c r="V286" s="34"/>
      <c r="W286" s="34"/>
      <c r="X286" s="34" t="s">
        <v>64</v>
      </c>
      <c r="Y286" s="37">
        <v>42307</v>
      </c>
      <c r="Z286" s="34"/>
      <c r="AA286" s="34"/>
      <c r="AB286" s="34"/>
      <c r="AC286" s="34" t="s">
        <v>183</v>
      </c>
      <c r="AD286" s="34">
        <v>3527002651</v>
      </c>
      <c r="AE286" s="34"/>
      <c r="AF286" s="34"/>
    </row>
    <row r="287" spans="1:32" x14ac:dyDescent="0.2">
      <c r="A287" s="34">
        <v>10019732</v>
      </c>
      <c r="B287" s="34" t="s">
        <v>24</v>
      </c>
      <c r="C287" s="34" t="s">
        <v>573</v>
      </c>
      <c r="D287" s="37">
        <v>42307</v>
      </c>
      <c r="E287" s="34">
        <v>93562895</v>
      </c>
      <c r="F287" s="37">
        <v>42296</v>
      </c>
      <c r="G287" s="37">
        <v>42303</v>
      </c>
      <c r="H287" s="34">
        <v>1201156</v>
      </c>
      <c r="I287" s="34" t="s">
        <v>131</v>
      </c>
      <c r="J287" s="34">
        <v>1319569</v>
      </c>
      <c r="K287" s="34" t="s">
        <v>132</v>
      </c>
      <c r="L287" s="34">
        <v>1201156</v>
      </c>
      <c r="M287" s="34" t="s">
        <v>131</v>
      </c>
      <c r="N287" s="34">
        <v>8326913</v>
      </c>
      <c r="O287" s="34" t="s">
        <v>181</v>
      </c>
      <c r="P287" s="34" t="s">
        <v>61</v>
      </c>
      <c r="Q287" s="34" t="s">
        <v>62</v>
      </c>
      <c r="R287" s="34">
        <v>2563.1999999999998</v>
      </c>
      <c r="S287" s="34" t="s">
        <v>182</v>
      </c>
      <c r="T287" s="34" t="s">
        <v>63</v>
      </c>
      <c r="U287" s="34"/>
      <c r="V287" s="34"/>
      <c r="W287" s="34"/>
      <c r="X287" s="34" t="s">
        <v>64</v>
      </c>
      <c r="Y287" s="37">
        <v>42307</v>
      </c>
      <c r="Z287" s="34"/>
      <c r="AA287" s="34"/>
      <c r="AB287" s="34"/>
      <c r="AC287" s="34" t="s">
        <v>183</v>
      </c>
      <c r="AD287" s="34">
        <v>327764604</v>
      </c>
      <c r="AE287" s="34"/>
      <c r="AF287" s="34"/>
    </row>
    <row r="288" spans="1:32" x14ac:dyDescent="0.2">
      <c r="A288" s="34">
        <v>10019733</v>
      </c>
      <c r="B288" s="34"/>
      <c r="C288" s="34" t="s">
        <v>78</v>
      </c>
      <c r="D288" s="37">
        <v>42307</v>
      </c>
      <c r="E288" s="34"/>
      <c r="F288" s="34"/>
      <c r="G288" s="34"/>
      <c r="H288" s="34">
        <v>1323144</v>
      </c>
      <c r="I288" s="34" t="s">
        <v>566</v>
      </c>
      <c r="J288" s="34">
        <v>1323144</v>
      </c>
      <c r="K288" s="34" t="s">
        <v>566</v>
      </c>
      <c r="L288" s="34">
        <v>1323144</v>
      </c>
      <c r="M288" s="34" t="s">
        <v>566</v>
      </c>
      <c r="N288" s="34">
        <v>4500012832</v>
      </c>
      <c r="O288" s="34" t="s">
        <v>181</v>
      </c>
      <c r="P288" s="34"/>
      <c r="Q288" s="34"/>
      <c r="R288" s="34">
        <v>22000</v>
      </c>
      <c r="S288" s="34" t="s">
        <v>182</v>
      </c>
      <c r="T288" s="34" t="s">
        <v>120</v>
      </c>
      <c r="U288" s="34"/>
      <c r="V288" s="34"/>
      <c r="W288" s="34"/>
      <c r="X288" s="34"/>
      <c r="Y288" s="34"/>
      <c r="Z288" s="34"/>
      <c r="AA288" s="34"/>
      <c r="AB288" s="34"/>
      <c r="AC288" s="34" t="s">
        <v>183</v>
      </c>
      <c r="AD288" s="34"/>
      <c r="AE288" s="34"/>
      <c r="AF288" s="34"/>
    </row>
    <row r="289" spans="1:32" x14ac:dyDescent="0.2">
      <c r="A289" s="34">
        <v>10019734</v>
      </c>
      <c r="B289" s="34" t="s">
        <v>26</v>
      </c>
      <c r="C289" s="34" t="s">
        <v>78</v>
      </c>
      <c r="D289" s="37">
        <v>42307</v>
      </c>
      <c r="E289" s="34">
        <v>93557429</v>
      </c>
      <c r="F289" s="37">
        <v>42291</v>
      </c>
      <c r="G289" s="34"/>
      <c r="H289" s="34">
        <v>1201367</v>
      </c>
      <c r="I289" s="34" t="s">
        <v>878</v>
      </c>
      <c r="J289" s="34">
        <v>1131720</v>
      </c>
      <c r="K289" s="34" t="s">
        <v>878</v>
      </c>
      <c r="L289" s="34">
        <v>1172009</v>
      </c>
      <c r="M289" s="34" t="s">
        <v>878</v>
      </c>
      <c r="N289" s="34">
        <v>18504</v>
      </c>
      <c r="O289" s="34" t="s">
        <v>181</v>
      </c>
      <c r="P289" s="34"/>
      <c r="Q289" s="34"/>
      <c r="R289" s="34">
        <v>1234.8</v>
      </c>
      <c r="S289" s="34" t="s">
        <v>182</v>
      </c>
      <c r="T289" s="34" t="s">
        <v>63</v>
      </c>
      <c r="U289" s="34"/>
      <c r="V289" s="34"/>
      <c r="W289" s="34"/>
      <c r="X289" s="34" t="s">
        <v>64</v>
      </c>
      <c r="Y289" s="37">
        <v>42307</v>
      </c>
      <c r="Z289" s="34"/>
      <c r="AA289" s="34"/>
      <c r="AB289" s="34"/>
      <c r="AC289" s="34" t="s">
        <v>183</v>
      </c>
      <c r="AD289" s="34"/>
      <c r="AE289" s="34"/>
      <c r="AF289" s="34"/>
    </row>
    <row r="290" spans="1:32" x14ac:dyDescent="0.2">
      <c r="A290" s="34">
        <v>10019735</v>
      </c>
      <c r="B290" s="34" t="s">
        <v>18</v>
      </c>
      <c r="C290" s="34" t="s">
        <v>573</v>
      </c>
      <c r="D290" s="37">
        <v>42307</v>
      </c>
      <c r="E290" s="34">
        <v>93568553</v>
      </c>
      <c r="F290" s="37">
        <v>42300</v>
      </c>
      <c r="G290" s="34"/>
      <c r="H290" s="34">
        <v>1201047</v>
      </c>
      <c r="I290" s="34" t="s">
        <v>79</v>
      </c>
      <c r="J290" s="34">
        <v>1003696</v>
      </c>
      <c r="K290" s="34" t="s">
        <v>80</v>
      </c>
      <c r="L290" s="34">
        <v>1171089</v>
      </c>
      <c r="M290" s="34" t="s">
        <v>75</v>
      </c>
      <c r="N290" s="34">
        <v>24509498</v>
      </c>
      <c r="O290" s="34" t="s">
        <v>181</v>
      </c>
      <c r="P290" s="34" t="s">
        <v>168</v>
      </c>
      <c r="Q290" s="34" t="s">
        <v>169</v>
      </c>
      <c r="R290" s="34">
        <v>1648.32</v>
      </c>
      <c r="S290" s="34" t="s">
        <v>182</v>
      </c>
      <c r="T290" s="34" t="s">
        <v>63</v>
      </c>
      <c r="U290" s="34"/>
      <c r="V290" s="34"/>
      <c r="W290" s="34"/>
      <c r="X290" s="34" t="s">
        <v>64</v>
      </c>
      <c r="Y290" s="37">
        <v>42307</v>
      </c>
      <c r="Z290" s="34"/>
      <c r="AA290" s="34"/>
      <c r="AB290" s="34"/>
      <c r="AC290" s="34" t="s">
        <v>183</v>
      </c>
      <c r="AD290" s="34" t="s">
        <v>1100</v>
      </c>
      <c r="AE290" s="34"/>
      <c r="AF290" s="34"/>
    </row>
    <row r="291" spans="1:32" x14ac:dyDescent="0.2">
      <c r="A291" s="34">
        <v>10019736</v>
      </c>
      <c r="B291" s="34" t="s">
        <v>26</v>
      </c>
      <c r="C291" s="34" t="s">
        <v>78</v>
      </c>
      <c r="D291" s="37">
        <v>42307</v>
      </c>
      <c r="E291" s="34">
        <v>93558600</v>
      </c>
      <c r="F291" s="37">
        <v>42292</v>
      </c>
      <c r="G291" s="34"/>
      <c r="H291" s="34">
        <v>1201047</v>
      </c>
      <c r="I291" s="34" t="s">
        <v>79</v>
      </c>
      <c r="J291" s="34">
        <v>1003713</v>
      </c>
      <c r="K291" s="34" t="s">
        <v>80</v>
      </c>
      <c r="L291" s="34">
        <v>1171089</v>
      </c>
      <c r="M291" s="34" t="s">
        <v>75</v>
      </c>
      <c r="N291" s="34">
        <v>32760616</v>
      </c>
      <c r="O291" s="34" t="s">
        <v>181</v>
      </c>
      <c r="P291" s="34" t="s">
        <v>97</v>
      </c>
      <c r="Q291" s="34" t="s">
        <v>98</v>
      </c>
      <c r="R291" s="34">
        <v>3831.84</v>
      </c>
      <c r="S291" s="34" t="s">
        <v>182</v>
      </c>
      <c r="T291" s="34" t="s">
        <v>63</v>
      </c>
      <c r="U291" s="34"/>
      <c r="V291" s="34"/>
      <c r="W291" s="34"/>
      <c r="X291" s="34" t="s">
        <v>64</v>
      </c>
      <c r="Y291" s="37">
        <v>42307</v>
      </c>
      <c r="Z291" s="34"/>
      <c r="AA291" s="34"/>
      <c r="AB291" s="34"/>
      <c r="AC291" s="34" t="s">
        <v>183</v>
      </c>
      <c r="AD291" s="34">
        <v>87944972612931</v>
      </c>
      <c r="AE291" s="34"/>
      <c r="AF291" s="34"/>
    </row>
    <row r="292" spans="1:32" x14ac:dyDescent="0.2">
      <c r="A292" s="34">
        <v>10019737</v>
      </c>
      <c r="B292" s="34" t="s">
        <v>26</v>
      </c>
      <c r="C292" s="34" t="s">
        <v>78</v>
      </c>
      <c r="D292" s="37">
        <v>42307</v>
      </c>
      <c r="E292" s="34">
        <v>93572520</v>
      </c>
      <c r="F292" s="37">
        <v>42304</v>
      </c>
      <c r="G292" s="37">
        <v>42305</v>
      </c>
      <c r="H292" s="34">
        <v>1201432</v>
      </c>
      <c r="I292" s="34" t="s">
        <v>660</v>
      </c>
      <c r="J292" s="34">
        <v>1306711</v>
      </c>
      <c r="K292" s="34" t="s">
        <v>660</v>
      </c>
      <c r="L292" s="34">
        <v>1172008</v>
      </c>
      <c r="M292" s="34" t="s">
        <v>660</v>
      </c>
      <c r="N292" s="34">
        <v>341253</v>
      </c>
      <c r="O292" s="34" t="s">
        <v>181</v>
      </c>
      <c r="P292" s="34" t="s">
        <v>91</v>
      </c>
      <c r="Q292" s="34" t="s">
        <v>92</v>
      </c>
      <c r="R292" s="34">
        <v>1660</v>
      </c>
      <c r="S292" s="34" t="s">
        <v>182</v>
      </c>
      <c r="T292" s="34" t="s">
        <v>63</v>
      </c>
      <c r="U292" s="34"/>
      <c r="V292" s="34"/>
      <c r="W292" s="34"/>
      <c r="X292" s="34" t="s">
        <v>64</v>
      </c>
      <c r="Y292" s="37">
        <v>42307</v>
      </c>
      <c r="Z292" s="34"/>
      <c r="AA292" s="34"/>
      <c r="AB292" s="34"/>
      <c r="AC292" s="34" t="s">
        <v>183</v>
      </c>
      <c r="AD292" s="34" t="s">
        <v>1101</v>
      </c>
      <c r="AE292" s="34"/>
      <c r="AF292" s="34"/>
    </row>
    <row r="293" spans="1:32" x14ac:dyDescent="0.2">
      <c r="A293" s="34">
        <v>10019738</v>
      </c>
      <c r="B293" s="34" t="s">
        <v>26</v>
      </c>
      <c r="C293" s="34" t="s">
        <v>78</v>
      </c>
      <c r="D293" s="37">
        <v>42307</v>
      </c>
      <c r="E293" s="34">
        <v>93567847</v>
      </c>
      <c r="F293" s="37">
        <v>42299</v>
      </c>
      <c r="G293" s="34"/>
      <c r="H293" s="34">
        <v>1201731</v>
      </c>
      <c r="I293" s="34" t="s">
        <v>342</v>
      </c>
      <c r="J293" s="34">
        <v>1319945</v>
      </c>
      <c r="K293" s="34" t="s">
        <v>343</v>
      </c>
      <c r="L293" s="34">
        <v>1171089</v>
      </c>
      <c r="M293" s="34" t="s">
        <v>75</v>
      </c>
      <c r="N293" s="34">
        <v>300073790</v>
      </c>
      <c r="O293" s="34" t="s">
        <v>181</v>
      </c>
      <c r="P293" s="34" t="s">
        <v>102</v>
      </c>
      <c r="Q293" s="34" t="s">
        <v>103</v>
      </c>
      <c r="R293" s="34">
        <v>1120</v>
      </c>
      <c r="S293" s="34" t="s">
        <v>182</v>
      </c>
      <c r="T293" s="34" t="s">
        <v>63</v>
      </c>
      <c r="U293" s="34"/>
      <c r="V293" s="34"/>
      <c r="W293" s="34"/>
      <c r="X293" s="34" t="s">
        <v>64</v>
      </c>
      <c r="Y293" s="37">
        <v>42307</v>
      </c>
      <c r="Z293" s="34"/>
      <c r="AA293" s="34"/>
      <c r="AB293" s="34"/>
      <c r="AC293" s="34" t="s">
        <v>183</v>
      </c>
      <c r="AD293" s="34">
        <v>649275087091</v>
      </c>
      <c r="AE293" s="34"/>
      <c r="AF293"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222"/>
  <sheetViews>
    <sheetView workbookViewId="0">
      <selection sqref="A1:XFD1048576"/>
    </sheetView>
  </sheetViews>
  <sheetFormatPr defaultRowHeight="12.75" x14ac:dyDescent="0.2"/>
  <cols>
    <col min="1" max="1" width="9" style="26" bestFit="1" customWidth="1"/>
    <col min="2" max="2" width="8.42578125" style="26" bestFit="1" customWidth="1"/>
    <col min="3" max="3" width="12.5703125" style="26" bestFit="1" customWidth="1"/>
    <col min="4" max="4" width="10.140625" style="26" bestFit="1" customWidth="1"/>
    <col min="5" max="5" width="13.28515625" style="26" bestFit="1" customWidth="1"/>
    <col min="6" max="7" width="10.140625" style="26" bestFit="1" customWidth="1"/>
    <col min="8" max="8" width="8" style="26" bestFit="1" customWidth="1"/>
    <col min="9" max="9" width="40" style="26" bestFit="1" customWidth="1"/>
    <col min="10" max="10" width="8" style="26" bestFit="1" customWidth="1"/>
    <col min="11" max="11" width="44.140625" style="26" bestFit="1" customWidth="1"/>
    <col min="12" max="12" width="8" style="26" bestFit="1" customWidth="1"/>
    <col min="13" max="13" width="40" style="26" bestFit="1" customWidth="1"/>
    <col min="14" max="14" width="17.85546875" style="26" bestFit="1" customWidth="1"/>
    <col min="15" max="15" width="5.85546875" style="26" bestFit="1" customWidth="1"/>
    <col min="16" max="16" width="6.42578125" style="26" bestFit="1" customWidth="1"/>
    <col min="17" max="17" width="31.5703125" style="26" bestFit="1" customWidth="1"/>
    <col min="18" max="18" width="10" style="26" bestFit="1" customWidth="1"/>
    <col min="19" max="19" width="8.42578125" style="26" bestFit="1" customWidth="1"/>
    <col min="20" max="20" width="9.85546875" style="26" bestFit="1" customWidth="1"/>
    <col min="21" max="21" width="12.7109375" style="26" bestFit="1" customWidth="1"/>
    <col min="22" max="22" width="37" style="26" bestFit="1" customWidth="1"/>
    <col min="23" max="23" width="16.85546875" style="26" bestFit="1" customWidth="1"/>
    <col min="24" max="24" width="15.85546875" style="26" bestFit="1" customWidth="1"/>
    <col min="25" max="25" width="18.28515625" style="26" bestFit="1" customWidth="1"/>
    <col min="26" max="26" width="11.5703125" style="26" bestFit="1" customWidth="1"/>
    <col min="27" max="27" width="12.5703125" style="26" bestFit="1" customWidth="1"/>
    <col min="28" max="28" width="17.85546875" style="26" bestFit="1" customWidth="1"/>
    <col min="29" max="29" width="15" style="26" bestFit="1" customWidth="1"/>
    <col min="30" max="30" width="129.140625" style="26" bestFit="1" customWidth="1"/>
    <col min="31" max="31" width="37.7109375" style="26" bestFit="1" customWidth="1"/>
    <col min="32" max="32" width="117.42578125" style="26" bestFit="1" customWidth="1"/>
    <col min="33" max="16384" width="9.140625" style="26"/>
  </cols>
  <sheetData>
    <row r="1" spans="1:32" x14ac:dyDescent="0.2">
      <c r="A1" s="43" t="s">
        <v>31</v>
      </c>
      <c r="B1" s="43" t="s">
        <v>4</v>
      </c>
      <c r="C1" s="43" t="s">
        <v>32</v>
      </c>
      <c r="D1" s="43" t="s">
        <v>33</v>
      </c>
      <c r="E1" s="43" t="s">
        <v>175</v>
      </c>
      <c r="F1" s="43" t="s">
        <v>34</v>
      </c>
      <c r="G1" s="43" t="s">
        <v>176</v>
      </c>
      <c r="H1" s="43" t="s">
        <v>35</v>
      </c>
      <c r="I1" s="43" t="s">
        <v>36</v>
      </c>
      <c r="J1" s="43" t="s">
        <v>37</v>
      </c>
      <c r="K1" s="43" t="s">
        <v>38</v>
      </c>
      <c r="L1" s="43" t="s">
        <v>39</v>
      </c>
      <c r="M1" s="43" t="s">
        <v>40</v>
      </c>
      <c r="N1" s="43" t="s">
        <v>41</v>
      </c>
      <c r="O1" s="43" t="s">
        <v>178</v>
      </c>
      <c r="P1" s="43" t="s">
        <v>43</v>
      </c>
      <c r="Q1" s="43" t="s">
        <v>44</v>
      </c>
      <c r="R1" s="43" t="s">
        <v>45</v>
      </c>
      <c r="S1" s="43" t="s">
        <v>179</v>
      </c>
      <c r="T1" s="43" t="s">
        <v>46</v>
      </c>
      <c r="U1" s="43" t="s">
        <v>47</v>
      </c>
      <c r="V1" s="43" t="s">
        <v>48</v>
      </c>
      <c r="W1" s="43" t="s">
        <v>49</v>
      </c>
      <c r="X1" s="43" t="s">
        <v>50</v>
      </c>
      <c r="Y1" s="43" t="s">
        <v>51</v>
      </c>
      <c r="Z1" s="43" t="s">
        <v>52</v>
      </c>
      <c r="AA1" s="43" t="s">
        <v>53</v>
      </c>
      <c r="AB1" s="43" t="s">
        <v>54</v>
      </c>
      <c r="AC1" s="43" t="s">
        <v>180</v>
      </c>
      <c r="AD1" s="43" t="s">
        <v>55</v>
      </c>
      <c r="AE1" s="43" t="s">
        <v>56</v>
      </c>
      <c r="AF1" s="43" t="s">
        <v>57</v>
      </c>
    </row>
    <row r="2" spans="1:32" x14ac:dyDescent="0.2">
      <c r="A2" s="39">
        <v>10019739</v>
      </c>
      <c r="B2" s="39" t="s">
        <v>18</v>
      </c>
      <c r="C2" s="39" t="s">
        <v>573</v>
      </c>
      <c r="D2" s="40">
        <v>42310</v>
      </c>
      <c r="E2" s="39">
        <v>93570162</v>
      </c>
      <c r="F2" s="40">
        <v>42303</v>
      </c>
      <c r="G2" s="39"/>
      <c r="H2" s="39">
        <v>1201120</v>
      </c>
      <c r="I2" s="39" t="s">
        <v>117</v>
      </c>
      <c r="J2" s="39">
        <v>1307782</v>
      </c>
      <c r="K2" s="39" t="s">
        <v>119</v>
      </c>
      <c r="L2" s="39">
        <v>1171090</v>
      </c>
      <c r="M2" s="39" t="s">
        <v>118</v>
      </c>
      <c r="N2" s="39" t="s">
        <v>1088</v>
      </c>
      <c r="O2" s="39" t="s">
        <v>181</v>
      </c>
      <c r="P2" s="39" t="s">
        <v>123</v>
      </c>
      <c r="Q2" s="39" t="s">
        <v>124</v>
      </c>
      <c r="R2" s="39">
        <v>1736.52</v>
      </c>
      <c r="S2" s="39" t="s">
        <v>182</v>
      </c>
      <c r="T2" s="39" t="s">
        <v>69</v>
      </c>
      <c r="U2" s="39" t="s">
        <v>70</v>
      </c>
      <c r="V2" s="39" t="s">
        <v>76</v>
      </c>
      <c r="W2" s="40">
        <v>42314</v>
      </c>
      <c r="X2" s="39" t="s">
        <v>64</v>
      </c>
      <c r="Y2" s="40">
        <v>42310</v>
      </c>
      <c r="Z2" s="39" t="s">
        <v>100</v>
      </c>
      <c r="AA2" s="39">
        <v>62034018</v>
      </c>
      <c r="AB2" s="40">
        <v>42339</v>
      </c>
      <c r="AC2" s="39" t="s">
        <v>183</v>
      </c>
      <c r="AD2" s="39" t="s">
        <v>1102</v>
      </c>
      <c r="AE2" s="39" t="s">
        <v>77</v>
      </c>
      <c r="AF2" s="39" t="s">
        <v>376</v>
      </c>
    </row>
    <row r="3" spans="1:32" x14ac:dyDescent="0.2">
      <c r="A3" s="41">
        <v>10019740</v>
      </c>
      <c r="B3" s="41" t="s">
        <v>18</v>
      </c>
      <c r="C3" s="41" t="s">
        <v>78</v>
      </c>
      <c r="D3" s="42">
        <v>42310</v>
      </c>
      <c r="E3" s="41">
        <v>93570310</v>
      </c>
      <c r="F3" s="42">
        <v>42303</v>
      </c>
      <c r="G3" s="42">
        <v>42306</v>
      </c>
      <c r="H3" s="41">
        <v>1201354</v>
      </c>
      <c r="I3" s="41" t="s">
        <v>778</v>
      </c>
      <c r="J3" s="41">
        <v>1131226</v>
      </c>
      <c r="K3" s="41" t="s">
        <v>999</v>
      </c>
      <c r="L3" s="41">
        <v>1171836</v>
      </c>
      <c r="M3" s="41" t="s">
        <v>780</v>
      </c>
      <c r="N3" s="41" t="s">
        <v>1103</v>
      </c>
      <c r="O3" s="41" t="s">
        <v>181</v>
      </c>
      <c r="P3" s="41" t="s">
        <v>67</v>
      </c>
      <c r="Q3" s="41" t="s">
        <v>68</v>
      </c>
      <c r="R3" s="41">
        <v>324</v>
      </c>
      <c r="S3" s="41" t="s">
        <v>182</v>
      </c>
      <c r="T3" s="41" t="s">
        <v>63</v>
      </c>
      <c r="U3" s="41" t="s">
        <v>70</v>
      </c>
      <c r="V3" s="41" t="s">
        <v>76</v>
      </c>
      <c r="W3" s="42">
        <v>42314</v>
      </c>
      <c r="X3" s="41" t="s">
        <v>64</v>
      </c>
      <c r="Y3" s="42">
        <v>42310</v>
      </c>
      <c r="Z3" s="41"/>
      <c r="AA3" s="41"/>
      <c r="AB3" s="41"/>
      <c r="AC3" s="41" t="s">
        <v>183</v>
      </c>
      <c r="AD3" s="41">
        <v>3527002511</v>
      </c>
      <c r="AE3" s="41" t="s">
        <v>77</v>
      </c>
      <c r="AF3" s="41" t="s">
        <v>803</v>
      </c>
    </row>
    <row r="4" spans="1:32" x14ac:dyDescent="0.2">
      <c r="A4" s="41">
        <v>10019741</v>
      </c>
      <c r="B4" s="41" t="s">
        <v>18</v>
      </c>
      <c r="C4" s="41" t="s">
        <v>573</v>
      </c>
      <c r="D4" s="42">
        <v>42310</v>
      </c>
      <c r="E4" s="41">
        <v>93570157</v>
      </c>
      <c r="F4" s="42">
        <v>42303</v>
      </c>
      <c r="G4" s="41"/>
      <c r="H4" s="41">
        <v>1201120</v>
      </c>
      <c r="I4" s="41" t="s">
        <v>117</v>
      </c>
      <c r="J4" s="41">
        <v>1307782</v>
      </c>
      <c r="K4" s="41" t="s">
        <v>119</v>
      </c>
      <c r="L4" s="41">
        <v>1171090</v>
      </c>
      <c r="M4" s="41" t="s">
        <v>118</v>
      </c>
      <c r="N4" s="41" t="s">
        <v>1104</v>
      </c>
      <c r="O4" s="41" t="s">
        <v>181</v>
      </c>
      <c r="P4" s="41" t="s">
        <v>121</v>
      </c>
      <c r="Q4" s="41" t="s">
        <v>122</v>
      </c>
      <c r="R4" s="41">
        <v>534.24</v>
      </c>
      <c r="S4" s="41" t="s">
        <v>182</v>
      </c>
      <c r="T4" s="41" t="s">
        <v>69</v>
      </c>
      <c r="U4" s="41" t="s">
        <v>70</v>
      </c>
      <c r="V4" s="41" t="s">
        <v>76</v>
      </c>
      <c r="W4" s="42">
        <v>42314</v>
      </c>
      <c r="X4" s="41" t="s">
        <v>64</v>
      </c>
      <c r="Y4" s="42">
        <v>42310</v>
      </c>
      <c r="Z4" s="41" t="s">
        <v>100</v>
      </c>
      <c r="AA4" s="41">
        <v>62034016</v>
      </c>
      <c r="AB4" s="42">
        <v>42339</v>
      </c>
      <c r="AC4" s="41" t="s">
        <v>183</v>
      </c>
      <c r="AD4" s="41" t="s">
        <v>1105</v>
      </c>
      <c r="AE4" s="41" t="s">
        <v>77</v>
      </c>
      <c r="AF4" s="41" t="s">
        <v>803</v>
      </c>
    </row>
    <row r="5" spans="1:32" x14ac:dyDescent="0.2">
      <c r="A5" s="41">
        <v>10019742</v>
      </c>
      <c r="B5" s="41" t="s">
        <v>18</v>
      </c>
      <c r="C5" s="41" t="s">
        <v>573</v>
      </c>
      <c r="D5" s="42">
        <v>42310</v>
      </c>
      <c r="E5" s="41">
        <v>93577385</v>
      </c>
      <c r="F5" s="42">
        <v>42307</v>
      </c>
      <c r="G5" s="41"/>
      <c r="H5" s="41">
        <v>1201120</v>
      </c>
      <c r="I5" s="41" t="s">
        <v>117</v>
      </c>
      <c r="J5" s="41">
        <v>1307782</v>
      </c>
      <c r="K5" s="41" t="s">
        <v>119</v>
      </c>
      <c r="L5" s="41">
        <v>1171090</v>
      </c>
      <c r="M5" s="41" t="s">
        <v>118</v>
      </c>
      <c r="N5" s="41" t="s">
        <v>1106</v>
      </c>
      <c r="O5" s="41" t="s">
        <v>181</v>
      </c>
      <c r="P5" s="41" t="s">
        <v>123</v>
      </c>
      <c r="Q5" s="41" t="s">
        <v>124</v>
      </c>
      <c r="R5" s="41">
        <v>147.36000000000001</v>
      </c>
      <c r="S5" s="41" t="s">
        <v>182</v>
      </c>
      <c r="T5" s="41" t="s">
        <v>63</v>
      </c>
      <c r="U5" s="41" t="s">
        <v>70</v>
      </c>
      <c r="V5" s="41" t="s">
        <v>76</v>
      </c>
      <c r="W5" s="42">
        <v>42314</v>
      </c>
      <c r="X5" s="41" t="s">
        <v>64</v>
      </c>
      <c r="Y5" s="42">
        <v>42310</v>
      </c>
      <c r="Z5" s="41"/>
      <c r="AA5" s="41"/>
      <c r="AB5" s="41"/>
      <c r="AC5" s="41" t="s">
        <v>183</v>
      </c>
      <c r="AD5" s="41" t="s">
        <v>1107</v>
      </c>
      <c r="AE5" s="41" t="s">
        <v>77</v>
      </c>
      <c r="AF5" s="41" t="s">
        <v>1108</v>
      </c>
    </row>
    <row r="6" spans="1:32" x14ac:dyDescent="0.2">
      <c r="A6" s="41">
        <v>10019743</v>
      </c>
      <c r="B6" s="41" t="s">
        <v>26</v>
      </c>
      <c r="C6" s="41" t="s">
        <v>78</v>
      </c>
      <c r="D6" s="42">
        <v>42310</v>
      </c>
      <c r="E6" s="41">
        <v>93570250</v>
      </c>
      <c r="F6" s="42">
        <v>42303</v>
      </c>
      <c r="G6" s="42">
        <v>42305</v>
      </c>
      <c r="H6" s="41">
        <v>1201215</v>
      </c>
      <c r="I6" s="41" t="s">
        <v>138</v>
      </c>
      <c r="J6" s="41">
        <v>1338389</v>
      </c>
      <c r="K6" s="41" t="s">
        <v>822</v>
      </c>
      <c r="L6" s="41">
        <v>1201215</v>
      </c>
      <c r="M6" s="41" t="s">
        <v>138</v>
      </c>
      <c r="N6" s="41" t="s">
        <v>1109</v>
      </c>
      <c r="O6" s="41" t="s">
        <v>181</v>
      </c>
      <c r="P6" s="41" t="s">
        <v>67</v>
      </c>
      <c r="Q6" s="41" t="s">
        <v>68</v>
      </c>
      <c r="R6" s="41">
        <v>995.52</v>
      </c>
      <c r="S6" s="41" t="s">
        <v>182</v>
      </c>
      <c r="T6" s="41" t="s">
        <v>63</v>
      </c>
      <c r="U6" s="41" t="s">
        <v>81</v>
      </c>
      <c r="V6" s="41" t="s">
        <v>88</v>
      </c>
      <c r="W6" s="42">
        <v>42318</v>
      </c>
      <c r="X6" s="41" t="s">
        <v>64</v>
      </c>
      <c r="Y6" s="42">
        <v>42310</v>
      </c>
      <c r="Z6" s="41"/>
      <c r="AA6" s="41"/>
      <c r="AB6" s="41"/>
      <c r="AC6" s="41" t="s">
        <v>183</v>
      </c>
      <c r="AD6" s="41">
        <v>3527002463</v>
      </c>
      <c r="AE6" s="41" t="s">
        <v>89</v>
      </c>
      <c r="AF6" s="41" t="s">
        <v>274</v>
      </c>
    </row>
    <row r="7" spans="1:32" x14ac:dyDescent="0.2">
      <c r="A7" s="41">
        <v>10019744</v>
      </c>
      <c r="B7" s="41" t="s">
        <v>26</v>
      </c>
      <c r="C7" s="41" t="s">
        <v>78</v>
      </c>
      <c r="D7" s="42">
        <v>42310</v>
      </c>
      <c r="E7" s="41">
        <v>93568984</v>
      </c>
      <c r="F7" s="42">
        <v>42300</v>
      </c>
      <c r="G7" s="41"/>
      <c r="H7" s="41">
        <v>1322827</v>
      </c>
      <c r="I7" s="41" t="s">
        <v>253</v>
      </c>
      <c r="J7" s="41">
        <v>1327596</v>
      </c>
      <c r="K7" s="41" t="s">
        <v>449</v>
      </c>
      <c r="L7" s="41">
        <v>1322827</v>
      </c>
      <c r="M7" s="41" t="s">
        <v>253</v>
      </c>
      <c r="N7" s="41">
        <v>1291364</v>
      </c>
      <c r="O7" s="41" t="s">
        <v>181</v>
      </c>
      <c r="P7" s="41" t="s">
        <v>97</v>
      </c>
      <c r="Q7" s="41" t="s">
        <v>98</v>
      </c>
      <c r="R7" s="41">
        <v>2075.04</v>
      </c>
      <c r="S7" s="41" t="s">
        <v>182</v>
      </c>
      <c r="T7" s="41" t="s">
        <v>63</v>
      </c>
      <c r="U7" s="41" t="s">
        <v>81</v>
      </c>
      <c r="V7" s="41" t="s">
        <v>88</v>
      </c>
      <c r="W7" s="42">
        <v>42318</v>
      </c>
      <c r="X7" s="41" t="s">
        <v>64</v>
      </c>
      <c r="Y7" s="42">
        <v>42310</v>
      </c>
      <c r="Z7" s="41"/>
      <c r="AA7" s="41"/>
      <c r="AB7" s="41"/>
      <c r="AC7" s="41" t="s">
        <v>183</v>
      </c>
      <c r="AD7" s="41" t="s">
        <v>1110</v>
      </c>
      <c r="AE7" s="41" t="s">
        <v>89</v>
      </c>
      <c r="AF7" s="41" t="s">
        <v>1111</v>
      </c>
    </row>
    <row r="8" spans="1:32" x14ac:dyDescent="0.2">
      <c r="A8" s="41">
        <v>10019745</v>
      </c>
      <c r="B8" s="41" t="s">
        <v>26</v>
      </c>
      <c r="C8" s="41" t="s">
        <v>78</v>
      </c>
      <c r="D8" s="42">
        <v>42310</v>
      </c>
      <c r="E8" s="41">
        <v>93570262</v>
      </c>
      <c r="F8" s="42">
        <v>42303</v>
      </c>
      <c r="G8" s="42">
        <v>42306</v>
      </c>
      <c r="H8" s="41">
        <v>1201275</v>
      </c>
      <c r="I8" s="41" t="s">
        <v>1112</v>
      </c>
      <c r="J8" s="41">
        <v>1017935</v>
      </c>
      <c r="K8" s="41" t="s">
        <v>1113</v>
      </c>
      <c r="L8" s="41">
        <v>1171097</v>
      </c>
      <c r="M8" s="41" t="s">
        <v>1114</v>
      </c>
      <c r="N8" s="41">
        <v>4521075</v>
      </c>
      <c r="O8" s="41" t="s">
        <v>181</v>
      </c>
      <c r="P8" s="41" t="s">
        <v>67</v>
      </c>
      <c r="Q8" s="41" t="s">
        <v>68</v>
      </c>
      <c r="R8" s="41">
        <v>0</v>
      </c>
      <c r="S8" s="41" t="s">
        <v>182</v>
      </c>
      <c r="T8" s="41" t="s">
        <v>63</v>
      </c>
      <c r="U8" s="41" t="s">
        <v>81</v>
      </c>
      <c r="V8" s="41" t="s">
        <v>82</v>
      </c>
      <c r="W8" s="42">
        <v>42318</v>
      </c>
      <c r="X8" s="41" t="s">
        <v>64</v>
      </c>
      <c r="Y8" s="42">
        <v>42310</v>
      </c>
      <c r="Z8" s="41"/>
      <c r="AA8" s="41"/>
      <c r="AB8" s="41"/>
      <c r="AC8" s="41" t="s">
        <v>183</v>
      </c>
      <c r="AD8" s="41">
        <v>3527002474</v>
      </c>
      <c r="AE8" s="41" t="s">
        <v>84</v>
      </c>
      <c r="AF8" s="41" t="s">
        <v>1115</v>
      </c>
    </row>
    <row r="9" spans="1:32" x14ac:dyDescent="0.2">
      <c r="A9" s="41">
        <v>10019746</v>
      </c>
      <c r="B9" s="41" t="s">
        <v>26</v>
      </c>
      <c r="C9" s="41" t="s">
        <v>78</v>
      </c>
      <c r="D9" s="42">
        <v>42310</v>
      </c>
      <c r="E9" s="41">
        <v>93567463</v>
      </c>
      <c r="F9" s="42">
        <v>42299</v>
      </c>
      <c r="G9" s="41"/>
      <c r="H9" s="41">
        <v>1201047</v>
      </c>
      <c r="I9" s="41" t="s">
        <v>79</v>
      </c>
      <c r="J9" s="41">
        <v>1051671</v>
      </c>
      <c r="K9" s="41" t="s">
        <v>80</v>
      </c>
      <c r="L9" s="41">
        <v>1171089</v>
      </c>
      <c r="M9" s="41" t="s">
        <v>75</v>
      </c>
      <c r="N9" s="41">
        <v>49762748</v>
      </c>
      <c r="O9" s="41" t="s">
        <v>181</v>
      </c>
      <c r="P9" s="41" t="s">
        <v>91</v>
      </c>
      <c r="Q9" s="41" t="s">
        <v>92</v>
      </c>
      <c r="R9" s="41">
        <v>139.19999999999999</v>
      </c>
      <c r="S9" s="41" t="s">
        <v>182</v>
      </c>
      <c r="T9" s="41" t="s">
        <v>63</v>
      </c>
      <c r="U9" s="41" t="s">
        <v>94</v>
      </c>
      <c r="V9" s="41" t="s">
        <v>95</v>
      </c>
      <c r="W9" s="42">
        <v>42318</v>
      </c>
      <c r="X9" s="41" t="s">
        <v>64</v>
      </c>
      <c r="Y9" s="42">
        <v>42310</v>
      </c>
      <c r="Z9" s="41"/>
      <c r="AA9" s="41"/>
      <c r="AB9" s="41"/>
      <c r="AC9" s="41" t="s">
        <v>183</v>
      </c>
      <c r="AD9" s="41" t="s">
        <v>1116</v>
      </c>
      <c r="AE9" s="41" t="s">
        <v>96</v>
      </c>
      <c r="AF9" s="41" t="s">
        <v>1117</v>
      </c>
    </row>
    <row r="10" spans="1:32" x14ac:dyDescent="0.2">
      <c r="A10" s="41">
        <v>10019748</v>
      </c>
      <c r="B10" s="41" t="s">
        <v>26</v>
      </c>
      <c r="C10" s="41" t="s">
        <v>78</v>
      </c>
      <c r="D10" s="42">
        <v>42310</v>
      </c>
      <c r="E10" s="41">
        <v>93574123</v>
      </c>
      <c r="F10" s="42">
        <v>42305</v>
      </c>
      <c r="G10" s="41"/>
      <c r="H10" s="41">
        <v>1201047</v>
      </c>
      <c r="I10" s="41" t="s">
        <v>79</v>
      </c>
      <c r="J10" s="41">
        <v>1307128</v>
      </c>
      <c r="K10" s="41" t="s">
        <v>85</v>
      </c>
      <c r="L10" s="41">
        <v>1171089</v>
      </c>
      <c r="M10" s="41" t="s">
        <v>75</v>
      </c>
      <c r="N10" s="41">
        <v>10490553</v>
      </c>
      <c r="O10" s="41" t="s">
        <v>181</v>
      </c>
      <c r="P10" s="41" t="s">
        <v>91</v>
      </c>
      <c r="Q10" s="41" t="s">
        <v>92</v>
      </c>
      <c r="R10" s="41">
        <v>1660</v>
      </c>
      <c r="S10" s="41" t="s">
        <v>182</v>
      </c>
      <c r="T10" s="41" t="s">
        <v>69</v>
      </c>
      <c r="U10" s="41" t="s">
        <v>94</v>
      </c>
      <c r="V10" s="41" t="s">
        <v>71</v>
      </c>
      <c r="W10" s="42">
        <v>42319</v>
      </c>
      <c r="X10" s="41" t="s">
        <v>64</v>
      </c>
      <c r="Y10" s="42">
        <v>42310</v>
      </c>
      <c r="Z10" s="41" t="s">
        <v>72</v>
      </c>
      <c r="AA10" s="41">
        <v>62021546</v>
      </c>
      <c r="AB10" s="42">
        <v>42319</v>
      </c>
      <c r="AC10" s="41" t="s">
        <v>183</v>
      </c>
      <c r="AD10" s="41" t="s">
        <v>1118</v>
      </c>
      <c r="AE10" s="41" t="s">
        <v>96</v>
      </c>
      <c r="AF10" s="41" t="s">
        <v>1119</v>
      </c>
    </row>
    <row r="11" spans="1:32" x14ac:dyDescent="0.2">
      <c r="A11" s="41">
        <v>10019749</v>
      </c>
      <c r="B11" s="41" t="s">
        <v>22</v>
      </c>
      <c r="C11" s="41" t="s">
        <v>78</v>
      </c>
      <c r="D11" s="42">
        <v>42310</v>
      </c>
      <c r="E11" s="41"/>
      <c r="F11" s="41"/>
      <c r="G11" s="41"/>
      <c r="H11" s="41">
        <v>1201047</v>
      </c>
      <c r="I11" s="41" t="s">
        <v>79</v>
      </c>
      <c r="J11" s="41">
        <v>1307128</v>
      </c>
      <c r="K11" s="41" t="s">
        <v>85</v>
      </c>
      <c r="L11" s="41">
        <v>1171089</v>
      </c>
      <c r="M11" s="41" t="s">
        <v>75</v>
      </c>
      <c r="N11" s="41">
        <v>10490553</v>
      </c>
      <c r="O11" s="41" t="s">
        <v>181</v>
      </c>
      <c r="P11" s="41"/>
      <c r="Q11" s="41"/>
      <c r="R11" s="41">
        <v>1660</v>
      </c>
      <c r="S11" s="41" t="s">
        <v>182</v>
      </c>
      <c r="T11" s="41" t="s">
        <v>63</v>
      </c>
      <c r="U11" s="41"/>
      <c r="V11" s="41"/>
      <c r="W11" s="41"/>
      <c r="X11" s="41" t="s">
        <v>64</v>
      </c>
      <c r="Y11" s="42">
        <v>42310</v>
      </c>
      <c r="Z11" s="41"/>
      <c r="AA11" s="41"/>
      <c r="AB11" s="41"/>
      <c r="AC11" s="41" t="s">
        <v>183</v>
      </c>
      <c r="AD11" s="41"/>
      <c r="AE11" s="41"/>
      <c r="AF11" s="41"/>
    </row>
    <row r="12" spans="1:32" x14ac:dyDescent="0.2">
      <c r="A12" s="41">
        <v>10019750</v>
      </c>
      <c r="B12" s="41" t="s">
        <v>18</v>
      </c>
      <c r="C12" s="41" t="s">
        <v>573</v>
      </c>
      <c r="D12" s="42">
        <v>42311</v>
      </c>
      <c r="E12" s="41">
        <v>93564694</v>
      </c>
      <c r="F12" s="42">
        <v>42297</v>
      </c>
      <c r="G12" s="42">
        <v>42298</v>
      </c>
      <c r="H12" s="41">
        <v>1337184</v>
      </c>
      <c r="I12" s="41" t="s">
        <v>330</v>
      </c>
      <c r="J12" s="41">
        <v>1337199</v>
      </c>
      <c r="K12" s="41" t="s">
        <v>331</v>
      </c>
      <c r="L12" s="41">
        <v>1201767</v>
      </c>
      <c r="M12" s="41" t="s">
        <v>330</v>
      </c>
      <c r="N12" s="41" t="s">
        <v>1120</v>
      </c>
      <c r="O12" s="41" t="s">
        <v>181</v>
      </c>
      <c r="P12" s="41" t="s">
        <v>67</v>
      </c>
      <c r="Q12" s="41" t="s">
        <v>68</v>
      </c>
      <c r="R12" s="41">
        <v>1812</v>
      </c>
      <c r="S12" s="41" t="s">
        <v>182</v>
      </c>
      <c r="T12" s="41" t="s">
        <v>63</v>
      </c>
      <c r="U12" s="41" t="s">
        <v>70</v>
      </c>
      <c r="V12" s="41" t="s">
        <v>76</v>
      </c>
      <c r="W12" s="42">
        <v>42314</v>
      </c>
      <c r="X12" s="41" t="s">
        <v>64</v>
      </c>
      <c r="Y12" s="42">
        <v>42311</v>
      </c>
      <c r="Z12" s="41"/>
      <c r="AA12" s="41"/>
      <c r="AB12" s="41"/>
      <c r="AC12" s="41" t="s">
        <v>183</v>
      </c>
      <c r="AD12" s="41">
        <v>3527001892</v>
      </c>
      <c r="AE12" s="41" t="s">
        <v>77</v>
      </c>
      <c r="AF12" s="41" t="s">
        <v>1121</v>
      </c>
    </row>
    <row r="13" spans="1:32" x14ac:dyDescent="0.2">
      <c r="A13" s="41">
        <v>10019751</v>
      </c>
      <c r="B13" s="41" t="s">
        <v>26</v>
      </c>
      <c r="C13" s="41" t="s">
        <v>78</v>
      </c>
      <c r="D13" s="42">
        <v>42311</v>
      </c>
      <c r="E13" s="41">
        <v>93576109</v>
      </c>
      <c r="F13" s="42">
        <v>42306</v>
      </c>
      <c r="G13" s="41"/>
      <c r="H13" s="41">
        <v>1016311</v>
      </c>
      <c r="I13" s="41" t="s">
        <v>152</v>
      </c>
      <c r="J13" s="41">
        <v>1132034</v>
      </c>
      <c r="K13" s="41" t="s">
        <v>152</v>
      </c>
      <c r="L13" s="41">
        <v>1016311</v>
      </c>
      <c r="M13" s="41" t="s">
        <v>152</v>
      </c>
      <c r="N13" s="41">
        <v>233507</v>
      </c>
      <c r="O13" s="41" t="s">
        <v>181</v>
      </c>
      <c r="P13" s="41" t="s">
        <v>97</v>
      </c>
      <c r="Q13" s="41" t="s">
        <v>98</v>
      </c>
      <c r="R13" s="41">
        <v>733.5</v>
      </c>
      <c r="S13" s="41" t="s">
        <v>182</v>
      </c>
      <c r="T13" s="41" t="s">
        <v>69</v>
      </c>
      <c r="U13" s="41" t="s">
        <v>94</v>
      </c>
      <c r="V13" s="41" t="s">
        <v>71</v>
      </c>
      <c r="W13" s="42">
        <v>42319</v>
      </c>
      <c r="X13" s="41" t="s">
        <v>64</v>
      </c>
      <c r="Y13" s="42">
        <v>42311</v>
      </c>
      <c r="Z13" s="41" t="s">
        <v>72</v>
      </c>
      <c r="AA13" s="41">
        <v>62021548</v>
      </c>
      <c r="AB13" s="42">
        <v>42319</v>
      </c>
      <c r="AC13" s="41" t="s">
        <v>183</v>
      </c>
      <c r="AD13" s="41">
        <v>87944972662141</v>
      </c>
      <c r="AE13" s="41" t="s">
        <v>96</v>
      </c>
      <c r="AF13" s="41" t="s">
        <v>1119</v>
      </c>
    </row>
    <row r="14" spans="1:32" x14ac:dyDescent="0.2">
      <c r="A14" s="41">
        <v>10019752</v>
      </c>
      <c r="B14" s="41" t="s">
        <v>22</v>
      </c>
      <c r="C14" s="41" t="s">
        <v>78</v>
      </c>
      <c r="D14" s="42">
        <v>42311</v>
      </c>
      <c r="E14" s="41"/>
      <c r="F14" s="41"/>
      <c r="G14" s="41"/>
      <c r="H14" s="41">
        <v>1016311</v>
      </c>
      <c r="I14" s="41" t="s">
        <v>152</v>
      </c>
      <c r="J14" s="41">
        <v>1132034</v>
      </c>
      <c r="K14" s="41" t="s">
        <v>152</v>
      </c>
      <c r="L14" s="41">
        <v>1016311</v>
      </c>
      <c r="M14" s="41" t="s">
        <v>152</v>
      </c>
      <c r="N14" s="41">
        <v>233507</v>
      </c>
      <c r="O14" s="41" t="s">
        <v>181</v>
      </c>
      <c r="P14" s="41"/>
      <c r="Q14" s="41"/>
      <c r="R14" s="41">
        <v>733.5</v>
      </c>
      <c r="S14" s="41" t="s">
        <v>182</v>
      </c>
      <c r="T14" s="41" t="s">
        <v>63</v>
      </c>
      <c r="U14" s="41"/>
      <c r="V14" s="41"/>
      <c r="W14" s="41"/>
      <c r="X14" s="41" t="s">
        <v>64</v>
      </c>
      <c r="Y14" s="42">
        <v>42311</v>
      </c>
      <c r="Z14" s="41"/>
      <c r="AA14" s="41"/>
      <c r="AB14" s="41"/>
      <c r="AC14" s="41" t="s">
        <v>183</v>
      </c>
      <c r="AD14" s="41"/>
      <c r="AE14" s="41"/>
      <c r="AF14" s="41"/>
    </row>
    <row r="15" spans="1:32" x14ac:dyDescent="0.2">
      <c r="A15" s="41">
        <v>10019753</v>
      </c>
      <c r="B15" s="41" t="s">
        <v>26</v>
      </c>
      <c r="C15" s="41" t="s">
        <v>78</v>
      </c>
      <c r="D15" s="42">
        <v>42311</v>
      </c>
      <c r="E15" s="41">
        <v>93574413</v>
      </c>
      <c r="F15" s="42">
        <v>42305</v>
      </c>
      <c r="G15" s="41"/>
      <c r="H15" s="41">
        <v>1318826</v>
      </c>
      <c r="I15" s="41" t="s">
        <v>110</v>
      </c>
      <c r="J15" s="41">
        <v>1334311</v>
      </c>
      <c r="K15" s="41" t="s">
        <v>113</v>
      </c>
      <c r="L15" s="41">
        <v>1318826</v>
      </c>
      <c r="M15" s="41" t="s">
        <v>110</v>
      </c>
      <c r="N15" s="41">
        <v>2052192</v>
      </c>
      <c r="O15" s="41" t="s">
        <v>181</v>
      </c>
      <c r="P15" s="41" t="s">
        <v>102</v>
      </c>
      <c r="Q15" s="41" t="s">
        <v>103</v>
      </c>
      <c r="R15" s="41">
        <v>234.36</v>
      </c>
      <c r="S15" s="41" t="s">
        <v>182</v>
      </c>
      <c r="T15" s="41" t="s">
        <v>63</v>
      </c>
      <c r="U15" s="41" t="s">
        <v>94</v>
      </c>
      <c r="V15" s="41" t="s">
        <v>95</v>
      </c>
      <c r="W15" s="42">
        <v>42328</v>
      </c>
      <c r="X15" s="41" t="s">
        <v>64</v>
      </c>
      <c r="Y15" s="42">
        <v>42311</v>
      </c>
      <c r="Z15" s="41"/>
      <c r="AA15" s="41"/>
      <c r="AB15" s="41"/>
      <c r="AC15" s="41" t="s">
        <v>183</v>
      </c>
      <c r="AD15" s="41">
        <v>649275097151</v>
      </c>
      <c r="AE15" s="41" t="s">
        <v>96</v>
      </c>
      <c r="AF15" s="41" t="s">
        <v>1122</v>
      </c>
    </row>
    <row r="16" spans="1:32" x14ac:dyDescent="0.2">
      <c r="A16" s="41">
        <v>10019754</v>
      </c>
      <c r="B16" s="41" t="s">
        <v>26</v>
      </c>
      <c r="C16" s="41" t="s">
        <v>78</v>
      </c>
      <c r="D16" s="42">
        <v>42311</v>
      </c>
      <c r="E16" s="41">
        <v>93572271</v>
      </c>
      <c r="F16" s="42">
        <v>42304</v>
      </c>
      <c r="G16" s="41"/>
      <c r="H16" s="41">
        <v>1201047</v>
      </c>
      <c r="I16" s="41" t="s">
        <v>79</v>
      </c>
      <c r="J16" s="41">
        <v>1311671</v>
      </c>
      <c r="K16" s="41" t="s">
        <v>90</v>
      </c>
      <c r="L16" s="41">
        <v>1171089</v>
      </c>
      <c r="M16" s="41" t="s">
        <v>75</v>
      </c>
      <c r="N16" s="41">
        <v>21464221</v>
      </c>
      <c r="O16" s="41" t="s">
        <v>181</v>
      </c>
      <c r="P16" s="41" t="s">
        <v>91</v>
      </c>
      <c r="Q16" s="41" t="s">
        <v>92</v>
      </c>
      <c r="R16" s="41">
        <v>0</v>
      </c>
      <c r="S16" s="41" t="s">
        <v>182</v>
      </c>
      <c r="T16" s="41" t="s">
        <v>63</v>
      </c>
      <c r="U16" s="41" t="s">
        <v>81</v>
      </c>
      <c r="V16" s="41" t="s">
        <v>88</v>
      </c>
      <c r="W16" s="42">
        <v>42318</v>
      </c>
      <c r="X16" s="41" t="s">
        <v>83</v>
      </c>
      <c r="Y16" s="42">
        <v>42320</v>
      </c>
      <c r="Z16" s="41"/>
      <c r="AA16" s="41"/>
      <c r="AB16" s="41"/>
      <c r="AC16" s="41" t="s">
        <v>183</v>
      </c>
      <c r="AD16" s="41" t="s">
        <v>1123</v>
      </c>
      <c r="AE16" s="41" t="s">
        <v>89</v>
      </c>
      <c r="AF16" s="41" t="s">
        <v>274</v>
      </c>
    </row>
    <row r="17" spans="1:32" x14ac:dyDescent="0.2">
      <c r="A17" s="41">
        <v>10019755</v>
      </c>
      <c r="B17" s="41" t="s">
        <v>26</v>
      </c>
      <c r="C17" s="41" t="s">
        <v>78</v>
      </c>
      <c r="D17" s="42">
        <v>42311</v>
      </c>
      <c r="E17" s="41">
        <v>93564193</v>
      </c>
      <c r="F17" s="42">
        <v>42297</v>
      </c>
      <c r="G17" s="41"/>
      <c r="H17" s="41">
        <v>1201047</v>
      </c>
      <c r="I17" s="41" t="s">
        <v>79</v>
      </c>
      <c r="J17" s="41">
        <v>1311671</v>
      </c>
      <c r="K17" s="41" t="s">
        <v>90</v>
      </c>
      <c r="L17" s="41">
        <v>1171089</v>
      </c>
      <c r="M17" s="41" t="s">
        <v>75</v>
      </c>
      <c r="N17" s="41">
        <v>21463488</v>
      </c>
      <c r="O17" s="41" t="s">
        <v>181</v>
      </c>
      <c r="P17" s="41" t="s">
        <v>91</v>
      </c>
      <c r="Q17" s="41" t="s">
        <v>92</v>
      </c>
      <c r="R17" s="41">
        <v>4200</v>
      </c>
      <c r="S17" s="41" t="s">
        <v>182</v>
      </c>
      <c r="T17" s="41" t="s">
        <v>63</v>
      </c>
      <c r="U17" s="41" t="s">
        <v>81</v>
      </c>
      <c r="V17" s="41" t="s">
        <v>88</v>
      </c>
      <c r="W17" s="42">
        <v>42318</v>
      </c>
      <c r="X17" s="41" t="s">
        <v>64</v>
      </c>
      <c r="Y17" s="42">
        <v>42311</v>
      </c>
      <c r="Z17" s="41"/>
      <c r="AA17" s="41"/>
      <c r="AB17" s="41"/>
      <c r="AC17" s="41" t="s">
        <v>183</v>
      </c>
      <c r="AD17" s="41" t="s">
        <v>1124</v>
      </c>
      <c r="AE17" s="41" t="s">
        <v>89</v>
      </c>
      <c r="AF17" s="41" t="s">
        <v>274</v>
      </c>
    </row>
    <row r="18" spans="1:32" x14ac:dyDescent="0.2">
      <c r="A18" s="41">
        <v>10019757</v>
      </c>
      <c r="B18" s="41" t="s">
        <v>22</v>
      </c>
      <c r="C18" s="41" t="s">
        <v>78</v>
      </c>
      <c r="D18" s="42">
        <v>42311</v>
      </c>
      <c r="E18" s="41"/>
      <c r="F18" s="41"/>
      <c r="G18" s="41"/>
      <c r="H18" s="41">
        <v>1319184</v>
      </c>
      <c r="I18" s="41" t="s">
        <v>479</v>
      </c>
      <c r="J18" s="41">
        <v>1319184</v>
      </c>
      <c r="K18" s="41" t="s">
        <v>479</v>
      </c>
      <c r="L18" s="41">
        <v>1319184</v>
      </c>
      <c r="M18" s="41" t="s">
        <v>479</v>
      </c>
      <c r="N18" s="41">
        <v>563658</v>
      </c>
      <c r="O18" s="41" t="s">
        <v>181</v>
      </c>
      <c r="P18" s="41"/>
      <c r="Q18" s="41"/>
      <c r="R18" s="41">
        <v>7995.72</v>
      </c>
      <c r="S18" s="41" t="s">
        <v>182</v>
      </c>
      <c r="T18" s="41" t="s">
        <v>63</v>
      </c>
      <c r="U18" s="41" t="s">
        <v>94</v>
      </c>
      <c r="V18" s="41" t="s">
        <v>82</v>
      </c>
      <c r="W18" s="42">
        <v>42314</v>
      </c>
      <c r="X18" s="41" t="s">
        <v>64</v>
      </c>
      <c r="Y18" s="42">
        <v>42311</v>
      </c>
      <c r="Z18" s="41"/>
      <c r="AA18" s="41"/>
      <c r="AB18" s="41"/>
      <c r="AC18" s="41" t="s">
        <v>183</v>
      </c>
      <c r="AD18" s="41"/>
      <c r="AE18" s="41" t="s">
        <v>142</v>
      </c>
      <c r="AF18" s="41" t="s">
        <v>1125</v>
      </c>
    </row>
    <row r="19" spans="1:32" x14ac:dyDescent="0.2">
      <c r="A19" s="41">
        <v>10019758</v>
      </c>
      <c r="B19" s="41" t="s">
        <v>26</v>
      </c>
      <c r="C19" s="41" t="s">
        <v>78</v>
      </c>
      <c r="D19" s="42">
        <v>42311</v>
      </c>
      <c r="E19" s="41">
        <v>93548039</v>
      </c>
      <c r="F19" s="42">
        <v>42283</v>
      </c>
      <c r="G19" s="41"/>
      <c r="H19" s="41">
        <v>1201605</v>
      </c>
      <c r="I19" s="41" t="s">
        <v>155</v>
      </c>
      <c r="J19" s="41">
        <v>1023292</v>
      </c>
      <c r="K19" s="41" t="s">
        <v>155</v>
      </c>
      <c r="L19" s="41">
        <v>1172017</v>
      </c>
      <c r="M19" s="41" t="s">
        <v>155</v>
      </c>
      <c r="N19" s="41">
        <v>538611</v>
      </c>
      <c r="O19" s="41" t="s">
        <v>181</v>
      </c>
      <c r="P19" s="41" t="s">
        <v>97</v>
      </c>
      <c r="Q19" s="41" t="s">
        <v>98</v>
      </c>
      <c r="R19" s="41">
        <v>23191.68</v>
      </c>
      <c r="S19" s="41" t="s">
        <v>182</v>
      </c>
      <c r="T19" s="41" t="s">
        <v>69</v>
      </c>
      <c r="U19" s="41" t="s">
        <v>94</v>
      </c>
      <c r="V19" s="41" t="s">
        <v>95</v>
      </c>
      <c r="W19" s="42">
        <v>42324</v>
      </c>
      <c r="X19" s="41" t="s">
        <v>64</v>
      </c>
      <c r="Y19" s="42">
        <v>42311</v>
      </c>
      <c r="Z19" s="41" t="s">
        <v>100</v>
      </c>
      <c r="AA19" s="41">
        <v>62029300</v>
      </c>
      <c r="AB19" s="42">
        <v>42331</v>
      </c>
      <c r="AC19" s="41" t="s">
        <v>183</v>
      </c>
      <c r="AD19" s="41">
        <v>87944972579999</v>
      </c>
      <c r="AE19" s="41" t="s">
        <v>96</v>
      </c>
      <c r="AF19" s="41" t="s">
        <v>1126</v>
      </c>
    </row>
    <row r="20" spans="1:32" x14ac:dyDescent="0.2">
      <c r="A20" s="41">
        <v>10019761</v>
      </c>
      <c r="B20" s="41" t="s">
        <v>18</v>
      </c>
      <c r="C20" s="41" t="s">
        <v>78</v>
      </c>
      <c r="D20" s="42">
        <v>42312</v>
      </c>
      <c r="E20" s="41">
        <v>93579726</v>
      </c>
      <c r="F20" s="42">
        <v>42310</v>
      </c>
      <c r="G20" s="41"/>
      <c r="H20" s="41">
        <v>1201120</v>
      </c>
      <c r="I20" s="41" t="s">
        <v>117</v>
      </c>
      <c r="J20" s="41">
        <v>1307782</v>
      </c>
      <c r="K20" s="41" t="s">
        <v>119</v>
      </c>
      <c r="L20" s="41">
        <v>1171090</v>
      </c>
      <c r="M20" s="41" t="s">
        <v>118</v>
      </c>
      <c r="N20" s="41" t="s">
        <v>1127</v>
      </c>
      <c r="O20" s="41" t="s">
        <v>181</v>
      </c>
      <c r="P20" s="41" t="s">
        <v>121</v>
      </c>
      <c r="Q20" s="41" t="s">
        <v>122</v>
      </c>
      <c r="R20" s="41">
        <v>145.75</v>
      </c>
      <c r="S20" s="41" t="s">
        <v>182</v>
      </c>
      <c r="T20" s="41" t="s">
        <v>63</v>
      </c>
      <c r="U20" s="41" t="s">
        <v>70</v>
      </c>
      <c r="V20" s="41" t="s">
        <v>76</v>
      </c>
      <c r="W20" s="42">
        <v>42314</v>
      </c>
      <c r="X20" s="41" t="s">
        <v>64</v>
      </c>
      <c r="Y20" s="42">
        <v>42312</v>
      </c>
      <c r="Z20" s="41"/>
      <c r="AA20" s="41"/>
      <c r="AB20" s="41"/>
      <c r="AC20" s="41" t="s">
        <v>183</v>
      </c>
      <c r="AD20" s="41" t="s">
        <v>1128</v>
      </c>
      <c r="AE20" s="41" t="s">
        <v>77</v>
      </c>
      <c r="AF20" s="41" t="s">
        <v>323</v>
      </c>
    </row>
    <row r="21" spans="1:32" x14ac:dyDescent="0.2">
      <c r="A21" s="41">
        <v>10019763</v>
      </c>
      <c r="B21" s="41" t="s">
        <v>18</v>
      </c>
      <c r="C21" s="41" t="s">
        <v>78</v>
      </c>
      <c r="D21" s="42">
        <v>42312</v>
      </c>
      <c r="E21" s="41">
        <v>93579725</v>
      </c>
      <c r="F21" s="42">
        <v>42310</v>
      </c>
      <c r="G21" s="41"/>
      <c r="H21" s="41">
        <v>1201120</v>
      </c>
      <c r="I21" s="41" t="s">
        <v>117</v>
      </c>
      <c r="J21" s="41">
        <v>1307782</v>
      </c>
      <c r="K21" s="41" t="s">
        <v>119</v>
      </c>
      <c r="L21" s="41">
        <v>1171090</v>
      </c>
      <c r="M21" s="41" t="s">
        <v>118</v>
      </c>
      <c r="N21" s="41" t="s">
        <v>1127</v>
      </c>
      <c r="O21" s="41" t="s">
        <v>181</v>
      </c>
      <c r="P21" s="41" t="s">
        <v>121</v>
      </c>
      <c r="Q21" s="41" t="s">
        <v>122</v>
      </c>
      <c r="R21" s="41">
        <v>57.6</v>
      </c>
      <c r="S21" s="41" t="s">
        <v>182</v>
      </c>
      <c r="T21" s="41" t="s">
        <v>63</v>
      </c>
      <c r="U21" s="41" t="s">
        <v>70</v>
      </c>
      <c r="V21" s="41" t="s">
        <v>76</v>
      </c>
      <c r="W21" s="42">
        <v>42314</v>
      </c>
      <c r="X21" s="41" t="s">
        <v>64</v>
      </c>
      <c r="Y21" s="42">
        <v>42312</v>
      </c>
      <c r="Z21" s="41"/>
      <c r="AA21" s="41"/>
      <c r="AB21" s="41"/>
      <c r="AC21" s="41" t="s">
        <v>183</v>
      </c>
      <c r="AD21" s="41" t="s">
        <v>1128</v>
      </c>
      <c r="AE21" s="41" t="s">
        <v>77</v>
      </c>
      <c r="AF21" s="41" t="s">
        <v>170</v>
      </c>
    </row>
    <row r="22" spans="1:32" x14ac:dyDescent="0.2">
      <c r="A22" s="41">
        <v>10019765</v>
      </c>
      <c r="B22" s="41" t="s">
        <v>26</v>
      </c>
      <c r="C22" s="41" t="s">
        <v>78</v>
      </c>
      <c r="D22" s="42">
        <v>42312</v>
      </c>
      <c r="E22" s="41">
        <v>93480239</v>
      </c>
      <c r="F22" s="42">
        <v>42229</v>
      </c>
      <c r="G22" s="42">
        <v>42233</v>
      </c>
      <c r="H22" s="41">
        <v>1201540</v>
      </c>
      <c r="I22" s="41" t="s">
        <v>150</v>
      </c>
      <c r="J22" s="41">
        <v>1312297</v>
      </c>
      <c r="K22" s="41" t="s">
        <v>151</v>
      </c>
      <c r="L22" s="41">
        <v>1201540</v>
      </c>
      <c r="M22" s="41" t="s">
        <v>150</v>
      </c>
      <c r="N22" s="41" t="s">
        <v>397</v>
      </c>
      <c r="O22" s="41" t="s">
        <v>181</v>
      </c>
      <c r="P22" s="41" t="s">
        <v>67</v>
      </c>
      <c r="Q22" s="41" t="s">
        <v>68</v>
      </c>
      <c r="R22" s="41">
        <v>2068.08</v>
      </c>
      <c r="S22" s="41" t="s">
        <v>182</v>
      </c>
      <c r="T22" s="41" t="s">
        <v>63</v>
      </c>
      <c r="U22" s="41" t="s">
        <v>94</v>
      </c>
      <c r="V22" s="41" t="s">
        <v>95</v>
      </c>
      <c r="W22" s="42">
        <v>42318</v>
      </c>
      <c r="X22" s="41" t="s">
        <v>64</v>
      </c>
      <c r="Y22" s="42">
        <v>42312</v>
      </c>
      <c r="Z22" s="41"/>
      <c r="AA22" s="41"/>
      <c r="AB22" s="41"/>
      <c r="AC22" s="41" t="s">
        <v>183</v>
      </c>
      <c r="AD22" s="41">
        <v>3511786460</v>
      </c>
      <c r="AE22" s="41" t="s">
        <v>96</v>
      </c>
      <c r="AF22" s="41" t="s">
        <v>1129</v>
      </c>
    </row>
    <row r="23" spans="1:32" x14ac:dyDescent="0.2">
      <c r="A23" s="41">
        <v>10019766</v>
      </c>
      <c r="B23" s="41" t="s">
        <v>18</v>
      </c>
      <c r="C23" s="41" t="s">
        <v>78</v>
      </c>
      <c r="D23" s="42">
        <v>42312</v>
      </c>
      <c r="E23" s="41">
        <v>93581421</v>
      </c>
      <c r="F23" s="42">
        <v>42311</v>
      </c>
      <c r="G23" s="41"/>
      <c r="H23" s="41">
        <v>1201120</v>
      </c>
      <c r="I23" s="41" t="s">
        <v>117</v>
      </c>
      <c r="J23" s="41">
        <v>1307782</v>
      </c>
      <c r="K23" s="41" t="s">
        <v>119</v>
      </c>
      <c r="L23" s="41">
        <v>1171090</v>
      </c>
      <c r="M23" s="41" t="s">
        <v>118</v>
      </c>
      <c r="N23" s="41" t="s">
        <v>1130</v>
      </c>
      <c r="O23" s="41" t="s">
        <v>181</v>
      </c>
      <c r="P23" s="41" t="s">
        <v>121</v>
      </c>
      <c r="Q23" s="41" t="s">
        <v>122</v>
      </c>
      <c r="R23" s="41">
        <v>21369.599999999999</v>
      </c>
      <c r="S23" s="41" t="s">
        <v>182</v>
      </c>
      <c r="T23" s="41" t="s">
        <v>69</v>
      </c>
      <c r="U23" s="41" t="s">
        <v>70</v>
      </c>
      <c r="V23" s="41" t="s">
        <v>71</v>
      </c>
      <c r="W23" s="42">
        <v>42321</v>
      </c>
      <c r="X23" s="41" t="s">
        <v>83</v>
      </c>
      <c r="Y23" s="42">
        <v>42312</v>
      </c>
      <c r="Z23" s="41" t="s">
        <v>72</v>
      </c>
      <c r="AA23" s="41">
        <v>62027409</v>
      </c>
      <c r="AB23" s="42">
        <v>42327</v>
      </c>
      <c r="AC23" s="41" t="s">
        <v>183</v>
      </c>
      <c r="AD23" s="41" t="s">
        <v>1128</v>
      </c>
      <c r="AE23" s="41" t="s">
        <v>134</v>
      </c>
      <c r="AF23" s="41" t="s">
        <v>1131</v>
      </c>
    </row>
    <row r="24" spans="1:32" x14ac:dyDescent="0.2">
      <c r="A24" s="41">
        <v>10019767</v>
      </c>
      <c r="B24" s="41" t="s">
        <v>22</v>
      </c>
      <c r="C24" s="41" t="s">
        <v>78</v>
      </c>
      <c r="D24" s="42">
        <v>42312</v>
      </c>
      <c r="E24" s="41">
        <v>93574363</v>
      </c>
      <c r="F24" s="42">
        <v>42305</v>
      </c>
      <c r="G24" s="42">
        <v>42307</v>
      </c>
      <c r="H24" s="41">
        <v>1201605</v>
      </c>
      <c r="I24" s="41" t="s">
        <v>155</v>
      </c>
      <c r="J24" s="41">
        <v>1323069</v>
      </c>
      <c r="K24" s="41" t="s">
        <v>155</v>
      </c>
      <c r="L24" s="41">
        <v>1172017</v>
      </c>
      <c r="M24" s="41" t="s">
        <v>155</v>
      </c>
      <c r="N24" s="41">
        <v>542718</v>
      </c>
      <c r="O24" s="41" t="s">
        <v>181</v>
      </c>
      <c r="P24" s="41" t="s">
        <v>67</v>
      </c>
      <c r="Q24" s="41" t="s">
        <v>68</v>
      </c>
      <c r="R24" s="41">
        <v>830</v>
      </c>
      <c r="S24" s="41" t="s">
        <v>182</v>
      </c>
      <c r="T24" s="41" t="s">
        <v>63</v>
      </c>
      <c r="U24" s="41" t="s">
        <v>94</v>
      </c>
      <c r="V24" s="41" t="s">
        <v>82</v>
      </c>
      <c r="W24" s="42">
        <v>42324</v>
      </c>
      <c r="X24" s="41" t="s">
        <v>64</v>
      </c>
      <c r="Y24" s="42">
        <v>42312</v>
      </c>
      <c r="Z24" s="41"/>
      <c r="AA24" s="41"/>
      <c r="AB24" s="41"/>
      <c r="AC24" s="41" t="s">
        <v>183</v>
      </c>
      <c r="AD24" s="41">
        <v>3527002813</v>
      </c>
      <c r="AE24" s="41" t="s">
        <v>142</v>
      </c>
      <c r="AF24" s="41" t="s">
        <v>1132</v>
      </c>
    </row>
    <row r="25" spans="1:32" x14ac:dyDescent="0.2">
      <c r="A25" s="41">
        <v>10019768</v>
      </c>
      <c r="B25" s="41" t="s">
        <v>26</v>
      </c>
      <c r="C25" s="41" t="s">
        <v>78</v>
      </c>
      <c r="D25" s="42">
        <v>42312</v>
      </c>
      <c r="E25" s="41">
        <v>93569975</v>
      </c>
      <c r="F25" s="42">
        <v>42303</v>
      </c>
      <c r="G25" s="41"/>
      <c r="H25" s="41">
        <v>1201047</v>
      </c>
      <c r="I25" s="41" t="s">
        <v>79</v>
      </c>
      <c r="J25" s="41">
        <v>1038994</v>
      </c>
      <c r="K25" s="41" t="s">
        <v>80</v>
      </c>
      <c r="L25" s="41">
        <v>1171089</v>
      </c>
      <c r="M25" s="41" t="s">
        <v>75</v>
      </c>
      <c r="N25" s="41">
        <v>40441607</v>
      </c>
      <c r="O25" s="41" t="s">
        <v>181</v>
      </c>
      <c r="P25" s="41" t="s">
        <v>86</v>
      </c>
      <c r="Q25" s="41" t="s">
        <v>87</v>
      </c>
      <c r="R25" s="41">
        <v>1660</v>
      </c>
      <c r="S25" s="41" t="s">
        <v>182</v>
      </c>
      <c r="T25" s="41" t="s">
        <v>69</v>
      </c>
      <c r="U25" s="41" t="s">
        <v>94</v>
      </c>
      <c r="V25" s="41" t="s">
        <v>71</v>
      </c>
      <c r="W25" s="42">
        <v>42319</v>
      </c>
      <c r="X25" s="41" t="s">
        <v>64</v>
      </c>
      <c r="Y25" s="42">
        <v>42312</v>
      </c>
      <c r="Z25" s="41" t="s">
        <v>72</v>
      </c>
      <c r="AA25" s="41">
        <v>62021549</v>
      </c>
      <c r="AB25" s="42">
        <v>42319</v>
      </c>
      <c r="AC25" s="41" t="s">
        <v>183</v>
      </c>
      <c r="AD25" s="41" t="s">
        <v>1133</v>
      </c>
      <c r="AE25" s="41" t="s">
        <v>96</v>
      </c>
      <c r="AF25" s="41" t="s">
        <v>1119</v>
      </c>
    </row>
    <row r="26" spans="1:32" x14ac:dyDescent="0.2">
      <c r="A26" s="41">
        <v>10019769</v>
      </c>
      <c r="B26" s="41" t="s">
        <v>26</v>
      </c>
      <c r="C26" s="41" t="s">
        <v>573</v>
      </c>
      <c r="D26" s="42">
        <v>42312</v>
      </c>
      <c r="E26" s="41">
        <v>93565630</v>
      </c>
      <c r="F26" s="42">
        <v>42298</v>
      </c>
      <c r="G26" s="41"/>
      <c r="H26" s="41">
        <v>1201108</v>
      </c>
      <c r="I26" s="41" t="s">
        <v>674</v>
      </c>
      <c r="J26" s="41">
        <v>1201108</v>
      </c>
      <c r="K26" s="41" t="s">
        <v>674</v>
      </c>
      <c r="L26" s="41">
        <v>1201108</v>
      </c>
      <c r="M26" s="41" t="s">
        <v>674</v>
      </c>
      <c r="N26" s="41">
        <v>311411</v>
      </c>
      <c r="O26" s="41" t="s">
        <v>235</v>
      </c>
      <c r="P26" s="41" t="s">
        <v>102</v>
      </c>
      <c r="Q26" s="41" t="s">
        <v>103</v>
      </c>
      <c r="R26" s="41">
        <v>489.6</v>
      </c>
      <c r="S26" s="41" t="s">
        <v>182</v>
      </c>
      <c r="T26" s="41" t="s">
        <v>63</v>
      </c>
      <c r="U26" s="41" t="s">
        <v>94</v>
      </c>
      <c r="V26" s="41" t="s">
        <v>95</v>
      </c>
      <c r="W26" s="42">
        <v>42318</v>
      </c>
      <c r="X26" s="41" t="s">
        <v>64</v>
      </c>
      <c r="Y26" s="42">
        <v>42312</v>
      </c>
      <c r="Z26" s="41"/>
      <c r="AA26" s="41"/>
      <c r="AB26" s="41"/>
      <c r="AC26" s="41" t="s">
        <v>183</v>
      </c>
      <c r="AD26" s="41">
        <v>649275085890</v>
      </c>
      <c r="AE26" s="41" t="s">
        <v>96</v>
      </c>
      <c r="AF26" s="41" t="s">
        <v>1134</v>
      </c>
    </row>
    <row r="27" spans="1:32" x14ac:dyDescent="0.2">
      <c r="A27" s="41">
        <v>10019770</v>
      </c>
      <c r="B27" s="41" t="s">
        <v>26</v>
      </c>
      <c r="C27" s="41" t="s">
        <v>78</v>
      </c>
      <c r="D27" s="42">
        <v>42312</v>
      </c>
      <c r="E27" s="41">
        <v>93577321</v>
      </c>
      <c r="F27" s="42">
        <v>42307</v>
      </c>
      <c r="G27" s="41"/>
      <c r="H27" s="41">
        <v>1201047</v>
      </c>
      <c r="I27" s="41" t="s">
        <v>79</v>
      </c>
      <c r="J27" s="41">
        <v>1051549</v>
      </c>
      <c r="K27" s="41" t="s">
        <v>85</v>
      </c>
      <c r="L27" s="41">
        <v>1171089</v>
      </c>
      <c r="M27" s="41" t="s">
        <v>75</v>
      </c>
      <c r="N27" s="41">
        <v>12912694</v>
      </c>
      <c r="O27" s="41" t="s">
        <v>181</v>
      </c>
      <c r="P27" s="41" t="s">
        <v>91</v>
      </c>
      <c r="Q27" s="41" t="s">
        <v>92</v>
      </c>
      <c r="R27" s="41">
        <v>117.6</v>
      </c>
      <c r="S27" s="41" t="s">
        <v>182</v>
      </c>
      <c r="T27" s="41" t="s">
        <v>63</v>
      </c>
      <c r="U27" s="41" t="s">
        <v>70</v>
      </c>
      <c r="V27" s="41" t="s">
        <v>88</v>
      </c>
      <c r="W27" s="42">
        <v>42318</v>
      </c>
      <c r="X27" s="41" t="s">
        <v>64</v>
      </c>
      <c r="Y27" s="42">
        <v>42312</v>
      </c>
      <c r="Z27" s="41"/>
      <c r="AA27" s="41"/>
      <c r="AB27" s="41"/>
      <c r="AC27" s="41" t="s">
        <v>183</v>
      </c>
      <c r="AD27" s="41" t="s">
        <v>1135</v>
      </c>
      <c r="AE27" s="41" t="s">
        <v>89</v>
      </c>
      <c r="AF27" s="41" t="s">
        <v>193</v>
      </c>
    </row>
    <row r="28" spans="1:32" x14ac:dyDescent="0.2">
      <c r="A28" s="41">
        <v>10019771</v>
      </c>
      <c r="B28" s="41" t="s">
        <v>18</v>
      </c>
      <c r="C28" s="41" t="s">
        <v>78</v>
      </c>
      <c r="D28" s="42">
        <v>42312</v>
      </c>
      <c r="E28" s="41">
        <v>93576500</v>
      </c>
      <c r="F28" s="42">
        <v>42306</v>
      </c>
      <c r="G28" s="42">
        <v>42307</v>
      </c>
      <c r="H28" s="41">
        <v>1201483</v>
      </c>
      <c r="I28" s="41" t="s">
        <v>147</v>
      </c>
      <c r="J28" s="41">
        <v>1001169</v>
      </c>
      <c r="K28" s="41" t="s">
        <v>148</v>
      </c>
      <c r="L28" s="41">
        <v>1201483</v>
      </c>
      <c r="M28" s="41" t="s">
        <v>147</v>
      </c>
      <c r="N28" s="41">
        <v>94735</v>
      </c>
      <c r="O28" s="41" t="s">
        <v>181</v>
      </c>
      <c r="P28" s="41" t="s">
        <v>67</v>
      </c>
      <c r="Q28" s="41" t="s">
        <v>68</v>
      </c>
      <c r="R28" s="41">
        <v>11.58</v>
      </c>
      <c r="S28" s="41" t="s">
        <v>182</v>
      </c>
      <c r="T28" s="41" t="s">
        <v>63</v>
      </c>
      <c r="U28" s="41" t="s">
        <v>70</v>
      </c>
      <c r="V28" s="41" t="s">
        <v>76</v>
      </c>
      <c r="W28" s="42">
        <v>42314</v>
      </c>
      <c r="X28" s="41" t="s">
        <v>64</v>
      </c>
      <c r="Y28" s="42">
        <v>42312</v>
      </c>
      <c r="Z28" s="41"/>
      <c r="AA28" s="41"/>
      <c r="AB28" s="41"/>
      <c r="AC28" s="41" t="s">
        <v>183</v>
      </c>
      <c r="AD28" s="41">
        <v>3527003115</v>
      </c>
      <c r="AE28" s="41" t="s">
        <v>77</v>
      </c>
      <c r="AF28" s="41" t="s">
        <v>196</v>
      </c>
    </row>
    <row r="29" spans="1:32" x14ac:dyDescent="0.2">
      <c r="A29" s="41">
        <v>10019772</v>
      </c>
      <c r="B29" s="41" t="s">
        <v>22</v>
      </c>
      <c r="C29" s="41" t="s">
        <v>78</v>
      </c>
      <c r="D29" s="42">
        <v>42312</v>
      </c>
      <c r="E29" s="41">
        <v>93580048</v>
      </c>
      <c r="F29" s="42">
        <v>42310</v>
      </c>
      <c r="G29" s="41"/>
      <c r="H29" s="41">
        <v>1318826</v>
      </c>
      <c r="I29" s="41" t="s">
        <v>110</v>
      </c>
      <c r="J29" s="41">
        <v>1334311</v>
      </c>
      <c r="K29" s="41" t="s">
        <v>113</v>
      </c>
      <c r="L29" s="41">
        <v>1318826</v>
      </c>
      <c r="M29" s="41" t="s">
        <v>110</v>
      </c>
      <c r="N29" s="41">
        <v>2052282</v>
      </c>
      <c r="O29" s="41" t="s">
        <v>181</v>
      </c>
      <c r="P29" s="41" t="s">
        <v>91</v>
      </c>
      <c r="Q29" s="41" t="s">
        <v>92</v>
      </c>
      <c r="R29" s="41">
        <v>3150</v>
      </c>
      <c r="S29" s="41" t="s">
        <v>182</v>
      </c>
      <c r="T29" s="41" t="s">
        <v>63</v>
      </c>
      <c r="U29" s="41"/>
      <c r="V29" s="41"/>
      <c r="W29" s="41"/>
      <c r="X29" s="41" t="s">
        <v>64</v>
      </c>
      <c r="Y29" s="42">
        <v>42312</v>
      </c>
      <c r="Z29" s="41"/>
      <c r="AA29" s="41"/>
      <c r="AB29" s="41"/>
      <c r="AC29" s="41" t="s">
        <v>183</v>
      </c>
      <c r="AD29" s="41" t="s">
        <v>1136</v>
      </c>
      <c r="AE29" s="41"/>
      <c r="AF29" s="41"/>
    </row>
    <row r="30" spans="1:32" x14ac:dyDescent="0.2">
      <c r="A30" s="41">
        <v>10019773</v>
      </c>
      <c r="B30" s="41" t="s">
        <v>26</v>
      </c>
      <c r="C30" s="41" t="s">
        <v>78</v>
      </c>
      <c r="D30" s="42">
        <v>42312</v>
      </c>
      <c r="E30" s="41">
        <v>93580048</v>
      </c>
      <c r="F30" s="42">
        <v>42310</v>
      </c>
      <c r="G30" s="41"/>
      <c r="H30" s="41">
        <v>1318826</v>
      </c>
      <c r="I30" s="41" t="s">
        <v>110</v>
      </c>
      <c r="J30" s="41">
        <v>1334311</v>
      </c>
      <c r="K30" s="41" t="s">
        <v>113</v>
      </c>
      <c r="L30" s="41">
        <v>1318826</v>
      </c>
      <c r="M30" s="41" t="s">
        <v>110</v>
      </c>
      <c r="N30" s="41">
        <v>2052282</v>
      </c>
      <c r="O30" s="41" t="s">
        <v>181</v>
      </c>
      <c r="P30" s="41" t="s">
        <v>91</v>
      </c>
      <c r="Q30" s="41" t="s">
        <v>92</v>
      </c>
      <c r="R30" s="41">
        <v>3150</v>
      </c>
      <c r="S30" s="41" t="s">
        <v>182</v>
      </c>
      <c r="T30" s="41" t="s">
        <v>69</v>
      </c>
      <c r="U30" s="41" t="s">
        <v>94</v>
      </c>
      <c r="V30" s="41" t="s">
        <v>71</v>
      </c>
      <c r="W30" s="42">
        <v>42319</v>
      </c>
      <c r="X30" s="41" t="s">
        <v>64</v>
      </c>
      <c r="Y30" s="42">
        <v>42312</v>
      </c>
      <c r="Z30" s="41" t="s">
        <v>72</v>
      </c>
      <c r="AA30" s="41">
        <v>62021551</v>
      </c>
      <c r="AB30" s="42">
        <v>42319</v>
      </c>
      <c r="AC30" s="41" t="s">
        <v>183</v>
      </c>
      <c r="AD30" s="41" t="s">
        <v>1136</v>
      </c>
      <c r="AE30" s="41" t="s">
        <v>96</v>
      </c>
      <c r="AF30" s="41" t="s">
        <v>1119</v>
      </c>
    </row>
    <row r="31" spans="1:32" x14ac:dyDescent="0.2">
      <c r="A31" s="41">
        <v>10019775</v>
      </c>
      <c r="B31" s="41" t="s">
        <v>18</v>
      </c>
      <c r="C31" s="41" t="s">
        <v>78</v>
      </c>
      <c r="D31" s="42">
        <v>42312</v>
      </c>
      <c r="E31" s="41">
        <v>93577401</v>
      </c>
      <c r="F31" s="42">
        <v>42307</v>
      </c>
      <c r="G31" s="41"/>
      <c r="H31" s="41">
        <v>1201120</v>
      </c>
      <c r="I31" s="41" t="s">
        <v>117</v>
      </c>
      <c r="J31" s="41">
        <v>1307782</v>
      </c>
      <c r="K31" s="41" t="s">
        <v>119</v>
      </c>
      <c r="L31" s="41">
        <v>1171090</v>
      </c>
      <c r="M31" s="41" t="s">
        <v>118</v>
      </c>
      <c r="N31" s="41" t="s">
        <v>1127</v>
      </c>
      <c r="O31" s="41" t="s">
        <v>181</v>
      </c>
      <c r="P31" s="41" t="s">
        <v>97</v>
      </c>
      <c r="Q31" s="41" t="s">
        <v>98</v>
      </c>
      <c r="R31" s="41">
        <v>240</v>
      </c>
      <c r="S31" s="41" t="s">
        <v>182</v>
      </c>
      <c r="T31" s="41" t="s">
        <v>63</v>
      </c>
      <c r="U31" s="41" t="s">
        <v>70</v>
      </c>
      <c r="V31" s="41" t="s">
        <v>76</v>
      </c>
      <c r="W31" s="42">
        <v>42314</v>
      </c>
      <c r="X31" s="41" t="s">
        <v>64</v>
      </c>
      <c r="Y31" s="42">
        <v>42312</v>
      </c>
      <c r="Z31" s="41"/>
      <c r="AA31" s="41"/>
      <c r="AB31" s="41"/>
      <c r="AC31" s="41" t="s">
        <v>183</v>
      </c>
      <c r="AD31" s="41" t="s">
        <v>1137</v>
      </c>
      <c r="AE31" s="41" t="s">
        <v>77</v>
      </c>
      <c r="AF31" s="41" t="s">
        <v>1138</v>
      </c>
    </row>
    <row r="32" spans="1:32" x14ac:dyDescent="0.2">
      <c r="A32" s="41">
        <v>10019776</v>
      </c>
      <c r="B32" s="41" t="s">
        <v>26</v>
      </c>
      <c r="C32" s="41" t="s">
        <v>78</v>
      </c>
      <c r="D32" s="42">
        <v>42312</v>
      </c>
      <c r="E32" s="41">
        <v>93579586</v>
      </c>
      <c r="F32" s="42">
        <v>42310</v>
      </c>
      <c r="G32" s="41"/>
      <c r="H32" s="41">
        <v>1201047</v>
      </c>
      <c r="I32" s="41" t="s">
        <v>79</v>
      </c>
      <c r="J32" s="41">
        <v>1058305</v>
      </c>
      <c r="K32" s="41" t="s">
        <v>99</v>
      </c>
      <c r="L32" s="41">
        <v>1171089</v>
      </c>
      <c r="M32" s="41" t="s">
        <v>75</v>
      </c>
      <c r="N32" s="41">
        <v>52935482</v>
      </c>
      <c r="O32" s="41" t="s">
        <v>181</v>
      </c>
      <c r="P32" s="41" t="s">
        <v>91</v>
      </c>
      <c r="Q32" s="41" t="s">
        <v>92</v>
      </c>
      <c r="R32" s="41">
        <v>1660</v>
      </c>
      <c r="S32" s="41" t="s">
        <v>182</v>
      </c>
      <c r="T32" s="41" t="s">
        <v>69</v>
      </c>
      <c r="U32" s="41" t="s">
        <v>94</v>
      </c>
      <c r="V32" s="41" t="s">
        <v>71</v>
      </c>
      <c r="W32" s="42">
        <v>42319</v>
      </c>
      <c r="X32" s="41" t="s">
        <v>64</v>
      </c>
      <c r="Y32" s="42">
        <v>42312</v>
      </c>
      <c r="Z32" s="41" t="s">
        <v>72</v>
      </c>
      <c r="AA32" s="41">
        <v>62021553</v>
      </c>
      <c r="AB32" s="42">
        <v>42319</v>
      </c>
      <c r="AC32" s="41" t="s">
        <v>183</v>
      </c>
      <c r="AD32" s="41" t="s">
        <v>1139</v>
      </c>
      <c r="AE32" s="41" t="s">
        <v>96</v>
      </c>
      <c r="AF32" s="41" t="s">
        <v>1119</v>
      </c>
    </row>
    <row r="33" spans="1:32" x14ac:dyDescent="0.2">
      <c r="A33" s="41">
        <v>10019777</v>
      </c>
      <c r="B33" s="41" t="s">
        <v>22</v>
      </c>
      <c r="C33" s="41" t="s">
        <v>78</v>
      </c>
      <c r="D33" s="42">
        <v>42312</v>
      </c>
      <c r="E33" s="41">
        <v>93579586</v>
      </c>
      <c r="F33" s="42">
        <v>42310</v>
      </c>
      <c r="G33" s="41"/>
      <c r="H33" s="41">
        <v>1201047</v>
      </c>
      <c r="I33" s="41" t="s">
        <v>79</v>
      </c>
      <c r="J33" s="41">
        <v>1058305</v>
      </c>
      <c r="K33" s="41" t="s">
        <v>99</v>
      </c>
      <c r="L33" s="41">
        <v>1171089</v>
      </c>
      <c r="M33" s="41" t="s">
        <v>75</v>
      </c>
      <c r="N33" s="41">
        <v>52935482</v>
      </c>
      <c r="O33" s="41" t="s">
        <v>181</v>
      </c>
      <c r="P33" s="41" t="s">
        <v>91</v>
      </c>
      <c r="Q33" s="41" t="s">
        <v>92</v>
      </c>
      <c r="R33" s="41">
        <v>1660</v>
      </c>
      <c r="S33" s="41" t="s">
        <v>182</v>
      </c>
      <c r="T33" s="41" t="s">
        <v>63</v>
      </c>
      <c r="U33" s="41"/>
      <c r="V33" s="41"/>
      <c r="W33" s="41"/>
      <c r="X33" s="41" t="s">
        <v>64</v>
      </c>
      <c r="Y33" s="42">
        <v>42312</v>
      </c>
      <c r="Z33" s="41"/>
      <c r="AA33" s="41"/>
      <c r="AB33" s="41"/>
      <c r="AC33" s="41" t="s">
        <v>183</v>
      </c>
      <c r="AD33" s="41" t="s">
        <v>1139</v>
      </c>
      <c r="AE33" s="41"/>
      <c r="AF33" s="41"/>
    </row>
    <row r="34" spans="1:32" x14ac:dyDescent="0.2">
      <c r="A34" s="41">
        <v>10019778</v>
      </c>
      <c r="B34" s="41" t="s">
        <v>26</v>
      </c>
      <c r="C34" s="41" t="s">
        <v>78</v>
      </c>
      <c r="D34" s="42">
        <v>42312</v>
      </c>
      <c r="E34" s="41">
        <v>93579592</v>
      </c>
      <c r="F34" s="42">
        <v>42310</v>
      </c>
      <c r="G34" s="42">
        <v>42311</v>
      </c>
      <c r="H34" s="41">
        <v>1201047</v>
      </c>
      <c r="I34" s="41" t="s">
        <v>79</v>
      </c>
      <c r="J34" s="41">
        <v>1049975</v>
      </c>
      <c r="K34" s="41" t="s">
        <v>247</v>
      </c>
      <c r="L34" s="41">
        <v>1171089</v>
      </c>
      <c r="M34" s="41" t="s">
        <v>75</v>
      </c>
      <c r="N34" s="41">
        <v>44300045</v>
      </c>
      <c r="O34" s="41" t="s">
        <v>181</v>
      </c>
      <c r="P34" s="41" t="s">
        <v>91</v>
      </c>
      <c r="Q34" s="41" t="s">
        <v>92</v>
      </c>
      <c r="R34" s="41">
        <v>3320</v>
      </c>
      <c r="S34" s="41" t="s">
        <v>182</v>
      </c>
      <c r="T34" s="41" t="s">
        <v>69</v>
      </c>
      <c r="U34" s="41" t="s">
        <v>94</v>
      </c>
      <c r="V34" s="41" t="s">
        <v>71</v>
      </c>
      <c r="W34" s="42">
        <v>42319</v>
      </c>
      <c r="X34" s="41" t="s">
        <v>64</v>
      </c>
      <c r="Y34" s="42">
        <v>42312</v>
      </c>
      <c r="Z34" s="41" t="s">
        <v>72</v>
      </c>
      <c r="AA34" s="41">
        <v>62021554</v>
      </c>
      <c r="AB34" s="42">
        <v>42319</v>
      </c>
      <c r="AC34" s="41" t="s">
        <v>183</v>
      </c>
      <c r="AD34" s="41" t="s">
        <v>1140</v>
      </c>
      <c r="AE34" s="41" t="s">
        <v>96</v>
      </c>
      <c r="AF34" s="41" t="s">
        <v>1119</v>
      </c>
    </row>
    <row r="35" spans="1:32" x14ac:dyDescent="0.2">
      <c r="A35" s="41">
        <v>10019779</v>
      </c>
      <c r="B35" s="41" t="s">
        <v>22</v>
      </c>
      <c r="C35" s="41" t="s">
        <v>78</v>
      </c>
      <c r="D35" s="42">
        <v>42312</v>
      </c>
      <c r="E35" s="41">
        <v>93579592</v>
      </c>
      <c r="F35" s="42">
        <v>42310</v>
      </c>
      <c r="G35" s="42">
        <v>42311</v>
      </c>
      <c r="H35" s="41">
        <v>1201047</v>
      </c>
      <c r="I35" s="41" t="s">
        <v>79</v>
      </c>
      <c r="J35" s="41">
        <v>1049975</v>
      </c>
      <c r="K35" s="41" t="s">
        <v>247</v>
      </c>
      <c r="L35" s="41">
        <v>1171089</v>
      </c>
      <c r="M35" s="41" t="s">
        <v>75</v>
      </c>
      <c r="N35" s="41">
        <v>44300045</v>
      </c>
      <c r="O35" s="41" t="s">
        <v>181</v>
      </c>
      <c r="P35" s="41" t="s">
        <v>91</v>
      </c>
      <c r="Q35" s="41" t="s">
        <v>92</v>
      </c>
      <c r="R35" s="41">
        <v>3320</v>
      </c>
      <c r="S35" s="41" t="s">
        <v>182</v>
      </c>
      <c r="T35" s="41" t="s">
        <v>63</v>
      </c>
      <c r="U35" s="41"/>
      <c r="V35" s="41"/>
      <c r="W35" s="41"/>
      <c r="X35" s="41" t="s">
        <v>64</v>
      </c>
      <c r="Y35" s="42">
        <v>42312</v>
      </c>
      <c r="Z35" s="41"/>
      <c r="AA35" s="41"/>
      <c r="AB35" s="41"/>
      <c r="AC35" s="41" t="s">
        <v>183</v>
      </c>
      <c r="AD35" s="41" t="s">
        <v>1140</v>
      </c>
      <c r="AE35" s="41"/>
      <c r="AF35" s="41"/>
    </row>
    <row r="36" spans="1:32" x14ac:dyDescent="0.2">
      <c r="A36" s="41">
        <v>10019780</v>
      </c>
      <c r="B36" s="41" t="s">
        <v>26</v>
      </c>
      <c r="C36" s="41" t="s">
        <v>78</v>
      </c>
      <c r="D36" s="42">
        <v>42312</v>
      </c>
      <c r="E36" s="41">
        <v>93574376</v>
      </c>
      <c r="F36" s="42">
        <v>42305</v>
      </c>
      <c r="G36" s="42">
        <v>42310</v>
      </c>
      <c r="H36" s="41">
        <v>1201646</v>
      </c>
      <c r="I36" s="41" t="s">
        <v>164</v>
      </c>
      <c r="J36" s="41">
        <v>1201646</v>
      </c>
      <c r="K36" s="41" t="s">
        <v>164</v>
      </c>
      <c r="L36" s="41">
        <v>1201646</v>
      </c>
      <c r="M36" s="41" t="s">
        <v>164</v>
      </c>
      <c r="N36" s="41">
        <v>8045716</v>
      </c>
      <c r="O36" s="41" t="s">
        <v>235</v>
      </c>
      <c r="P36" s="41" t="s">
        <v>67</v>
      </c>
      <c r="Q36" s="41" t="s">
        <v>68</v>
      </c>
      <c r="R36" s="41">
        <v>504</v>
      </c>
      <c r="S36" s="41" t="s">
        <v>182</v>
      </c>
      <c r="T36" s="41" t="s">
        <v>63</v>
      </c>
      <c r="U36" s="41" t="s">
        <v>81</v>
      </c>
      <c r="V36" s="41" t="s">
        <v>88</v>
      </c>
      <c r="W36" s="42">
        <v>42318</v>
      </c>
      <c r="X36" s="41" t="s">
        <v>64</v>
      </c>
      <c r="Y36" s="42">
        <v>42312</v>
      </c>
      <c r="Z36" s="41"/>
      <c r="AA36" s="41"/>
      <c r="AB36" s="41"/>
      <c r="AC36" s="41" t="s">
        <v>183</v>
      </c>
      <c r="AD36" s="41">
        <v>3527003023</v>
      </c>
      <c r="AE36" s="41" t="s">
        <v>89</v>
      </c>
      <c r="AF36" s="41" t="s">
        <v>1141</v>
      </c>
    </row>
    <row r="37" spans="1:32" x14ac:dyDescent="0.2">
      <c r="A37" s="41">
        <v>10019783</v>
      </c>
      <c r="B37" s="41" t="s">
        <v>18</v>
      </c>
      <c r="C37" s="41" t="s">
        <v>78</v>
      </c>
      <c r="D37" s="42">
        <v>42313</v>
      </c>
      <c r="E37" s="41">
        <v>93579963</v>
      </c>
      <c r="F37" s="42">
        <v>42310</v>
      </c>
      <c r="G37" s="41"/>
      <c r="H37" s="41">
        <v>1201605</v>
      </c>
      <c r="I37" s="41" t="s">
        <v>155</v>
      </c>
      <c r="J37" s="41">
        <v>1323069</v>
      </c>
      <c r="K37" s="41" t="s">
        <v>155</v>
      </c>
      <c r="L37" s="41">
        <v>1172017</v>
      </c>
      <c r="M37" s="41" t="s">
        <v>155</v>
      </c>
      <c r="N37" s="41">
        <v>544022</v>
      </c>
      <c r="O37" s="41" t="s">
        <v>181</v>
      </c>
      <c r="P37" s="41" t="s">
        <v>102</v>
      </c>
      <c r="Q37" s="41" t="s">
        <v>103</v>
      </c>
      <c r="R37" s="41">
        <v>534.24</v>
      </c>
      <c r="S37" s="41" t="s">
        <v>182</v>
      </c>
      <c r="T37" s="41" t="s">
        <v>63</v>
      </c>
      <c r="U37" s="41" t="s">
        <v>70</v>
      </c>
      <c r="V37" s="41" t="s">
        <v>76</v>
      </c>
      <c r="W37" s="42">
        <v>42314</v>
      </c>
      <c r="X37" s="41" t="s">
        <v>64</v>
      </c>
      <c r="Y37" s="42">
        <v>42313</v>
      </c>
      <c r="Z37" s="41"/>
      <c r="AA37" s="41"/>
      <c r="AB37" s="41"/>
      <c r="AC37" s="41" t="s">
        <v>183</v>
      </c>
      <c r="AD37" s="41">
        <v>649275100703</v>
      </c>
      <c r="AE37" s="41" t="s">
        <v>77</v>
      </c>
      <c r="AF37" s="41" t="s">
        <v>376</v>
      </c>
    </row>
    <row r="38" spans="1:32" x14ac:dyDescent="0.2">
      <c r="A38" s="41">
        <v>10019784</v>
      </c>
      <c r="B38" s="41" t="s">
        <v>18</v>
      </c>
      <c r="C38" s="41" t="s">
        <v>78</v>
      </c>
      <c r="D38" s="42">
        <v>42313</v>
      </c>
      <c r="E38" s="41">
        <v>93579964</v>
      </c>
      <c r="F38" s="42">
        <v>42310</v>
      </c>
      <c r="G38" s="41"/>
      <c r="H38" s="41">
        <v>1201605</v>
      </c>
      <c r="I38" s="41" t="s">
        <v>155</v>
      </c>
      <c r="J38" s="41">
        <v>1323069</v>
      </c>
      <c r="K38" s="41" t="s">
        <v>155</v>
      </c>
      <c r="L38" s="41">
        <v>1172017</v>
      </c>
      <c r="M38" s="41" t="s">
        <v>155</v>
      </c>
      <c r="N38" s="41">
        <v>544022</v>
      </c>
      <c r="O38" s="41" t="s">
        <v>181</v>
      </c>
      <c r="P38" s="41" t="s">
        <v>102</v>
      </c>
      <c r="Q38" s="41" t="s">
        <v>103</v>
      </c>
      <c r="R38" s="41">
        <v>57.51</v>
      </c>
      <c r="S38" s="41" t="s">
        <v>182</v>
      </c>
      <c r="T38" s="41" t="s">
        <v>63</v>
      </c>
      <c r="U38" s="41" t="s">
        <v>70</v>
      </c>
      <c r="V38" s="41" t="s">
        <v>76</v>
      </c>
      <c r="W38" s="42">
        <v>42314</v>
      </c>
      <c r="X38" s="41" t="s">
        <v>64</v>
      </c>
      <c r="Y38" s="42">
        <v>42313</v>
      </c>
      <c r="Z38" s="41"/>
      <c r="AA38" s="41"/>
      <c r="AB38" s="41"/>
      <c r="AC38" s="41" t="s">
        <v>183</v>
      </c>
      <c r="AD38" s="41">
        <v>649275100703</v>
      </c>
      <c r="AE38" s="41" t="s">
        <v>77</v>
      </c>
      <c r="AF38" s="41" t="s">
        <v>184</v>
      </c>
    </row>
    <row r="39" spans="1:32" x14ac:dyDescent="0.2">
      <c r="A39" s="41">
        <v>10019785</v>
      </c>
      <c r="B39" s="41" t="s">
        <v>18</v>
      </c>
      <c r="C39" s="41" t="s">
        <v>78</v>
      </c>
      <c r="D39" s="42">
        <v>42313</v>
      </c>
      <c r="E39" s="41">
        <v>93582669</v>
      </c>
      <c r="F39" s="42">
        <v>42312</v>
      </c>
      <c r="G39" s="41"/>
      <c r="H39" s="41">
        <v>1201047</v>
      </c>
      <c r="I39" s="41" t="s">
        <v>79</v>
      </c>
      <c r="J39" s="41">
        <v>1340974</v>
      </c>
      <c r="K39" s="41" t="s">
        <v>93</v>
      </c>
      <c r="L39" s="41">
        <v>1171089</v>
      </c>
      <c r="M39" s="41" t="s">
        <v>75</v>
      </c>
      <c r="N39" s="41">
        <v>87102698</v>
      </c>
      <c r="O39" s="41" t="s">
        <v>181</v>
      </c>
      <c r="P39" s="41" t="s">
        <v>279</v>
      </c>
      <c r="Q39" s="41" t="s">
        <v>280</v>
      </c>
      <c r="R39" s="41">
        <v>801.49</v>
      </c>
      <c r="S39" s="41" t="s">
        <v>182</v>
      </c>
      <c r="T39" s="41" t="s">
        <v>63</v>
      </c>
      <c r="U39" s="41" t="s">
        <v>70</v>
      </c>
      <c r="V39" s="41" t="s">
        <v>76</v>
      </c>
      <c r="W39" s="42">
        <v>42314</v>
      </c>
      <c r="X39" s="41" t="s">
        <v>64</v>
      </c>
      <c r="Y39" s="42">
        <v>42313</v>
      </c>
      <c r="Z39" s="41"/>
      <c r="AA39" s="41"/>
      <c r="AB39" s="41"/>
      <c r="AC39" s="41" t="s">
        <v>183</v>
      </c>
      <c r="AD39" s="41" t="s">
        <v>1142</v>
      </c>
      <c r="AE39" s="41" t="s">
        <v>77</v>
      </c>
      <c r="AF39" s="41" t="s">
        <v>216</v>
      </c>
    </row>
    <row r="40" spans="1:32" x14ac:dyDescent="0.2">
      <c r="A40" s="41">
        <v>10019786</v>
      </c>
      <c r="B40" s="41" t="s">
        <v>22</v>
      </c>
      <c r="C40" s="41" t="s">
        <v>78</v>
      </c>
      <c r="D40" s="42">
        <v>42313</v>
      </c>
      <c r="E40" s="41">
        <v>93569975</v>
      </c>
      <c r="F40" s="42">
        <v>42303</v>
      </c>
      <c r="G40" s="41"/>
      <c r="H40" s="41">
        <v>1201047</v>
      </c>
      <c r="I40" s="41" t="s">
        <v>79</v>
      </c>
      <c r="J40" s="41">
        <v>1038994</v>
      </c>
      <c r="K40" s="41" t="s">
        <v>80</v>
      </c>
      <c r="L40" s="41">
        <v>1171089</v>
      </c>
      <c r="M40" s="41" t="s">
        <v>75</v>
      </c>
      <c r="N40" s="41">
        <v>40441607</v>
      </c>
      <c r="O40" s="41" t="s">
        <v>181</v>
      </c>
      <c r="P40" s="41" t="s">
        <v>86</v>
      </c>
      <c r="Q40" s="41" t="s">
        <v>87</v>
      </c>
      <c r="R40" s="41">
        <v>1660</v>
      </c>
      <c r="S40" s="41" t="s">
        <v>182</v>
      </c>
      <c r="T40" s="41" t="s">
        <v>63</v>
      </c>
      <c r="U40" s="41"/>
      <c r="V40" s="41"/>
      <c r="W40" s="41"/>
      <c r="X40" s="41" t="s">
        <v>64</v>
      </c>
      <c r="Y40" s="42">
        <v>42313</v>
      </c>
      <c r="Z40" s="41"/>
      <c r="AA40" s="41"/>
      <c r="AB40" s="41"/>
      <c r="AC40" s="41" t="s">
        <v>183</v>
      </c>
      <c r="AD40" s="41" t="s">
        <v>1133</v>
      </c>
      <c r="AE40" s="41"/>
      <c r="AF40" s="41"/>
    </row>
    <row r="41" spans="1:32" x14ac:dyDescent="0.2">
      <c r="A41" s="41">
        <v>10019787</v>
      </c>
      <c r="B41" s="41" t="s">
        <v>26</v>
      </c>
      <c r="C41" s="41" t="s">
        <v>78</v>
      </c>
      <c r="D41" s="42">
        <v>42313</v>
      </c>
      <c r="E41" s="41">
        <v>93574071</v>
      </c>
      <c r="F41" s="42">
        <v>42305</v>
      </c>
      <c r="G41" s="41"/>
      <c r="H41" s="41">
        <v>1201047</v>
      </c>
      <c r="I41" s="41" t="s">
        <v>79</v>
      </c>
      <c r="J41" s="41">
        <v>1321618</v>
      </c>
      <c r="K41" s="41" t="s">
        <v>85</v>
      </c>
      <c r="L41" s="41">
        <v>1171089</v>
      </c>
      <c r="M41" s="41" t="s">
        <v>75</v>
      </c>
      <c r="N41" s="41">
        <v>55525708</v>
      </c>
      <c r="O41" s="41" t="s">
        <v>181</v>
      </c>
      <c r="P41" s="41" t="s">
        <v>91</v>
      </c>
      <c r="Q41" s="41" t="s">
        <v>92</v>
      </c>
      <c r="R41" s="41">
        <v>830</v>
      </c>
      <c r="S41" s="41" t="s">
        <v>182</v>
      </c>
      <c r="T41" s="41" t="s">
        <v>69</v>
      </c>
      <c r="U41" s="41" t="s">
        <v>94</v>
      </c>
      <c r="V41" s="41" t="s">
        <v>71</v>
      </c>
      <c r="W41" s="42">
        <v>42319</v>
      </c>
      <c r="X41" s="41" t="s">
        <v>64</v>
      </c>
      <c r="Y41" s="42">
        <v>42313</v>
      </c>
      <c r="Z41" s="41" t="s">
        <v>72</v>
      </c>
      <c r="AA41" s="41">
        <v>62021555</v>
      </c>
      <c r="AB41" s="42">
        <v>42319</v>
      </c>
      <c r="AC41" s="41" t="s">
        <v>183</v>
      </c>
      <c r="AD41" s="41" t="s">
        <v>1143</v>
      </c>
      <c r="AE41" s="41" t="s">
        <v>96</v>
      </c>
      <c r="AF41" s="41" t="s">
        <v>1119</v>
      </c>
    </row>
    <row r="42" spans="1:32" x14ac:dyDescent="0.2">
      <c r="A42" s="41">
        <v>10019789</v>
      </c>
      <c r="B42" s="41" t="s">
        <v>18</v>
      </c>
      <c r="C42" s="41" t="s">
        <v>78</v>
      </c>
      <c r="D42" s="42">
        <v>42313</v>
      </c>
      <c r="E42" s="41">
        <v>93577532</v>
      </c>
      <c r="F42" s="42">
        <v>42307</v>
      </c>
      <c r="G42" s="42">
        <v>42311</v>
      </c>
      <c r="H42" s="41">
        <v>1201566</v>
      </c>
      <c r="I42" s="41" t="s">
        <v>154</v>
      </c>
      <c r="J42" s="41">
        <v>1201566</v>
      </c>
      <c r="K42" s="41" t="s">
        <v>154</v>
      </c>
      <c r="L42" s="41">
        <v>1201566</v>
      </c>
      <c r="M42" s="41" t="s">
        <v>154</v>
      </c>
      <c r="N42" s="41">
        <v>2930078</v>
      </c>
      <c r="O42" s="41" t="s">
        <v>181</v>
      </c>
      <c r="P42" s="41" t="s">
        <v>67</v>
      </c>
      <c r="Q42" s="41" t="s">
        <v>68</v>
      </c>
      <c r="R42" s="41">
        <v>172.53</v>
      </c>
      <c r="S42" s="41" t="s">
        <v>182</v>
      </c>
      <c r="T42" s="41" t="s">
        <v>63</v>
      </c>
      <c r="U42" s="41" t="s">
        <v>70</v>
      </c>
      <c r="V42" s="41" t="s">
        <v>76</v>
      </c>
      <c r="W42" s="42">
        <v>42314</v>
      </c>
      <c r="X42" s="41" t="s">
        <v>64</v>
      </c>
      <c r="Y42" s="42">
        <v>42313</v>
      </c>
      <c r="Z42" s="41"/>
      <c r="AA42" s="41"/>
      <c r="AB42" s="41"/>
      <c r="AC42" s="41" t="s">
        <v>183</v>
      </c>
      <c r="AD42" s="41">
        <v>3527003303</v>
      </c>
      <c r="AE42" s="41" t="s">
        <v>77</v>
      </c>
      <c r="AF42" s="41" t="s">
        <v>1144</v>
      </c>
    </row>
    <row r="43" spans="1:32" x14ac:dyDescent="0.2">
      <c r="A43" s="41">
        <v>10019790</v>
      </c>
      <c r="B43" s="41" t="s">
        <v>26</v>
      </c>
      <c r="C43" s="41" t="s">
        <v>78</v>
      </c>
      <c r="D43" s="42">
        <v>42313</v>
      </c>
      <c r="E43" s="41">
        <v>93577624</v>
      </c>
      <c r="F43" s="42">
        <v>42307</v>
      </c>
      <c r="G43" s="41"/>
      <c r="H43" s="41">
        <v>1318826</v>
      </c>
      <c r="I43" s="41" t="s">
        <v>110</v>
      </c>
      <c r="J43" s="41">
        <v>1337267</v>
      </c>
      <c r="K43" s="41" t="s">
        <v>601</v>
      </c>
      <c r="L43" s="41">
        <v>1318826</v>
      </c>
      <c r="M43" s="41" t="s">
        <v>110</v>
      </c>
      <c r="N43" s="41">
        <v>3017347</v>
      </c>
      <c r="O43" s="41" t="s">
        <v>181</v>
      </c>
      <c r="P43" s="41" t="s">
        <v>97</v>
      </c>
      <c r="Q43" s="41" t="s">
        <v>98</v>
      </c>
      <c r="R43" s="41">
        <v>131.25</v>
      </c>
      <c r="S43" s="41" t="s">
        <v>182</v>
      </c>
      <c r="T43" s="41" t="s">
        <v>69</v>
      </c>
      <c r="U43" s="41" t="s">
        <v>94</v>
      </c>
      <c r="V43" s="41" t="s">
        <v>95</v>
      </c>
      <c r="W43" s="42">
        <v>42319</v>
      </c>
      <c r="X43" s="41" t="s">
        <v>64</v>
      </c>
      <c r="Y43" s="42">
        <v>42313</v>
      </c>
      <c r="Z43" s="41" t="s">
        <v>72</v>
      </c>
      <c r="AA43" s="41">
        <v>62021557</v>
      </c>
      <c r="AB43" s="42">
        <v>42319</v>
      </c>
      <c r="AC43" s="41" t="s">
        <v>183</v>
      </c>
      <c r="AD43" s="41" t="s">
        <v>1145</v>
      </c>
      <c r="AE43" s="41" t="s">
        <v>96</v>
      </c>
      <c r="AF43" s="41" t="s">
        <v>1119</v>
      </c>
    </row>
    <row r="44" spans="1:32" x14ac:dyDescent="0.2">
      <c r="A44" s="41">
        <v>10019791</v>
      </c>
      <c r="B44" s="41" t="s">
        <v>22</v>
      </c>
      <c r="C44" s="41" t="s">
        <v>78</v>
      </c>
      <c r="D44" s="42">
        <v>42313</v>
      </c>
      <c r="E44" s="41"/>
      <c r="F44" s="41"/>
      <c r="G44" s="41"/>
      <c r="H44" s="41">
        <v>1318826</v>
      </c>
      <c r="I44" s="41" t="s">
        <v>110</v>
      </c>
      <c r="J44" s="41">
        <v>1337267</v>
      </c>
      <c r="K44" s="41" t="s">
        <v>601</v>
      </c>
      <c r="L44" s="41">
        <v>1318826</v>
      </c>
      <c r="M44" s="41" t="s">
        <v>110</v>
      </c>
      <c r="N44" s="41">
        <v>3017347</v>
      </c>
      <c r="O44" s="41" t="s">
        <v>181</v>
      </c>
      <c r="P44" s="41"/>
      <c r="Q44" s="41"/>
      <c r="R44" s="41">
        <v>131.25</v>
      </c>
      <c r="S44" s="41" t="s">
        <v>182</v>
      </c>
      <c r="T44" s="41" t="s">
        <v>63</v>
      </c>
      <c r="U44" s="41"/>
      <c r="V44" s="41"/>
      <c r="W44" s="41"/>
      <c r="X44" s="41" t="s">
        <v>64</v>
      </c>
      <c r="Y44" s="42">
        <v>42313</v>
      </c>
      <c r="Z44" s="41"/>
      <c r="AA44" s="41"/>
      <c r="AB44" s="41"/>
      <c r="AC44" s="41" t="s">
        <v>183</v>
      </c>
      <c r="AD44" s="41"/>
      <c r="AE44" s="41"/>
      <c r="AF44" s="41"/>
    </row>
    <row r="45" spans="1:32" x14ac:dyDescent="0.2">
      <c r="A45" s="41">
        <v>10019792</v>
      </c>
      <c r="B45" s="41" t="s">
        <v>26</v>
      </c>
      <c r="C45" s="41" t="s">
        <v>78</v>
      </c>
      <c r="D45" s="42">
        <v>42313</v>
      </c>
      <c r="E45" s="41">
        <v>93574363</v>
      </c>
      <c r="F45" s="42">
        <v>42305</v>
      </c>
      <c r="G45" s="42">
        <v>42307</v>
      </c>
      <c r="H45" s="41">
        <v>1201605</v>
      </c>
      <c r="I45" s="41" t="s">
        <v>155</v>
      </c>
      <c r="J45" s="41">
        <v>1323069</v>
      </c>
      <c r="K45" s="41" t="s">
        <v>155</v>
      </c>
      <c r="L45" s="41">
        <v>1172017</v>
      </c>
      <c r="M45" s="41" t="s">
        <v>155</v>
      </c>
      <c r="N45" s="41">
        <v>542718</v>
      </c>
      <c r="O45" s="41" t="s">
        <v>181</v>
      </c>
      <c r="P45" s="41" t="s">
        <v>67</v>
      </c>
      <c r="Q45" s="41" t="s">
        <v>68</v>
      </c>
      <c r="R45" s="41">
        <v>830</v>
      </c>
      <c r="S45" s="41" t="s">
        <v>182</v>
      </c>
      <c r="T45" s="41" t="s">
        <v>69</v>
      </c>
      <c r="U45" s="41" t="s">
        <v>94</v>
      </c>
      <c r="V45" s="41" t="s">
        <v>71</v>
      </c>
      <c r="W45" s="42">
        <v>42319</v>
      </c>
      <c r="X45" s="41" t="s">
        <v>64</v>
      </c>
      <c r="Y45" s="42">
        <v>42313</v>
      </c>
      <c r="Z45" s="41" t="s">
        <v>72</v>
      </c>
      <c r="AA45" s="41">
        <v>62021558</v>
      </c>
      <c r="AB45" s="42">
        <v>42319</v>
      </c>
      <c r="AC45" s="41" t="s">
        <v>183</v>
      </c>
      <c r="AD45" s="41">
        <v>3527002813</v>
      </c>
      <c r="AE45" s="41" t="s">
        <v>96</v>
      </c>
      <c r="AF45" s="41" t="s">
        <v>1119</v>
      </c>
    </row>
    <row r="46" spans="1:32" x14ac:dyDescent="0.2">
      <c r="A46" s="41">
        <v>10019794</v>
      </c>
      <c r="B46" s="41" t="s">
        <v>22</v>
      </c>
      <c r="C46" s="41" t="s">
        <v>78</v>
      </c>
      <c r="D46" s="42">
        <v>42313</v>
      </c>
      <c r="E46" s="41">
        <v>93577537</v>
      </c>
      <c r="F46" s="42">
        <v>42307</v>
      </c>
      <c r="G46" s="41"/>
      <c r="H46" s="41">
        <v>1201675</v>
      </c>
      <c r="I46" s="41" t="s">
        <v>165</v>
      </c>
      <c r="J46" s="41">
        <v>1201675</v>
      </c>
      <c r="K46" s="41" t="s">
        <v>165</v>
      </c>
      <c r="L46" s="41">
        <v>1172015</v>
      </c>
      <c r="M46" s="41" t="s">
        <v>165</v>
      </c>
      <c r="N46" s="41" t="s">
        <v>1146</v>
      </c>
      <c r="O46" s="41" t="s">
        <v>181</v>
      </c>
      <c r="P46" s="41" t="s">
        <v>97</v>
      </c>
      <c r="Q46" s="41" t="s">
        <v>98</v>
      </c>
      <c r="R46" s="41">
        <v>4977.12</v>
      </c>
      <c r="S46" s="41" t="s">
        <v>182</v>
      </c>
      <c r="T46" s="41" t="s">
        <v>63</v>
      </c>
      <c r="U46" s="41" t="s">
        <v>94</v>
      </c>
      <c r="V46" s="41" t="s">
        <v>82</v>
      </c>
      <c r="W46" s="42">
        <v>42324</v>
      </c>
      <c r="X46" s="41" t="s">
        <v>64</v>
      </c>
      <c r="Y46" s="42">
        <v>42313</v>
      </c>
      <c r="Z46" s="41"/>
      <c r="AA46" s="41"/>
      <c r="AB46" s="41"/>
      <c r="AC46" s="41" t="s">
        <v>183</v>
      </c>
      <c r="AD46" s="41">
        <v>87944972665654</v>
      </c>
      <c r="AE46" s="41" t="s">
        <v>142</v>
      </c>
      <c r="AF46" s="41" t="s">
        <v>1147</v>
      </c>
    </row>
    <row r="47" spans="1:32" x14ac:dyDescent="0.2">
      <c r="A47" s="41">
        <v>10019795</v>
      </c>
      <c r="B47" s="41" t="s">
        <v>26</v>
      </c>
      <c r="C47" s="41" t="s">
        <v>78</v>
      </c>
      <c r="D47" s="42">
        <v>42313</v>
      </c>
      <c r="E47" s="41">
        <v>93572580</v>
      </c>
      <c r="F47" s="42">
        <v>42304</v>
      </c>
      <c r="G47" s="42">
        <v>42307</v>
      </c>
      <c r="H47" s="41">
        <v>1201674</v>
      </c>
      <c r="I47" s="41" t="s">
        <v>371</v>
      </c>
      <c r="J47" s="41">
        <v>1201674</v>
      </c>
      <c r="K47" s="41" t="s">
        <v>371</v>
      </c>
      <c r="L47" s="41">
        <v>1201674</v>
      </c>
      <c r="M47" s="41" t="s">
        <v>371</v>
      </c>
      <c r="N47" s="41">
        <v>476086</v>
      </c>
      <c r="O47" s="41" t="s">
        <v>181</v>
      </c>
      <c r="P47" s="41" t="s">
        <v>67</v>
      </c>
      <c r="Q47" s="41" t="s">
        <v>68</v>
      </c>
      <c r="R47" s="41">
        <v>231.48</v>
      </c>
      <c r="S47" s="41" t="s">
        <v>182</v>
      </c>
      <c r="T47" s="41" t="s">
        <v>63</v>
      </c>
      <c r="U47" s="41" t="s">
        <v>81</v>
      </c>
      <c r="V47" s="41" t="s">
        <v>88</v>
      </c>
      <c r="W47" s="42">
        <v>42318</v>
      </c>
      <c r="X47" s="41" t="s">
        <v>64</v>
      </c>
      <c r="Y47" s="42">
        <v>42313</v>
      </c>
      <c r="Z47" s="41"/>
      <c r="AA47" s="41"/>
      <c r="AB47" s="41"/>
      <c r="AC47" s="41" t="s">
        <v>183</v>
      </c>
      <c r="AD47" s="41">
        <v>3527002533</v>
      </c>
      <c r="AE47" s="41" t="s">
        <v>89</v>
      </c>
      <c r="AF47" s="41" t="s">
        <v>274</v>
      </c>
    </row>
    <row r="48" spans="1:32" x14ac:dyDescent="0.2">
      <c r="A48" s="41">
        <v>10019796</v>
      </c>
      <c r="B48" s="41" t="s">
        <v>22</v>
      </c>
      <c r="C48" s="41" t="s">
        <v>78</v>
      </c>
      <c r="D48" s="42">
        <v>42314</v>
      </c>
      <c r="E48" s="41">
        <v>93536555</v>
      </c>
      <c r="F48" s="42">
        <v>42272</v>
      </c>
      <c r="G48" s="41"/>
      <c r="H48" s="41">
        <v>1318826</v>
      </c>
      <c r="I48" s="41" t="s">
        <v>110</v>
      </c>
      <c r="J48" s="41">
        <v>1131869</v>
      </c>
      <c r="K48" s="41" t="s">
        <v>366</v>
      </c>
      <c r="L48" s="41">
        <v>1318826</v>
      </c>
      <c r="M48" s="41" t="s">
        <v>110</v>
      </c>
      <c r="N48" s="41">
        <v>3015859</v>
      </c>
      <c r="O48" s="41" t="s">
        <v>181</v>
      </c>
      <c r="P48" s="41" t="s">
        <v>86</v>
      </c>
      <c r="Q48" s="41" t="s">
        <v>87</v>
      </c>
      <c r="R48" s="41">
        <v>445.2</v>
      </c>
      <c r="S48" s="41" t="s">
        <v>182</v>
      </c>
      <c r="T48" s="41" t="s">
        <v>63</v>
      </c>
      <c r="U48" s="41" t="s">
        <v>94</v>
      </c>
      <c r="V48" s="41" t="s">
        <v>141</v>
      </c>
      <c r="W48" s="42">
        <v>42324</v>
      </c>
      <c r="X48" s="41" t="s">
        <v>64</v>
      </c>
      <c r="Y48" s="42">
        <v>42314</v>
      </c>
      <c r="Z48" s="41"/>
      <c r="AA48" s="41"/>
      <c r="AB48" s="41"/>
      <c r="AC48" s="41" t="s">
        <v>183</v>
      </c>
      <c r="AD48" s="41" t="s">
        <v>1148</v>
      </c>
      <c r="AE48" s="41" t="s">
        <v>142</v>
      </c>
      <c r="AF48" s="41" t="s">
        <v>1149</v>
      </c>
    </row>
    <row r="49" spans="1:32" x14ac:dyDescent="0.2">
      <c r="A49" s="41">
        <v>10019797</v>
      </c>
      <c r="B49" s="41" t="s">
        <v>26</v>
      </c>
      <c r="C49" s="41" t="s">
        <v>78</v>
      </c>
      <c r="D49" s="42">
        <v>42314</v>
      </c>
      <c r="E49" s="41">
        <v>93581562</v>
      </c>
      <c r="F49" s="42">
        <v>42311</v>
      </c>
      <c r="G49" s="42">
        <v>42312</v>
      </c>
      <c r="H49" s="41">
        <v>1201432</v>
      </c>
      <c r="I49" s="41" t="s">
        <v>660</v>
      </c>
      <c r="J49" s="41">
        <v>1306711</v>
      </c>
      <c r="K49" s="41" t="s">
        <v>660</v>
      </c>
      <c r="L49" s="41">
        <v>1172008</v>
      </c>
      <c r="M49" s="41" t="s">
        <v>660</v>
      </c>
      <c r="N49" s="41">
        <v>342102</v>
      </c>
      <c r="O49" s="41" t="s">
        <v>181</v>
      </c>
      <c r="P49" s="41" t="s">
        <v>91</v>
      </c>
      <c r="Q49" s="41" t="s">
        <v>92</v>
      </c>
      <c r="R49" s="41">
        <v>1660</v>
      </c>
      <c r="S49" s="41" t="s">
        <v>182</v>
      </c>
      <c r="T49" s="41" t="s">
        <v>69</v>
      </c>
      <c r="U49" s="41" t="s">
        <v>94</v>
      </c>
      <c r="V49" s="41" t="s">
        <v>71</v>
      </c>
      <c r="W49" s="42">
        <v>42319</v>
      </c>
      <c r="X49" s="41" t="s">
        <v>64</v>
      </c>
      <c r="Y49" s="42">
        <v>42314</v>
      </c>
      <c r="Z49" s="41" t="s">
        <v>72</v>
      </c>
      <c r="AA49" s="41">
        <v>62021560</v>
      </c>
      <c r="AB49" s="42">
        <v>42319</v>
      </c>
      <c r="AC49" s="41" t="s">
        <v>183</v>
      </c>
      <c r="AD49" s="41" t="s">
        <v>1150</v>
      </c>
      <c r="AE49" s="41" t="s">
        <v>96</v>
      </c>
      <c r="AF49" s="41" t="s">
        <v>1119</v>
      </c>
    </row>
    <row r="50" spans="1:32" x14ac:dyDescent="0.2">
      <c r="A50" s="41">
        <v>10019798</v>
      </c>
      <c r="B50" s="41" t="s">
        <v>22</v>
      </c>
      <c r="C50" s="41" t="s">
        <v>78</v>
      </c>
      <c r="D50" s="42">
        <v>42314</v>
      </c>
      <c r="E50" s="41">
        <v>93581562</v>
      </c>
      <c r="F50" s="42">
        <v>42311</v>
      </c>
      <c r="G50" s="42">
        <v>42312</v>
      </c>
      <c r="H50" s="41">
        <v>1201432</v>
      </c>
      <c r="I50" s="41" t="s">
        <v>660</v>
      </c>
      <c r="J50" s="41">
        <v>1306711</v>
      </c>
      <c r="K50" s="41" t="s">
        <v>660</v>
      </c>
      <c r="L50" s="41">
        <v>1172008</v>
      </c>
      <c r="M50" s="41" t="s">
        <v>660</v>
      </c>
      <c r="N50" s="41">
        <v>342102</v>
      </c>
      <c r="O50" s="41" t="s">
        <v>181</v>
      </c>
      <c r="P50" s="41" t="s">
        <v>91</v>
      </c>
      <c r="Q50" s="41" t="s">
        <v>92</v>
      </c>
      <c r="R50" s="41">
        <v>1660</v>
      </c>
      <c r="S50" s="41" t="s">
        <v>182</v>
      </c>
      <c r="T50" s="41" t="s">
        <v>63</v>
      </c>
      <c r="U50" s="41"/>
      <c r="V50" s="41"/>
      <c r="W50" s="41"/>
      <c r="X50" s="41" t="s">
        <v>64</v>
      </c>
      <c r="Y50" s="42">
        <v>42314</v>
      </c>
      <c r="Z50" s="41"/>
      <c r="AA50" s="41"/>
      <c r="AB50" s="41"/>
      <c r="AC50" s="41" t="s">
        <v>183</v>
      </c>
      <c r="AD50" s="41" t="s">
        <v>1150</v>
      </c>
      <c r="AE50" s="41"/>
      <c r="AF50" s="41"/>
    </row>
    <row r="51" spans="1:32" x14ac:dyDescent="0.2">
      <c r="A51" s="41">
        <v>10019800</v>
      </c>
      <c r="B51" s="41" t="s">
        <v>18</v>
      </c>
      <c r="C51" s="41" t="s">
        <v>78</v>
      </c>
      <c r="D51" s="42">
        <v>42314</v>
      </c>
      <c r="E51" s="41">
        <v>93564334</v>
      </c>
      <c r="F51" s="42">
        <v>42297</v>
      </c>
      <c r="G51" s="41"/>
      <c r="H51" s="41">
        <v>1201120</v>
      </c>
      <c r="I51" s="41" t="s">
        <v>117</v>
      </c>
      <c r="J51" s="41">
        <v>1131196</v>
      </c>
      <c r="K51" s="41" t="s">
        <v>119</v>
      </c>
      <c r="L51" s="41">
        <v>1171090</v>
      </c>
      <c r="M51" s="41" t="s">
        <v>118</v>
      </c>
      <c r="N51" s="41">
        <v>62809</v>
      </c>
      <c r="O51" s="41" t="s">
        <v>181</v>
      </c>
      <c r="P51" s="41" t="s">
        <v>97</v>
      </c>
      <c r="Q51" s="41" t="s">
        <v>98</v>
      </c>
      <c r="R51" s="41">
        <v>84462</v>
      </c>
      <c r="S51" s="41" t="s">
        <v>182</v>
      </c>
      <c r="T51" s="41" t="s">
        <v>63</v>
      </c>
      <c r="U51" s="41" t="s">
        <v>105</v>
      </c>
      <c r="V51" s="41" t="s">
        <v>82</v>
      </c>
      <c r="W51" s="42">
        <v>42318</v>
      </c>
      <c r="X51" s="41" t="s">
        <v>83</v>
      </c>
      <c r="Y51" s="42">
        <v>42318</v>
      </c>
      <c r="Z51" s="41"/>
      <c r="AA51" s="41"/>
      <c r="AB51" s="41"/>
      <c r="AC51" s="41" t="s">
        <v>183</v>
      </c>
      <c r="AD51" s="41" t="s">
        <v>1151</v>
      </c>
      <c r="AE51" s="41" t="s">
        <v>106</v>
      </c>
      <c r="AF51" s="41" t="s">
        <v>1152</v>
      </c>
    </row>
    <row r="52" spans="1:32" x14ac:dyDescent="0.2">
      <c r="A52" s="41">
        <v>10019801</v>
      </c>
      <c r="B52" s="41" t="s">
        <v>18</v>
      </c>
      <c r="C52" s="41" t="s">
        <v>78</v>
      </c>
      <c r="D52" s="42">
        <v>42314</v>
      </c>
      <c r="E52" s="41">
        <v>93584162</v>
      </c>
      <c r="F52" s="42">
        <v>42313</v>
      </c>
      <c r="G52" s="42">
        <v>42314</v>
      </c>
      <c r="H52" s="41">
        <v>1201766</v>
      </c>
      <c r="I52" s="41" t="s">
        <v>143</v>
      </c>
      <c r="J52" s="41">
        <v>1157939</v>
      </c>
      <c r="K52" s="41" t="s">
        <v>143</v>
      </c>
      <c r="L52" s="41">
        <v>1201766</v>
      </c>
      <c r="M52" s="41" t="s">
        <v>143</v>
      </c>
      <c r="N52" s="41">
        <v>62104</v>
      </c>
      <c r="O52" s="41" t="s">
        <v>181</v>
      </c>
      <c r="P52" s="41" t="s">
        <v>67</v>
      </c>
      <c r="Q52" s="41" t="s">
        <v>68</v>
      </c>
      <c r="R52" s="41">
        <v>11.72</v>
      </c>
      <c r="S52" s="41" t="s">
        <v>182</v>
      </c>
      <c r="T52" s="41" t="s">
        <v>63</v>
      </c>
      <c r="U52" s="41" t="s">
        <v>70</v>
      </c>
      <c r="V52" s="41" t="s">
        <v>76</v>
      </c>
      <c r="W52" s="42">
        <v>42318</v>
      </c>
      <c r="X52" s="41" t="s">
        <v>64</v>
      </c>
      <c r="Y52" s="42">
        <v>42314</v>
      </c>
      <c r="Z52" s="41"/>
      <c r="AA52" s="41"/>
      <c r="AB52" s="41"/>
      <c r="AC52" s="41" t="s">
        <v>183</v>
      </c>
      <c r="AD52" s="41">
        <v>3527003885</v>
      </c>
      <c r="AE52" s="41" t="s">
        <v>77</v>
      </c>
      <c r="AF52" s="41" t="s">
        <v>191</v>
      </c>
    </row>
    <row r="53" spans="1:32" x14ac:dyDescent="0.2">
      <c r="A53" s="41">
        <v>10019802</v>
      </c>
      <c r="B53" s="41" t="s">
        <v>26</v>
      </c>
      <c r="C53" s="41" t="s">
        <v>78</v>
      </c>
      <c r="D53" s="42">
        <v>42314</v>
      </c>
      <c r="E53" s="41">
        <v>93579531</v>
      </c>
      <c r="F53" s="42">
        <v>42310</v>
      </c>
      <c r="G53" s="41"/>
      <c r="H53" s="41">
        <v>1057544</v>
      </c>
      <c r="I53" s="41" t="s">
        <v>363</v>
      </c>
      <c r="J53" s="41">
        <v>1327308</v>
      </c>
      <c r="K53" s="41" t="s">
        <v>363</v>
      </c>
      <c r="L53" s="41">
        <v>1057544</v>
      </c>
      <c r="M53" s="41" t="s">
        <v>363</v>
      </c>
      <c r="N53" s="41">
        <v>8121533</v>
      </c>
      <c r="O53" s="41" t="s">
        <v>181</v>
      </c>
      <c r="P53" s="41" t="s">
        <v>102</v>
      </c>
      <c r="Q53" s="41" t="s">
        <v>103</v>
      </c>
      <c r="R53" s="41">
        <v>6640</v>
      </c>
      <c r="S53" s="41" t="s">
        <v>182</v>
      </c>
      <c r="T53" s="41" t="s">
        <v>69</v>
      </c>
      <c r="U53" s="41" t="s">
        <v>94</v>
      </c>
      <c r="V53" s="41" t="s">
        <v>71</v>
      </c>
      <c r="W53" s="42">
        <v>42319</v>
      </c>
      <c r="X53" s="41" t="s">
        <v>64</v>
      </c>
      <c r="Y53" s="42">
        <v>42314</v>
      </c>
      <c r="Z53" s="41" t="s">
        <v>72</v>
      </c>
      <c r="AA53" s="41">
        <v>62021562</v>
      </c>
      <c r="AB53" s="42">
        <v>42319</v>
      </c>
      <c r="AC53" s="41" t="s">
        <v>183</v>
      </c>
      <c r="AD53" s="41">
        <v>649275101000</v>
      </c>
      <c r="AE53" s="41" t="s">
        <v>96</v>
      </c>
      <c r="AF53" s="41" t="s">
        <v>1119</v>
      </c>
    </row>
    <row r="54" spans="1:32" x14ac:dyDescent="0.2">
      <c r="A54" s="41">
        <v>10019803</v>
      </c>
      <c r="B54" s="41" t="s">
        <v>18</v>
      </c>
      <c r="C54" s="41" t="s">
        <v>78</v>
      </c>
      <c r="D54" s="42">
        <v>42314</v>
      </c>
      <c r="E54" s="41">
        <v>93579531</v>
      </c>
      <c r="F54" s="42">
        <v>42310</v>
      </c>
      <c r="G54" s="41"/>
      <c r="H54" s="41">
        <v>1057544</v>
      </c>
      <c r="I54" s="41" t="s">
        <v>363</v>
      </c>
      <c r="J54" s="41">
        <v>1327308</v>
      </c>
      <c r="K54" s="41" t="s">
        <v>363</v>
      </c>
      <c r="L54" s="41">
        <v>1057544</v>
      </c>
      <c r="M54" s="41" t="s">
        <v>363</v>
      </c>
      <c r="N54" s="41">
        <v>8121533</v>
      </c>
      <c r="O54" s="41" t="s">
        <v>181</v>
      </c>
      <c r="P54" s="41" t="s">
        <v>102</v>
      </c>
      <c r="Q54" s="41" t="s">
        <v>103</v>
      </c>
      <c r="R54" s="41">
        <v>52.92</v>
      </c>
      <c r="S54" s="41" t="s">
        <v>182</v>
      </c>
      <c r="T54" s="41" t="s">
        <v>63</v>
      </c>
      <c r="U54" s="41" t="s">
        <v>70</v>
      </c>
      <c r="V54" s="41" t="s">
        <v>76</v>
      </c>
      <c r="W54" s="42">
        <v>42318</v>
      </c>
      <c r="X54" s="41" t="s">
        <v>64</v>
      </c>
      <c r="Y54" s="42">
        <v>42314</v>
      </c>
      <c r="Z54" s="41"/>
      <c r="AA54" s="41"/>
      <c r="AB54" s="41"/>
      <c r="AC54" s="41" t="s">
        <v>183</v>
      </c>
      <c r="AD54" s="41">
        <v>649275101000</v>
      </c>
      <c r="AE54" s="41" t="s">
        <v>77</v>
      </c>
      <c r="AF54" s="41" t="s">
        <v>1153</v>
      </c>
    </row>
    <row r="55" spans="1:32" x14ac:dyDescent="0.2">
      <c r="A55" s="41">
        <v>10019804</v>
      </c>
      <c r="B55" s="41" t="s">
        <v>22</v>
      </c>
      <c r="C55" s="41" t="s">
        <v>78</v>
      </c>
      <c r="D55" s="42">
        <v>42314</v>
      </c>
      <c r="E55" s="41"/>
      <c r="F55" s="41"/>
      <c r="G55" s="41"/>
      <c r="H55" s="41">
        <v>1057544</v>
      </c>
      <c r="I55" s="41" t="s">
        <v>363</v>
      </c>
      <c r="J55" s="41">
        <v>1327308</v>
      </c>
      <c r="K55" s="41" t="s">
        <v>363</v>
      </c>
      <c r="L55" s="41">
        <v>1057544</v>
      </c>
      <c r="M55" s="41" t="s">
        <v>363</v>
      </c>
      <c r="N55" s="41">
        <v>8121533</v>
      </c>
      <c r="O55" s="41" t="s">
        <v>181</v>
      </c>
      <c r="P55" s="41"/>
      <c r="Q55" s="41"/>
      <c r="R55" s="41">
        <v>6640</v>
      </c>
      <c r="S55" s="41" t="s">
        <v>182</v>
      </c>
      <c r="T55" s="41" t="s">
        <v>63</v>
      </c>
      <c r="U55" s="41"/>
      <c r="V55" s="41"/>
      <c r="W55" s="41"/>
      <c r="X55" s="41" t="s">
        <v>64</v>
      </c>
      <c r="Y55" s="42">
        <v>42314</v>
      </c>
      <c r="Z55" s="41"/>
      <c r="AA55" s="41"/>
      <c r="AB55" s="41"/>
      <c r="AC55" s="41" t="s">
        <v>183</v>
      </c>
      <c r="AD55" s="41"/>
      <c r="AE55" s="41"/>
      <c r="AF55" s="41"/>
    </row>
    <row r="56" spans="1:32" x14ac:dyDescent="0.2">
      <c r="A56" s="41">
        <v>10019805</v>
      </c>
      <c r="B56" s="41" t="s">
        <v>26</v>
      </c>
      <c r="C56" s="41" t="s">
        <v>78</v>
      </c>
      <c r="D56" s="42">
        <v>42314</v>
      </c>
      <c r="E56" s="41">
        <v>93577462</v>
      </c>
      <c r="F56" s="42">
        <v>42307</v>
      </c>
      <c r="G56" s="42">
        <v>42312</v>
      </c>
      <c r="H56" s="41">
        <v>1201315</v>
      </c>
      <c r="I56" s="41" t="s">
        <v>256</v>
      </c>
      <c r="J56" s="41">
        <v>1319929</v>
      </c>
      <c r="K56" s="41" t="s">
        <v>558</v>
      </c>
      <c r="L56" s="41">
        <v>1201315</v>
      </c>
      <c r="M56" s="41" t="s">
        <v>256</v>
      </c>
      <c r="N56" s="41">
        <v>5651320</v>
      </c>
      <c r="O56" s="41" t="s">
        <v>181</v>
      </c>
      <c r="P56" s="41" t="s">
        <v>67</v>
      </c>
      <c r="Q56" s="41" t="s">
        <v>68</v>
      </c>
      <c r="R56" s="41">
        <v>265.60000000000002</v>
      </c>
      <c r="S56" s="41" t="s">
        <v>182</v>
      </c>
      <c r="T56" s="41" t="s">
        <v>69</v>
      </c>
      <c r="U56" s="41" t="s">
        <v>94</v>
      </c>
      <c r="V56" s="41" t="s">
        <v>71</v>
      </c>
      <c r="W56" s="42">
        <v>42319</v>
      </c>
      <c r="X56" s="41" t="s">
        <v>64</v>
      </c>
      <c r="Y56" s="42">
        <v>42314</v>
      </c>
      <c r="Z56" s="41" t="s">
        <v>72</v>
      </c>
      <c r="AA56" s="41">
        <v>62021563</v>
      </c>
      <c r="AB56" s="42">
        <v>42319</v>
      </c>
      <c r="AC56" s="41" t="s">
        <v>183</v>
      </c>
      <c r="AD56" s="41">
        <v>3527003292</v>
      </c>
      <c r="AE56" s="41" t="s">
        <v>96</v>
      </c>
      <c r="AF56" s="41" t="s">
        <v>1119</v>
      </c>
    </row>
    <row r="57" spans="1:32" x14ac:dyDescent="0.2">
      <c r="A57" s="41">
        <v>10019806</v>
      </c>
      <c r="B57" s="41" t="s">
        <v>18</v>
      </c>
      <c r="C57" s="41" t="s">
        <v>573</v>
      </c>
      <c r="D57" s="42">
        <v>42314</v>
      </c>
      <c r="E57" s="41">
        <v>93581617</v>
      </c>
      <c r="F57" s="42">
        <v>42311</v>
      </c>
      <c r="G57" s="41"/>
      <c r="H57" s="41">
        <v>1201731</v>
      </c>
      <c r="I57" s="41" t="s">
        <v>342</v>
      </c>
      <c r="J57" s="41">
        <v>1319945</v>
      </c>
      <c r="K57" s="41" t="s">
        <v>343</v>
      </c>
      <c r="L57" s="41">
        <v>1171089</v>
      </c>
      <c r="M57" s="41" t="s">
        <v>75</v>
      </c>
      <c r="N57" s="41">
        <v>300074013</v>
      </c>
      <c r="O57" s="41" t="s">
        <v>181</v>
      </c>
      <c r="P57" s="41" t="s">
        <v>102</v>
      </c>
      <c r="Q57" s="41" t="s">
        <v>103</v>
      </c>
      <c r="R57" s="41">
        <v>318</v>
      </c>
      <c r="S57" s="41" t="s">
        <v>182</v>
      </c>
      <c r="T57" s="41" t="s">
        <v>63</v>
      </c>
      <c r="U57" s="41" t="s">
        <v>70</v>
      </c>
      <c r="V57" s="41" t="s">
        <v>76</v>
      </c>
      <c r="W57" s="42">
        <v>42318</v>
      </c>
      <c r="X57" s="41" t="s">
        <v>64</v>
      </c>
      <c r="Y57" s="42">
        <v>42314</v>
      </c>
      <c r="Z57" s="41"/>
      <c r="AA57" s="41"/>
      <c r="AB57" s="41"/>
      <c r="AC57" s="41" t="s">
        <v>183</v>
      </c>
      <c r="AD57" s="41" t="s">
        <v>1154</v>
      </c>
      <c r="AE57" s="41" t="s">
        <v>77</v>
      </c>
      <c r="AF57" s="41" t="s">
        <v>323</v>
      </c>
    </row>
    <row r="58" spans="1:32" x14ac:dyDescent="0.2">
      <c r="A58" s="41">
        <v>10019807</v>
      </c>
      <c r="B58" s="41" t="s">
        <v>22</v>
      </c>
      <c r="C58" s="41" t="s">
        <v>78</v>
      </c>
      <c r="D58" s="42">
        <v>42314</v>
      </c>
      <c r="E58" s="41">
        <v>93577462</v>
      </c>
      <c r="F58" s="42">
        <v>42307</v>
      </c>
      <c r="G58" s="42">
        <v>42312</v>
      </c>
      <c r="H58" s="41">
        <v>1201315</v>
      </c>
      <c r="I58" s="41" t="s">
        <v>256</v>
      </c>
      <c r="J58" s="41">
        <v>1319929</v>
      </c>
      <c r="K58" s="41" t="s">
        <v>558</v>
      </c>
      <c r="L58" s="41">
        <v>1201315</v>
      </c>
      <c r="M58" s="41" t="s">
        <v>256</v>
      </c>
      <c r="N58" s="41">
        <v>5651320</v>
      </c>
      <c r="O58" s="41" t="s">
        <v>181</v>
      </c>
      <c r="P58" s="41" t="s">
        <v>67</v>
      </c>
      <c r="Q58" s="41" t="s">
        <v>68</v>
      </c>
      <c r="R58" s="41">
        <v>265.60000000000002</v>
      </c>
      <c r="S58" s="41" t="s">
        <v>182</v>
      </c>
      <c r="T58" s="41" t="s">
        <v>63</v>
      </c>
      <c r="U58" s="41"/>
      <c r="V58" s="41"/>
      <c r="W58" s="41"/>
      <c r="X58" s="41" t="s">
        <v>64</v>
      </c>
      <c r="Y58" s="42">
        <v>42314</v>
      </c>
      <c r="Z58" s="41"/>
      <c r="AA58" s="41"/>
      <c r="AB58" s="41"/>
      <c r="AC58" s="41" t="s">
        <v>183</v>
      </c>
      <c r="AD58" s="41">
        <v>3527003292</v>
      </c>
      <c r="AE58" s="41"/>
      <c r="AF58" s="41"/>
    </row>
    <row r="59" spans="1:32" x14ac:dyDescent="0.2">
      <c r="A59" s="41">
        <v>10019808</v>
      </c>
      <c r="B59" s="41" t="s">
        <v>26</v>
      </c>
      <c r="C59" s="41" t="s">
        <v>573</v>
      </c>
      <c r="D59" s="42">
        <v>42314</v>
      </c>
      <c r="E59" s="41">
        <v>93574100</v>
      </c>
      <c r="F59" s="42">
        <v>42305</v>
      </c>
      <c r="G59" s="41"/>
      <c r="H59" s="41">
        <v>1201047</v>
      </c>
      <c r="I59" s="41" t="s">
        <v>79</v>
      </c>
      <c r="J59" s="41">
        <v>1317086</v>
      </c>
      <c r="K59" s="41" t="s">
        <v>85</v>
      </c>
      <c r="L59" s="41">
        <v>1171089</v>
      </c>
      <c r="M59" s="41" t="s">
        <v>75</v>
      </c>
      <c r="N59" s="41">
        <v>23612724</v>
      </c>
      <c r="O59" s="41" t="s">
        <v>181</v>
      </c>
      <c r="P59" s="41" t="s">
        <v>86</v>
      </c>
      <c r="Q59" s="41" t="s">
        <v>87</v>
      </c>
      <c r="R59" s="41">
        <v>830</v>
      </c>
      <c r="S59" s="41" t="s">
        <v>182</v>
      </c>
      <c r="T59" s="41" t="s">
        <v>63</v>
      </c>
      <c r="U59" s="41" t="s">
        <v>94</v>
      </c>
      <c r="V59" s="41" t="s">
        <v>71</v>
      </c>
      <c r="W59" s="42">
        <v>42324</v>
      </c>
      <c r="X59" s="41" t="s">
        <v>64</v>
      </c>
      <c r="Y59" s="42">
        <v>42314</v>
      </c>
      <c r="Z59" s="41"/>
      <c r="AA59" s="41"/>
      <c r="AB59" s="41"/>
      <c r="AC59" s="41" t="s">
        <v>183</v>
      </c>
      <c r="AD59" s="41" t="s">
        <v>1155</v>
      </c>
      <c r="AE59" s="41" t="s">
        <v>96</v>
      </c>
      <c r="AF59" s="41" t="s">
        <v>1119</v>
      </c>
    </row>
    <row r="60" spans="1:32" x14ac:dyDescent="0.2">
      <c r="A60" s="41">
        <v>10019809</v>
      </c>
      <c r="B60" s="41" t="s">
        <v>26</v>
      </c>
      <c r="C60" s="41" t="s">
        <v>573</v>
      </c>
      <c r="D60" s="42">
        <v>42314</v>
      </c>
      <c r="E60" s="41">
        <v>93574134</v>
      </c>
      <c r="F60" s="42">
        <v>42305</v>
      </c>
      <c r="G60" s="41"/>
      <c r="H60" s="41">
        <v>1201047</v>
      </c>
      <c r="I60" s="41" t="s">
        <v>79</v>
      </c>
      <c r="J60" s="41">
        <v>1317086</v>
      </c>
      <c r="K60" s="41" t="s">
        <v>85</v>
      </c>
      <c r="L60" s="41">
        <v>1171089</v>
      </c>
      <c r="M60" s="41" t="s">
        <v>75</v>
      </c>
      <c r="N60" s="41">
        <v>23612724</v>
      </c>
      <c r="O60" s="41" t="s">
        <v>181</v>
      </c>
      <c r="P60" s="41" t="s">
        <v>97</v>
      </c>
      <c r="Q60" s="41" t="s">
        <v>98</v>
      </c>
      <c r="R60" s="41">
        <v>10176</v>
      </c>
      <c r="S60" s="41" t="s">
        <v>182</v>
      </c>
      <c r="T60" s="41" t="s">
        <v>63</v>
      </c>
      <c r="U60" s="41" t="s">
        <v>81</v>
      </c>
      <c r="V60" s="41" t="s">
        <v>88</v>
      </c>
      <c r="W60" s="42">
        <v>42331</v>
      </c>
      <c r="X60" s="41"/>
      <c r="Y60" s="41"/>
      <c r="Z60" s="41"/>
      <c r="AA60" s="41"/>
      <c r="AB60" s="41"/>
      <c r="AC60" s="41" t="s">
        <v>183</v>
      </c>
      <c r="AD60" s="41">
        <v>87944972654641</v>
      </c>
      <c r="AE60" s="41" t="s">
        <v>89</v>
      </c>
      <c r="AF60" s="41" t="s">
        <v>1156</v>
      </c>
    </row>
    <row r="61" spans="1:32" x14ac:dyDescent="0.2">
      <c r="A61" s="41">
        <v>10019810</v>
      </c>
      <c r="B61" s="41" t="s">
        <v>18</v>
      </c>
      <c r="C61" s="41" t="s">
        <v>573</v>
      </c>
      <c r="D61" s="42">
        <v>42317</v>
      </c>
      <c r="E61" s="41">
        <v>93586156</v>
      </c>
      <c r="F61" s="42">
        <v>42314</v>
      </c>
      <c r="G61" s="41"/>
      <c r="H61" s="41">
        <v>1201120</v>
      </c>
      <c r="I61" s="41" t="s">
        <v>117</v>
      </c>
      <c r="J61" s="41">
        <v>1307782</v>
      </c>
      <c r="K61" s="41" t="s">
        <v>119</v>
      </c>
      <c r="L61" s="41">
        <v>1171090</v>
      </c>
      <c r="M61" s="41" t="s">
        <v>118</v>
      </c>
      <c r="N61" s="41" t="s">
        <v>1157</v>
      </c>
      <c r="O61" s="41" t="s">
        <v>181</v>
      </c>
      <c r="P61" s="41" t="s">
        <v>91</v>
      </c>
      <c r="Q61" s="41" t="s">
        <v>92</v>
      </c>
      <c r="R61" s="41">
        <v>5554.16</v>
      </c>
      <c r="S61" s="41" t="s">
        <v>182</v>
      </c>
      <c r="T61" s="41" t="s">
        <v>63</v>
      </c>
      <c r="U61" s="41" t="s">
        <v>70</v>
      </c>
      <c r="V61" s="41" t="s">
        <v>76</v>
      </c>
      <c r="W61" s="42">
        <v>42318</v>
      </c>
      <c r="X61" s="41" t="s">
        <v>64</v>
      </c>
      <c r="Y61" s="42">
        <v>42317</v>
      </c>
      <c r="Z61" s="41"/>
      <c r="AA61" s="41"/>
      <c r="AB61" s="41"/>
      <c r="AC61" s="41" t="s">
        <v>183</v>
      </c>
      <c r="AD61" s="41" t="s">
        <v>1158</v>
      </c>
      <c r="AE61" s="41" t="s">
        <v>77</v>
      </c>
      <c r="AF61" s="41" t="s">
        <v>655</v>
      </c>
    </row>
    <row r="62" spans="1:32" x14ac:dyDescent="0.2">
      <c r="A62" s="41">
        <v>10019811</v>
      </c>
      <c r="B62" s="41" t="s">
        <v>18</v>
      </c>
      <c r="C62" s="41" t="s">
        <v>573</v>
      </c>
      <c r="D62" s="42">
        <v>42317</v>
      </c>
      <c r="E62" s="41">
        <v>93582765</v>
      </c>
      <c r="F62" s="42">
        <v>42312</v>
      </c>
      <c r="G62" s="41"/>
      <c r="H62" s="41">
        <v>1201120</v>
      </c>
      <c r="I62" s="41" t="s">
        <v>117</v>
      </c>
      <c r="J62" s="41">
        <v>1307782</v>
      </c>
      <c r="K62" s="41" t="s">
        <v>119</v>
      </c>
      <c r="L62" s="41">
        <v>1171090</v>
      </c>
      <c r="M62" s="41" t="s">
        <v>118</v>
      </c>
      <c r="N62" s="41" t="s">
        <v>1159</v>
      </c>
      <c r="O62" s="41" t="s">
        <v>181</v>
      </c>
      <c r="P62" s="41" t="s">
        <v>102</v>
      </c>
      <c r="Q62" s="41" t="s">
        <v>103</v>
      </c>
      <c r="R62" s="41">
        <v>3929.64</v>
      </c>
      <c r="S62" s="41" t="s">
        <v>182</v>
      </c>
      <c r="T62" s="41" t="s">
        <v>63</v>
      </c>
      <c r="U62" s="41" t="s">
        <v>70</v>
      </c>
      <c r="V62" s="41" t="s">
        <v>76</v>
      </c>
      <c r="W62" s="42">
        <v>42318</v>
      </c>
      <c r="X62" s="41" t="s">
        <v>64</v>
      </c>
      <c r="Y62" s="42">
        <v>42317</v>
      </c>
      <c r="Z62" s="41"/>
      <c r="AA62" s="41"/>
      <c r="AB62" s="41"/>
      <c r="AC62" s="41" t="s">
        <v>183</v>
      </c>
      <c r="AD62" s="41" t="s">
        <v>1160</v>
      </c>
      <c r="AE62" s="41" t="s">
        <v>77</v>
      </c>
      <c r="AF62" s="41" t="s">
        <v>1161</v>
      </c>
    </row>
    <row r="63" spans="1:32" x14ac:dyDescent="0.2">
      <c r="A63" s="41">
        <v>10019812</v>
      </c>
      <c r="B63" s="41" t="s">
        <v>18</v>
      </c>
      <c r="C63" s="41" t="s">
        <v>573</v>
      </c>
      <c r="D63" s="42">
        <v>42317</v>
      </c>
      <c r="E63" s="41">
        <v>93576412</v>
      </c>
      <c r="F63" s="42">
        <v>42306</v>
      </c>
      <c r="G63" s="42">
        <v>42307</v>
      </c>
      <c r="H63" s="41">
        <v>1201399</v>
      </c>
      <c r="I63" s="41" t="s">
        <v>144</v>
      </c>
      <c r="J63" s="41">
        <v>1334926</v>
      </c>
      <c r="K63" s="41" t="s">
        <v>145</v>
      </c>
      <c r="L63" s="41">
        <v>1171970</v>
      </c>
      <c r="M63" s="41" t="s">
        <v>144</v>
      </c>
      <c r="N63" s="41">
        <v>8106676919</v>
      </c>
      <c r="O63" s="41" t="s">
        <v>181</v>
      </c>
      <c r="P63" s="41" t="s">
        <v>91</v>
      </c>
      <c r="Q63" s="41" t="s">
        <v>92</v>
      </c>
      <c r="R63" s="41">
        <v>147.80000000000001</v>
      </c>
      <c r="S63" s="41" t="s">
        <v>182</v>
      </c>
      <c r="T63" s="41" t="s">
        <v>63</v>
      </c>
      <c r="U63" s="41" t="s">
        <v>70</v>
      </c>
      <c r="V63" s="41" t="s">
        <v>76</v>
      </c>
      <c r="W63" s="42">
        <v>42318</v>
      </c>
      <c r="X63" s="41" t="s">
        <v>64</v>
      </c>
      <c r="Y63" s="42">
        <v>42317</v>
      </c>
      <c r="Z63" s="41"/>
      <c r="AA63" s="41"/>
      <c r="AB63" s="41"/>
      <c r="AC63" s="41" t="s">
        <v>183</v>
      </c>
      <c r="AD63" s="41" t="s">
        <v>1162</v>
      </c>
      <c r="AE63" s="41" t="s">
        <v>77</v>
      </c>
      <c r="AF63" s="41" t="s">
        <v>211</v>
      </c>
    </row>
    <row r="64" spans="1:32" x14ac:dyDescent="0.2">
      <c r="A64" s="41">
        <v>10019813</v>
      </c>
      <c r="B64" s="41" t="s">
        <v>18</v>
      </c>
      <c r="C64" s="41" t="s">
        <v>136</v>
      </c>
      <c r="D64" s="42">
        <v>42317</v>
      </c>
      <c r="E64" s="41">
        <v>93586168</v>
      </c>
      <c r="F64" s="42">
        <v>42314</v>
      </c>
      <c r="G64" s="41"/>
      <c r="H64" s="41">
        <v>1201120</v>
      </c>
      <c r="I64" s="41" t="s">
        <v>117</v>
      </c>
      <c r="J64" s="41">
        <v>1307782</v>
      </c>
      <c r="K64" s="41" t="s">
        <v>119</v>
      </c>
      <c r="L64" s="41">
        <v>1171090</v>
      </c>
      <c r="M64" s="41" t="s">
        <v>118</v>
      </c>
      <c r="N64" s="41" t="s">
        <v>1157</v>
      </c>
      <c r="O64" s="41" t="s">
        <v>181</v>
      </c>
      <c r="P64" s="41" t="s">
        <v>123</v>
      </c>
      <c r="Q64" s="41" t="s">
        <v>124</v>
      </c>
      <c r="R64" s="41">
        <v>534.24</v>
      </c>
      <c r="S64" s="41" t="s">
        <v>182</v>
      </c>
      <c r="T64" s="41" t="s">
        <v>63</v>
      </c>
      <c r="U64" s="41" t="s">
        <v>70</v>
      </c>
      <c r="V64" s="41" t="s">
        <v>76</v>
      </c>
      <c r="W64" s="42">
        <v>42318</v>
      </c>
      <c r="X64" s="41" t="s">
        <v>64</v>
      </c>
      <c r="Y64" s="42">
        <v>42317</v>
      </c>
      <c r="Z64" s="41"/>
      <c r="AA64" s="41"/>
      <c r="AB64" s="41"/>
      <c r="AC64" s="41" t="s">
        <v>183</v>
      </c>
      <c r="AD64" s="41" t="s">
        <v>1163</v>
      </c>
      <c r="AE64" s="41" t="s">
        <v>77</v>
      </c>
      <c r="AF64" s="41" t="s">
        <v>1164</v>
      </c>
    </row>
    <row r="65" spans="1:32" x14ac:dyDescent="0.2">
      <c r="A65" s="41">
        <v>10019814</v>
      </c>
      <c r="B65" s="41" t="s">
        <v>22</v>
      </c>
      <c r="C65" s="41" t="s">
        <v>252</v>
      </c>
      <c r="D65" s="42">
        <v>42317</v>
      </c>
      <c r="E65" s="41">
        <v>93582806</v>
      </c>
      <c r="F65" s="41"/>
      <c r="G65" s="41"/>
      <c r="H65" s="41">
        <v>1201301</v>
      </c>
      <c r="I65" s="41" t="s">
        <v>378</v>
      </c>
      <c r="J65" s="41">
        <v>1058805</v>
      </c>
      <c r="K65" s="41" t="s">
        <v>379</v>
      </c>
      <c r="L65" s="41">
        <v>1171972</v>
      </c>
      <c r="M65" s="41" t="s">
        <v>379</v>
      </c>
      <c r="N65" s="41">
        <v>12902650</v>
      </c>
      <c r="O65" s="41" t="s">
        <v>181</v>
      </c>
      <c r="P65" s="41" t="s">
        <v>97</v>
      </c>
      <c r="Q65" s="41" t="s">
        <v>98</v>
      </c>
      <c r="R65" s="41">
        <v>399.84</v>
      </c>
      <c r="S65" s="41" t="s">
        <v>182</v>
      </c>
      <c r="T65" s="41" t="s">
        <v>69</v>
      </c>
      <c r="U65" s="41" t="s">
        <v>94</v>
      </c>
      <c r="V65" s="41" t="s">
        <v>71</v>
      </c>
      <c r="W65" s="42">
        <v>42324</v>
      </c>
      <c r="X65" s="41" t="s">
        <v>64</v>
      </c>
      <c r="Y65" s="42">
        <v>42317</v>
      </c>
      <c r="Z65" s="41" t="s">
        <v>72</v>
      </c>
      <c r="AA65" s="41">
        <v>62025859</v>
      </c>
      <c r="AB65" s="42">
        <v>42325</v>
      </c>
      <c r="AC65" s="41" t="s">
        <v>183</v>
      </c>
      <c r="AD65" s="41"/>
      <c r="AE65" s="41" t="s">
        <v>1165</v>
      </c>
      <c r="AF65" s="41" t="s">
        <v>1166</v>
      </c>
    </row>
    <row r="66" spans="1:32" x14ac:dyDescent="0.2">
      <c r="A66" s="41">
        <v>10019815</v>
      </c>
      <c r="B66" s="41" t="s">
        <v>22</v>
      </c>
      <c r="C66" s="41" t="s">
        <v>573</v>
      </c>
      <c r="D66" s="42">
        <v>42317</v>
      </c>
      <c r="E66" s="41">
        <v>93584185</v>
      </c>
      <c r="F66" s="42">
        <v>42313</v>
      </c>
      <c r="G66" s="42">
        <v>42314</v>
      </c>
      <c r="H66" s="41">
        <v>1322515</v>
      </c>
      <c r="I66" s="41" t="s">
        <v>139</v>
      </c>
      <c r="J66" s="41">
        <v>1323861</v>
      </c>
      <c r="K66" s="41" t="s">
        <v>140</v>
      </c>
      <c r="L66" s="41">
        <v>1322515</v>
      </c>
      <c r="M66" s="41" t="s">
        <v>139</v>
      </c>
      <c r="N66" s="41">
        <v>240369</v>
      </c>
      <c r="O66" s="41" t="s">
        <v>181</v>
      </c>
      <c r="P66" s="41" t="s">
        <v>67</v>
      </c>
      <c r="Q66" s="41" t="s">
        <v>68</v>
      </c>
      <c r="R66" s="41">
        <v>341.28</v>
      </c>
      <c r="S66" s="41" t="s">
        <v>182</v>
      </c>
      <c r="T66" s="41" t="s">
        <v>63</v>
      </c>
      <c r="U66" s="41" t="s">
        <v>94</v>
      </c>
      <c r="V66" s="41" t="s">
        <v>141</v>
      </c>
      <c r="W66" s="42">
        <v>42321</v>
      </c>
      <c r="X66" s="41" t="s">
        <v>64</v>
      </c>
      <c r="Y66" s="42">
        <v>42317</v>
      </c>
      <c r="Z66" s="41"/>
      <c r="AA66" s="41"/>
      <c r="AB66" s="41"/>
      <c r="AC66" s="41" t="s">
        <v>183</v>
      </c>
      <c r="AD66" s="41">
        <v>3527003815</v>
      </c>
      <c r="AE66" s="41" t="s">
        <v>142</v>
      </c>
      <c r="AF66" s="41" t="s">
        <v>1167</v>
      </c>
    </row>
    <row r="67" spans="1:32" x14ac:dyDescent="0.2">
      <c r="A67" s="41">
        <v>10019816</v>
      </c>
      <c r="B67" s="41" t="s">
        <v>18</v>
      </c>
      <c r="C67" s="41" t="s">
        <v>136</v>
      </c>
      <c r="D67" s="42">
        <v>42317</v>
      </c>
      <c r="E67" s="41">
        <v>93586153</v>
      </c>
      <c r="F67" s="42">
        <v>42314</v>
      </c>
      <c r="G67" s="41"/>
      <c r="H67" s="41">
        <v>1201120</v>
      </c>
      <c r="I67" s="41" t="s">
        <v>117</v>
      </c>
      <c r="J67" s="41">
        <v>1307782</v>
      </c>
      <c r="K67" s="41" t="s">
        <v>119</v>
      </c>
      <c r="L67" s="41">
        <v>1171090</v>
      </c>
      <c r="M67" s="41" t="s">
        <v>118</v>
      </c>
      <c r="N67" s="41" t="s">
        <v>1168</v>
      </c>
      <c r="O67" s="41" t="s">
        <v>181</v>
      </c>
      <c r="P67" s="41" t="s">
        <v>91</v>
      </c>
      <c r="Q67" s="41" t="s">
        <v>92</v>
      </c>
      <c r="R67" s="41">
        <v>793.48</v>
      </c>
      <c r="S67" s="41" t="s">
        <v>182</v>
      </c>
      <c r="T67" s="41" t="s">
        <v>63</v>
      </c>
      <c r="U67" s="41" t="s">
        <v>70</v>
      </c>
      <c r="V67" s="41" t="s">
        <v>76</v>
      </c>
      <c r="W67" s="42">
        <v>42318</v>
      </c>
      <c r="X67" s="41" t="s">
        <v>64</v>
      </c>
      <c r="Y67" s="42">
        <v>42317</v>
      </c>
      <c r="Z67" s="41"/>
      <c r="AA67" s="41"/>
      <c r="AB67" s="41"/>
      <c r="AC67" s="41" t="s">
        <v>183</v>
      </c>
      <c r="AD67" s="41" t="s">
        <v>1158</v>
      </c>
      <c r="AE67" s="41" t="s">
        <v>77</v>
      </c>
      <c r="AF67" s="41" t="s">
        <v>1169</v>
      </c>
    </row>
    <row r="68" spans="1:32" x14ac:dyDescent="0.2">
      <c r="A68" s="41">
        <v>10019817</v>
      </c>
      <c r="B68" s="41" t="s">
        <v>18</v>
      </c>
      <c r="C68" s="41" t="s">
        <v>136</v>
      </c>
      <c r="D68" s="42">
        <v>42317</v>
      </c>
      <c r="E68" s="41">
        <v>93586155</v>
      </c>
      <c r="F68" s="42">
        <v>42314</v>
      </c>
      <c r="G68" s="41"/>
      <c r="H68" s="41">
        <v>1201120</v>
      </c>
      <c r="I68" s="41" t="s">
        <v>117</v>
      </c>
      <c r="J68" s="41">
        <v>1307782</v>
      </c>
      <c r="K68" s="41" t="s">
        <v>119</v>
      </c>
      <c r="L68" s="41">
        <v>1171090</v>
      </c>
      <c r="M68" s="41" t="s">
        <v>118</v>
      </c>
      <c r="N68" s="41" t="s">
        <v>1168</v>
      </c>
      <c r="O68" s="41" t="s">
        <v>181</v>
      </c>
      <c r="P68" s="41" t="s">
        <v>123</v>
      </c>
      <c r="Q68" s="41" t="s">
        <v>124</v>
      </c>
      <c r="R68" s="41">
        <v>1936.35</v>
      </c>
      <c r="S68" s="41" t="s">
        <v>182</v>
      </c>
      <c r="T68" s="41" t="s">
        <v>63</v>
      </c>
      <c r="U68" s="41" t="s">
        <v>70</v>
      </c>
      <c r="V68" s="41" t="s">
        <v>76</v>
      </c>
      <c r="W68" s="42">
        <v>42327</v>
      </c>
      <c r="X68" s="41" t="s">
        <v>64</v>
      </c>
      <c r="Y68" s="42">
        <v>42320</v>
      </c>
      <c r="Z68" s="41"/>
      <c r="AA68" s="41"/>
      <c r="AB68" s="41"/>
      <c r="AC68" s="41" t="s">
        <v>183</v>
      </c>
      <c r="AD68" s="41" t="s">
        <v>1163</v>
      </c>
      <c r="AE68" s="41" t="s">
        <v>77</v>
      </c>
      <c r="AF68" s="41" t="s">
        <v>1170</v>
      </c>
    </row>
    <row r="69" spans="1:32" x14ac:dyDescent="0.2">
      <c r="A69" s="41">
        <v>10019818</v>
      </c>
      <c r="B69" s="41" t="s">
        <v>26</v>
      </c>
      <c r="C69" s="41" t="s">
        <v>252</v>
      </c>
      <c r="D69" s="42">
        <v>42318</v>
      </c>
      <c r="E69" s="41">
        <v>93574055</v>
      </c>
      <c r="F69" s="42">
        <v>42305</v>
      </c>
      <c r="G69" s="42">
        <v>42312</v>
      </c>
      <c r="H69" s="41">
        <v>1201044</v>
      </c>
      <c r="I69" s="41" t="s">
        <v>65</v>
      </c>
      <c r="J69" s="41">
        <v>1033809</v>
      </c>
      <c r="K69" s="41" t="s">
        <v>66</v>
      </c>
      <c r="L69" s="41">
        <v>1201044</v>
      </c>
      <c r="M69" s="41" t="s">
        <v>65</v>
      </c>
      <c r="N69" s="41">
        <v>10440448</v>
      </c>
      <c r="O69" s="41" t="s">
        <v>181</v>
      </c>
      <c r="P69" s="41" t="s">
        <v>67</v>
      </c>
      <c r="Q69" s="41" t="s">
        <v>68</v>
      </c>
      <c r="R69" s="41">
        <v>781.68</v>
      </c>
      <c r="S69" s="41" t="s">
        <v>182</v>
      </c>
      <c r="T69" s="41" t="s">
        <v>69</v>
      </c>
      <c r="U69" s="41" t="s">
        <v>70</v>
      </c>
      <c r="V69" s="41" t="s">
        <v>71</v>
      </c>
      <c r="W69" s="42">
        <v>42324</v>
      </c>
      <c r="X69" s="41" t="s">
        <v>64</v>
      </c>
      <c r="Y69" s="42">
        <v>42318</v>
      </c>
      <c r="Z69" s="41" t="s">
        <v>72</v>
      </c>
      <c r="AA69" s="41">
        <v>62025858</v>
      </c>
      <c r="AB69" s="42">
        <v>42325</v>
      </c>
      <c r="AC69" s="41" t="s">
        <v>183</v>
      </c>
      <c r="AD69" s="41">
        <v>3527002964</v>
      </c>
      <c r="AE69" s="41" t="s">
        <v>73</v>
      </c>
      <c r="AF69" s="41" t="s">
        <v>1171</v>
      </c>
    </row>
    <row r="70" spans="1:32" x14ac:dyDescent="0.2">
      <c r="A70" s="41">
        <v>10019819</v>
      </c>
      <c r="B70" s="41" t="s">
        <v>18</v>
      </c>
      <c r="C70" s="41" t="s">
        <v>78</v>
      </c>
      <c r="D70" s="42">
        <v>42318</v>
      </c>
      <c r="E70" s="41">
        <v>93582939</v>
      </c>
      <c r="F70" s="42">
        <v>42312</v>
      </c>
      <c r="G70" s="42">
        <v>42314</v>
      </c>
      <c r="H70" s="41">
        <v>1201540</v>
      </c>
      <c r="I70" s="41" t="s">
        <v>150</v>
      </c>
      <c r="J70" s="41">
        <v>1312297</v>
      </c>
      <c r="K70" s="41" t="s">
        <v>151</v>
      </c>
      <c r="L70" s="41">
        <v>1201540</v>
      </c>
      <c r="M70" s="41" t="s">
        <v>150</v>
      </c>
      <c r="N70" s="41" t="s">
        <v>1172</v>
      </c>
      <c r="O70" s="41" t="s">
        <v>181</v>
      </c>
      <c r="P70" s="41" t="s">
        <v>67</v>
      </c>
      <c r="Q70" s="41" t="s">
        <v>68</v>
      </c>
      <c r="R70" s="41">
        <v>3216.34</v>
      </c>
      <c r="S70" s="41" t="s">
        <v>182</v>
      </c>
      <c r="T70" s="41" t="s">
        <v>63</v>
      </c>
      <c r="U70" s="41" t="s">
        <v>70</v>
      </c>
      <c r="V70" s="41" t="s">
        <v>76</v>
      </c>
      <c r="W70" s="42">
        <v>42318</v>
      </c>
      <c r="X70" s="41" t="s">
        <v>64</v>
      </c>
      <c r="Y70" s="42">
        <v>42318</v>
      </c>
      <c r="Z70" s="41"/>
      <c r="AA70" s="41"/>
      <c r="AB70" s="41"/>
      <c r="AC70" s="41" t="s">
        <v>183</v>
      </c>
      <c r="AD70" s="41">
        <v>3527003756</v>
      </c>
      <c r="AE70" s="41" t="s">
        <v>77</v>
      </c>
      <c r="AF70" s="41" t="s">
        <v>1173</v>
      </c>
    </row>
    <row r="71" spans="1:32" x14ac:dyDescent="0.2">
      <c r="A71" s="41">
        <v>10019820</v>
      </c>
      <c r="B71" s="41" t="s">
        <v>24</v>
      </c>
      <c r="C71" s="41" t="s">
        <v>573</v>
      </c>
      <c r="D71" s="42">
        <v>42318</v>
      </c>
      <c r="E71" s="41">
        <v>93582958</v>
      </c>
      <c r="F71" s="42">
        <v>42312</v>
      </c>
      <c r="G71" s="42">
        <v>42317</v>
      </c>
      <c r="H71" s="41">
        <v>1201605</v>
      </c>
      <c r="I71" s="41" t="s">
        <v>155</v>
      </c>
      <c r="J71" s="41">
        <v>1323069</v>
      </c>
      <c r="K71" s="41" t="s">
        <v>155</v>
      </c>
      <c r="L71" s="41">
        <v>1172017</v>
      </c>
      <c r="M71" s="41" t="s">
        <v>155</v>
      </c>
      <c r="N71" s="41">
        <v>544158</v>
      </c>
      <c r="O71" s="41" t="s">
        <v>181</v>
      </c>
      <c r="P71" s="41" t="s">
        <v>67</v>
      </c>
      <c r="Q71" s="41" t="s">
        <v>68</v>
      </c>
      <c r="R71" s="41">
        <v>950.16</v>
      </c>
      <c r="S71" s="41" t="s">
        <v>182</v>
      </c>
      <c r="T71" s="41" t="s">
        <v>63</v>
      </c>
      <c r="U71" s="41"/>
      <c r="V71" s="41"/>
      <c r="W71" s="41"/>
      <c r="X71" s="41" t="s">
        <v>64</v>
      </c>
      <c r="Y71" s="42">
        <v>42318</v>
      </c>
      <c r="Z71" s="41"/>
      <c r="AA71" s="41"/>
      <c r="AB71" s="41"/>
      <c r="AC71" s="41" t="s">
        <v>183</v>
      </c>
      <c r="AD71" s="41">
        <v>3527003524</v>
      </c>
      <c r="AE71" s="41"/>
      <c r="AF71" s="41"/>
    </row>
    <row r="72" spans="1:32" x14ac:dyDescent="0.2">
      <c r="A72" s="41">
        <v>10019821</v>
      </c>
      <c r="B72" s="41" t="s">
        <v>22</v>
      </c>
      <c r="C72" s="41" t="s">
        <v>573</v>
      </c>
      <c r="D72" s="42">
        <v>42318</v>
      </c>
      <c r="E72" s="41">
        <v>93582958</v>
      </c>
      <c r="F72" s="42">
        <v>42312</v>
      </c>
      <c r="G72" s="42">
        <v>42317</v>
      </c>
      <c r="H72" s="41">
        <v>1201605</v>
      </c>
      <c r="I72" s="41" t="s">
        <v>155</v>
      </c>
      <c r="J72" s="41">
        <v>1323069</v>
      </c>
      <c r="K72" s="41" t="s">
        <v>155</v>
      </c>
      <c r="L72" s="41">
        <v>1172017</v>
      </c>
      <c r="M72" s="41" t="s">
        <v>155</v>
      </c>
      <c r="N72" s="41">
        <v>544158</v>
      </c>
      <c r="O72" s="41" t="s">
        <v>181</v>
      </c>
      <c r="P72" s="41" t="s">
        <v>67</v>
      </c>
      <c r="Q72" s="41" t="s">
        <v>68</v>
      </c>
      <c r="R72" s="41">
        <v>830</v>
      </c>
      <c r="S72" s="41" t="s">
        <v>182</v>
      </c>
      <c r="T72" s="41" t="s">
        <v>63</v>
      </c>
      <c r="U72" s="41"/>
      <c r="V72" s="41"/>
      <c r="W72" s="41"/>
      <c r="X72" s="41" t="s">
        <v>64</v>
      </c>
      <c r="Y72" s="42">
        <v>42318</v>
      </c>
      <c r="Z72" s="41"/>
      <c r="AA72" s="41"/>
      <c r="AB72" s="41"/>
      <c r="AC72" s="41" t="s">
        <v>183</v>
      </c>
      <c r="AD72" s="41">
        <v>3527003524</v>
      </c>
      <c r="AE72" s="41"/>
      <c r="AF72" s="41"/>
    </row>
    <row r="73" spans="1:32" x14ac:dyDescent="0.2">
      <c r="A73" s="41">
        <v>10019822</v>
      </c>
      <c r="B73" s="41" t="s">
        <v>26</v>
      </c>
      <c r="C73" s="41" t="s">
        <v>573</v>
      </c>
      <c r="D73" s="42">
        <v>42318</v>
      </c>
      <c r="E73" s="41">
        <v>93582958</v>
      </c>
      <c r="F73" s="42">
        <v>42312</v>
      </c>
      <c r="G73" s="42">
        <v>42317</v>
      </c>
      <c r="H73" s="41">
        <v>1201605</v>
      </c>
      <c r="I73" s="41" t="s">
        <v>155</v>
      </c>
      <c r="J73" s="41">
        <v>1323069</v>
      </c>
      <c r="K73" s="41" t="s">
        <v>155</v>
      </c>
      <c r="L73" s="41">
        <v>1172017</v>
      </c>
      <c r="M73" s="41" t="s">
        <v>155</v>
      </c>
      <c r="N73" s="41">
        <v>544158</v>
      </c>
      <c r="O73" s="41" t="s">
        <v>181</v>
      </c>
      <c r="P73" s="41" t="s">
        <v>67</v>
      </c>
      <c r="Q73" s="41" t="s">
        <v>68</v>
      </c>
      <c r="R73" s="41">
        <v>830</v>
      </c>
      <c r="S73" s="41" t="s">
        <v>182</v>
      </c>
      <c r="T73" s="41" t="s">
        <v>63</v>
      </c>
      <c r="U73" s="41" t="s">
        <v>94</v>
      </c>
      <c r="V73" s="41" t="s">
        <v>71</v>
      </c>
      <c r="W73" s="42">
        <v>42319</v>
      </c>
      <c r="X73" s="41" t="s">
        <v>64</v>
      </c>
      <c r="Y73" s="42">
        <v>42318</v>
      </c>
      <c r="Z73" s="41"/>
      <c r="AA73" s="41"/>
      <c r="AB73" s="41"/>
      <c r="AC73" s="41" t="s">
        <v>183</v>
      </c>
      <c r="AD73" s="41">
        <v>3527003524</v>
      </c>
      <c r="AE73" s="41" t="s">
        <v>96</v>
      </c>
      <c r="AF73" s="41" t="s">
        <v>1119</v>
      </c>
    </row>
    <row r="74" spans="1:32" x14ac:dyDescent="0.2">
      <c r="A74" s="41">
        <v>10019823</v>
      </c>
      <c r="B74" s="41" t="s">
        <v>26</v>
      </c>
      <c r="C74" s="41" t="s">
        <v>252</v>
      </c>
      <c r="D74" s="42">
        <v>42318</v>
      </c>
      <c r="E74" s="41">
        <v>93570217</v>
      </c>
      <c r="F74" s="42">
        <v>42303</v>
      </c>
      <c r="G74" s="42">
        <v>42305</v>
      </c>
      <c r="H74" s="41">
        <v>1201156</v>
      </c>
      <c r="I74" s="41" t="s">
        <v>131</v>
      </c>
      <c r="J74" s="41">
        <v>1307233</v>
      </c>
      <c r="K74" s="41" t="s">
        <v>132</v>
      </c>
      <c r="L74" s="41">
        <v>1201156</v>
      </c>
      <c r="M74" s="41" t="s">
        <v>131</v>
      </c>
      <c r="N74" s="41">
        <v>9165509</v>
      </c>
      <c r="O74" s="41" t="s">
        <v>181</v>
      </c>
      <c r="P74" s="41" t="s">
        <v>61</v>
      </c>
      <c r="Q74" s="41" t="s">
        <v>62</v>
      </c>
      <c r="R74" s="41">
        <v>2902.32</v>
      </c>
      <c r="S74" s="41" t="s">
        <v>182</v>
      </c>
      <c r="T74" s="41" t="s">
        <v>63</v>
      </c>
      <c r="U74" s="41" t="s">
        <v>94</v>
      </c>
      <c r="V74" s="41" t="s">
        <v>95</v>
      </c>
      <c r="W74" s="42">
        <v>42319</v>
      </c>
      <c r="X74" s="41" t="s">
        <v>64</v>
      </c>
      <c r="Y74" s="42">
        <v>42318</v>
      </c>
      <c r="Z74" s="41"/>
      <c r="AA74" s="41"/>
      <c r="AB74" s="41"/>
      <c r="AC74" s="41" t="s">
        <v>183</v>
      </c>
      <c r="AD74" s="41">
        <v>327764621</v>
      </c>
      <c r="AE74" s="41" t="s">
        <v>96</v>
      </c>
      <c r="AF74" s="41" t="s">
        <v>1174</v>
      </c>
    </row>
    <row r="75" spans="1:32" x14ac:dyDescent="0.2">
      <c r="A75" s="41">
        <v>10019824</v>
      </c>
      <c r="B75" s="41" t="s">
        <v>18</v>
      </c>
      <c r="C75" s="41" t="s">
        <v>78</v>
      </c>
      <c r="D75" s="42">
        <v>42318</v>
      </c>
      <c r="E75" s="41">
        <v>93583741</v>
      </c>
      <c r="F75" s="42">
        <v>42313</v>
      </c>
      <c r="G75" s="41"/>
      <c r="H75" s="41">
        <v>1057544</v>
      </c>
      <c r="I75" s="41" t="s">
        <v>363</v>
      </c>
      <c r="J75" s="41">
        <v>1327308</v>
      </c>
      <c r="K75" s="41" t="s">
        <v>363</v>
      </c>
      <c r="L75" s="41">
        <v>1057544</v>
      </c>
      <c r="M75" s="41" t="s">
        <v>363</v>
      </c>
      <c r="N75" s="41">
        <v>8121879</v>
      </c>
      <c r="O75" s="41" t="s">
        <v>181</v>
      </c>
      <c r="P75" s="41" t="s">
        <v>102</v>
      </c>
      <c r="Q75" s="41" t="s">
        <v>103</v>
      </c>
      <c r="R75" s="41">
        <v>5575.56</v>
      </c>
      <c r="S75" s="41" t="s">
        <v>182</v>
      </c>
      <c r="T75" s="41" t="s">
        <v>63</v>
      </c>
      <c r="U75" s="41" t="s">
        <v>70</v>
      </c>
      <c r="V75" s="41" t="s">
        <v>76</v>
      </c>
      <c r="W75" s="42">
        <v>42318</v>
      </c>
      <c r="X75" s="41" t="s">
        <v>64</v>
      </c>
      <c r="Y75" s="42">
        <v>42318</v>
      </c>
      <c r="Z75" s="41"/>
      <c r="AA75" s="41"/>
      <c r="AB75" s="41"/>
      <c r="AC75" s="41" t="s">
        <v>183</v>
      </c>
      <c r="AD75" s="41" t="s">
        <v>1175</v>
      </c>
      <c r="AE75" s="41" t="s">
        <v>77</v>
      </c>
      <c r="AF75" s="41" t="s">
        <v>1176</v>
      </c>
    </row>
    <row r="76" spans="1:32" x14ac:dyDescent="0.2">
      <c r="A76" s="41">
        <v>10019825</v>
      </c>
      <c r="B76" s="41" t="s">
        <v>18</v>
      </c>
      <c r="C76" s="41" t="s">
        <v>252</v>
      </c>
      <c r="D76" s="42">
        <v>42318</v>
      </c>
      <c r="E76" s="41">
        <v>93579981</v>
      </c>
      <c r="F76" s="42">
        <v>42310</v>
      </c>
      <c r="G76" s="41"/>
      <c r="H76" s="41">
        <v>1201674</v>
      </c>
      <c r="I76" s="41" t="s">
        <v>371</v>
      </c>
      <c r="J76" s="41">
        <v>1201674</v>
      </c>
      <c r="K76" s="41" t="s">
        <v>371</v>
      </c>
      <c r="L76" s="41">
        <v>1201674</v>
      </c>
      <c r="M76" s="41" t="s">
        <v>371</v>
      </c>
      <c r="N76" s="41">
        <v>476520</v>
      </c>
      <c r="O76" s="41" t="s">
        <v>181</v>
      </c>
      <c r="P76" s="41" t="s">
        <v>97</v>
      </c>
      <c r="Q76" s="41" t="s">
        <v>98</v>
      </c>
      <c r="R76" s="41">
        <v>130.58000000000001</v>
      </c>
      <c r="S76" s="41" t="s">
        <v>182</v>
      </c>
      <c r="T76" s="41" t="s">
        <v>63</v>
      </c>
      <c r="U76" s="41" t="s">
        <v>70</v>
      </c>
      <c r="V76" s="41" t="s">
        <v>76</v>
      </c>
      <c r="W76" s="42">
        <v>42318</v>
      </c>
      <c r="X76" s="41" t="s">
        <v>64</v>
      </c>
      <c r="Y76" s="42">
        <v>42318</v>
      </c>
      <c r="Z76" s="41"/>
      <c r="AA76" s="41"/>
      <c r="AB76" s="41"/>
      <c r="AC76" s="41" t="s">
        <v>183</v>
      </c>
      <c r="AD76" s="41" t="s">
        <v>1177</v>
      </c>
      <c r="AE76" s="41" t="s">
        <v>77</v>
      </c>
      <c r="AF76" s="41" t="s">
        <v>191</v>
      </c>
    </row>
    <row r="77" spans="1:32" x14ac:dyDescent="0.2">
      <c r="A77" s="41">
        <v>10019826</v>
      </c>
      <c r="B77" s="41" t="s">
        <v>22</v>
      </c>
      <c r="C77" s="41" t="s">
        <v>78</v>
      </c>
      <c r="D77" s="42">
        <v>42318</v>
      </c>
      <c r="E77" s="41"/>
      <c r="F77" s="41"/>
      <c r="G77" s="41"/>
      <c r="H77" s="41">
        <v>1301804</v>
      </c>
      <c r="I77" s="41" t="s">
        <v>242</v>
      </c>
      <c r="J77" s="41">
        <v>1320292</v>
      </c>
      <c r="K77" s="41" t="s">
        <v>243</v>
      </c>
      <c r="L77" s="41">
        <v>1301804</v>
      </c>
      <c r="M77" s="41" t="s">
        <v>242</v>
      </c>
      <c r="N77" s="41">
        <v>378369</v>
      </c>
      <c r="O77" s="41" t="s">
        <v>181</v>
      </c>
      <c r="P77" s="41"/>
      <c r="Q77" s="41"/>
      <c r="R77" s="41">
        <v>6912</v>
      </c>
      <c r="S77" s="41" t="s">
        <v>182</v>
      </c>
      <c r="T77" s="41" t="s">
        <v>63</v>
      </c>
      <c r="U77" s="41" t="s">
        <v>94</v>
      </c>
      <c r="V77" s="41" t="s">
        <v>82</v>
      </c>
      <c r="W77" s="42">
        <v>42325</v>
      </c>
      <c r="X77" s="41" t="s">
        <v>64</v>
      </c>
      <c r="Y77" s="42">
        <v>42318</v>
      </c>
      <c r="Z77" s="41"/>
      <c r="AA77" s="41"/>
      <c r="AB77" s="41"/>
      <c r="AC77" s="41" t="s">
        <v>183</v>
      </c>
      <c r="AD77" s="41"/>
      <c r="AE77" s="41" t="s">
        <v>142</v>
      </c>
      <c r="AF77" s="41" t="s">
        <v>1178</v>
      </c>
    </row>
    <row r="78" spans="1:32" x14ac:dyDescent="0.2">
      <c r="A78" s="41">
        <v>10019838</v>
      </c>
      <c r="B78" s="41" t="s">
        <v>26</v>
      </c>
      <c r="C78" s="41" t="s">
        <v>78</v>
      </c>
      <c r="D78" s="42">
        <v>42318</v>
      </c>
      <c r="E78" s="41">
        <v>93534875</v>
      </c>
      <c r="F78" s="42">
        <v>42271</v>
      </c>
      <c r="G78" s="41"/>
      <c r="H78" s="41">
        <v>1322827</v>
      </c>
      <c r="I78" s="41" t="s">
        <v>253</v>
      </c>
      <c r="J78" s="41">
        <v>1322894</v>
      </c>
      <c r="K78" s="41" t="s">
        <v>449</v>
      </c>
      <c r="L78" s="41">
        <v>1322827</v>
      </c>
      <c r="M78" s="41" t="s">
        <v>253</v>
      </c>
      <c r="N78" s="41">
        <v>1267141</v>
      </c>
      <c r="O78" s="41" t="s">
        <v>181</v>
      </c>
      <c r="P78" s="41" t="s">
        <v>97</v>
      </c>
      <c r="Q78" s="41" t="s">
        <v>98</v>
      </c>
      <c r="R78" s="41">
        <v>0</v>
      </c>
      <c r="S78" s="41" t="s">
        <v>182</v>
      </c>
      <c r="T78" s="41" t="s">
        <v>63</v>
      </c>
      <c r="U78" s="41" t="s">
        <v>84</v>
      </c>
      <c r="V78" s="41" t="s">
        <v>82</v>
      </c>
      <c r="W78" s="42">
        <v>42319</v>
      </c>
      <c r="X78" s="41" t="s">
        <v>64</v>
      </c>
      <c r="Y78" s="42">
        <v>42318</v>
      </c>
      <c r="Z78" s="41"/>
      <c r="AA78" s="41"/>
      <c r="AB78" s="41"/>
      <c r="AC78" s="41" t="s">
        <v>183</v>
      </c>
      <c r="AD78" s="41" t="s">
        <v>1040</v>
      </c>
      <c r="AE78" s="41" t="s">
        <v>84</v>
      </c>
      <c r="AF78" s="41" t="s">
        <v>1179</v>
      </c>
    </row>
    <row r="79" spans="1:32" x14ac:dyDescent="0.2">
      <c r="A79" s="41">
        <v>10019839</v>
      </c>
      <c r="B79" s="41" t="s">
        <v>26</v>
      </c>
      <c r="C79" s="41" t="s">
        <v>78</v>
      </c>
      <c r="D79" s="42">
        <v>42318</v>
      </c>
      <c r="E79" s="41">
        <v>93568984</v>
      </c>
      <c r="F79" s="42">
        <v>42300</v>
      </c>
      <c r="G79" s="41"/>
      <c r="H79" s="41">
        <v>1322827</v>
      </c>
      <c r="I79" s="41" t="s">
        <v>253</v>
      </c>
      <c r="J79" s="41">
        <v>1327596</v>
      </c>
      <c r="K79" s="41" t="s">
        <v>449</v>
      </c>
      <c r="L79" s="41">
        <v>1322827</v>
      </c>
      <c r="M79" s="41" t="s">
        <v>253</v>
      </c>
      <c r="N79" s="41">
        <v>1291364</v>
      </c>
      <c r="O79" s="41" t="s">
        <v>181</v>
      </c>
      <c r="P79" s="41" t="s">
        <v>97</v>
      </c>
      <c r="Q79" s="41" t="s">
        <v>98</v>
      </c>
      <c r="R79" s="41">
        <v>0</v>
      </c>
      <c r="S79" s="41" t="s">
        <v>182</v>
      </c>
      <c r="T79" s="41" t="s">
        <v>63</v>
      </c>
      <c r="U79" s="41" t="s">
        <v>84</v>
      </c>
      <c r="V79" s="41" t="s">
        <v>82</v>
      </c>
      <c r="W79" s="42">
        <v>42319</v>
      </c>
      <c r="X79" s="41" t="s">
        <v>64</v>
      </c>
      <c r="Y79" s="42">
        <v>42318</v>
      </c>
      <c r="Z79" s="41"/>
      <c r="AA79" s="41"/>
      <c r="AB79" s="41"/>
      <c r="AC79" s="41" t="s">
        <v>183</v>
      </c>
      <c r="AD79" s="41" t="s">
        <v>1110</v>
      </c>
      <c r="AE79" s="41" t="s">
        <v>84</v>
      </c>
      <c r="AF79" s="41" t="s">
        <v>1179</v>
      </c>
    </row>
    <row r="80" spans="1:32" x14ac:dyDescent="0.2">
      <c r="A80" s="41">
        <v>10019843</v>
      </c>
      <c r="B80" s="41" t="s">
        <v>18</v>
      </c>
      <c r="C80" s="41" t="s">
        <v>573</v>
      </c>
      <c r="D80" s="42">
        <v>42318</v>
      </c>
      <c r="E80" s="41">
        <v>93582971</v>
      </c>
      <c r="F80" s="42">
        <v>42312</v>
      </c>
      <c r="G80" s="42">
        <v>42317</v>
      </c>
      <c r="H80" s="41">
        <v>1201646</v>
      </c>
      <c r="I80" s="41" t="s">
        <v>164</v>
      </c>
      <c r="J80" s="41">
        <v>1201646</v>
      </c>
      <c r="K80" s="41" t="s">
        <v>164</v>
      </c>
      <c r="L80" s="41">
        <v>1201646</v>
      </c>
      <c r="M80" s="41" t="s">
        <v>164</v>
      </c>
      <c r="N80" s="41">
        <v>8045951</v>
      </c>
      <c r="O80" s="41" t="s">
        <v>181</v>
      </c>
      <c r="P80" s="41" t="s">
        <v>67</v>
      </c>
      <c r="Q80" s="41" t="s">
        <v>68</v>
      </c>
      <c r="R80" s="41">
        <v>41.3</v>
      </c>
      <c r="S80" s="41" t="s">
        <v>182</v>
      </c>
      <c r="T80" s="41" t="s">
        <v>63</v>
      </c>
      <c r="U80" s="41" t="s">
        <v>70</v>
      </c>
      <c r="V80" s="41" t="s">
        <v>76</v>
      </c>
      <c r="W80" s="42">
        <v>42324</v>
      </c>
      <c r="X80" s="41" t="s">
        <v>64</v>
      </c>
      <c r="Y80" s="42">
        <v>42318</v>
      </c>
      <c r="Z80" s="41"/>
      <c r="AA80" s="41"/>
      <c r="AB80" s="41"/>
      <c r="AC80" s="41" t="s">
        <v>183</v>
      </c>
      <c r="AD80" s="41">
        <v>3527003620</v>
      </c>
      <c r="AE80" s="41" t="s">
        <v>77</v>
      </c>
      <c r="AF80" s="41" t="s">
        <v>717</v>
      </c>
    </row>
    <row r="81" spans="1:32" x14ac:dyDescent="0.2">
      <c r="A81" s="41">
        <v>10019846</v>
      </c>
      <c r="B81" s="41" t="s">
        <v>18</v>
      </c>
      <c r="C81" s="41" t="s">
        <v>78</v>
      </c>
      <c r="D81" s="42">
        <v>42318</v>
      </c>
      <c r="E81" s="41">
        <v>93588192</v>
      </c>
      <c r="F81" s="42">
        <v>42317</v>
      </c>
      <c r="G81" s="41"/>
      <c r="H81" s="41">
        <v>1201120</v>
      </c>
      <c r="I81" s="41" t="s">
        <v>117</v>
      </c>
      <c r="J81" s="41">
        <v>1307782</v>
      </c>
      <c r="K81" s="41" t="s">
        <v>119</v>
      </c>
      <c r="L81" s="41">
        <v>1171090</v>
      </c>
      <c r="M81" s="41" t="s">
        <v>118</v>
      </c>
      <c r="N81" s="41" t="s">
        <v>1180</v>
      </c>
      <c r="O81" s="41" t="s">
        <v>181</v>
      </c>
      <c r="P81" s="41" t="s">
        <v>121</v>
      </c>
      <c r="Q81" s="41" t="s">
        <v>122</v>
      </c>
      <c r="R81" s="41">
        <v>20397.599999999999</v>
      </c>
      <c r="S81" s="41" t="s">
        <v>182</v>
      </c>
      <c r="T81" s="41" t="s">
        <v>69</v>
      </c>
      <c r="U81" s="41" t="s">
        <v>70</v>
      </c>
      <c r="V81" s="41" t="s">
        <v>71</v>
      </c>
      <c r="W81" s="42">
        <v>42321</v>
      </c>
      <c r="X81" s="41" t="s">
        <v>83</v>
      </c>
      <c r="Y81" s="42">
        <v>42320</v>
      </c>
      <c r="Z81" s="41" t="s">
        <v>72</v>
      </c>
      <c r="AA81" s="41">
        <v>62027413</v>
      </c>
      <c r="AB81" s="42">
        <v>42327</v>
      </c>
      <c r="AC81" s="41" t="s">
        <v>183</v>
      </c>
      <c r="AD81" s="41" t="s">
        <v>1181</v>
      </c>
      <c r="AE81" s="41" t="s">
        <v>134</v>
      </c>
      <c r="AF81" s="41" t="s">
        <v>1182</v>
      </c>
    </row>
    <row r="82" spans="1:32" x14ac:dyDescent="0.2">
      <c r="A82" s="41">
        <v>10019847</v>
      </c>
      <c r="B82" s="41" t="s">
        <v>18</v>
      </c>
      <c r="C82" s="41" t="s">
        <v>78</v>
      </c>
      <c r="D82" s="42">
        <v>42318</v>
      </c>
      <c r="E82" s="41">
        <v>93588195</v>
      </c>
      <c r="F82" s="42">
        <v>42317</v>
      </c>
      <c r="G82" s="41"/>
      <c r="H82" s="41">
        <v>1201120</v>
      </c>
      <c r="I82" s="41" t="s">
        <v>117</v>
      </c>
      <c r="J82" s="41">
        <v>1307782</v>
      </c>
      <c r="K82" s="41" t="s">
        <v>119</v>
      </c>
      <c r="L82" s="41">
        <v>1171090</v>
      </c>
      <c r="M82" s="41" t="s">
        <v>118</v>
      </c>
      <c r="N82" s="41" t="s">
        <v>1180</v>
      </c>
      <c r="O82" s="41" t="s">
        <v>181</v>
      </c>
      <c r="P82" s="41" t="s">
        <v>123</v>
      </c>
      <c r="Q82" s="41" t="s">
        <v>124</v>
      </c>
      <c r="R82" s="41">
        <v>216</v>
      </c>
      <c r="S82" s="41" t="s">
        <v>182</v>
      </c>
      <c r="T82" s="41" t="s">
        <v>69</v>
      </c>
      <c r="U82" s="41" t="s">
        <v>70</v>
      </c>
      <c r="V82" s="41" t="s">
        <v>71</v>
      </c>
      <c r="W82" s="42">
        <v>42321</v>
      </c>
      <c r="X82" s="41" t="s">
        <v>64</v>
      </c>
      <c r="Y82" s="42">
        <v>42318</v>
      </c>
      <c r="Z82" s="41" t="s">
        <v>72</v>
      </c>
      <c r="AA82" s="41">
        <v>62027414</v>
      </c>
      <c r="AB82" s="42">
        <v>42327</v>
      </c>
      <c r="AC82" s="41" t="s">
        <v>183</v>
      </c>
      <c r="AD82" s="41" t="s">
        <v>1183</v>
      </c>
      <c r="AE82" s="41" t="s">
        <v>134</v>
      </c>
      <c r="AF82" s="41" t="s">
        <v>1184</v>
      </c>
    </row>
    <row r="83" spans="1:32" x14ac:dyDescent="0.2">
      <c r="A83" s="41">
        <v>10019848</v>
      </c>
      <c r="B83" s="41" t="s">
        <v>18</v>
      </c>
      <c r="C83" s="41" t="s">
        <v>573</v>
      </c>
      <c r="D83" s="42">
        <v>42319</v>
      </c>
      <c r="E83" s="41">
        <v>93582842</v>
      </c>
      <c r="F83" s="42">
        <v>42312</v>
      </c>
      <c r="G83" s="42">
        <v>42313</v>
      </c>
      <c r="H83" s="41">
        <v>1201399</v>
      </c>
      <c r="I83" s="41" t="s">
        <v>144</v>
      </c>
      <c r="J83" s="41">
        <v>1334926</v>
      </c>
      <c r="K83" s="41" t="s">
        <v>145</v>
      </c>
      <c r="L83" s="41">
        <v>1171970</v>
      </c>
      <c r="M83" s="41" t="s">
        <v>144</v>
      </c>
      <c r="N83" s="41">
        <v>8106677525</v>
      </c>
      <c r="O83" s="41" t="s">
        <v>181</v>
      </c>
      <c r="P83" s="41" t="s">
        <v>279</v>
      </c>
      <c r="Q83" s="41" t="s">
        <v>280</v>
      </c>
      <c r="R83" s="41">
        <v>2695.8</v>
      </c>
      <c r="S83" s="41" t="s">
        <v>182</v>
      </c>
      <c r="T83" s="41" t="s">
        <v>63</v>
      </c>
      <c r="U83" s="41" t="s">
        <v>70</v>
      </c>
      <c r="V83" s="41" t="s">
        <v>76</v>
      </c>
      <c r="W83" s="42">
        <v>42324</v>
      </c>
      <c r="X83" s="41" t="s">
        <v>64</v>
      </c>
      <c r="Y83" s="42">
        <v>42319</v>
      </c>
      <c r="Z83" s="41"/>
      <c r="AA83" s="41"/>
      <c r="AB83" s="41"/>
      <c r="AC83" s="41" t="s">
        <v>183</v>
      </c>
      <c r="AD83" s="41" t="s">
        <v>1185</v>
      </c>
      <c r="AE83" s="41" t="s">
        <v>77</v>
      </c>
      <c r="AF83" s="41" t="s">
        <v>376</v>
      </c>
    </row>
    <row r="84" spans="1:32" x14ac:dyDescent="0.2">
      <c r="A84" s="41">
        <v>10019849</v>
      </c>
      <c r="B84" s="41" t="s">
        <v>18</v>
      </c>
      <c r="C84" s="41" t="s">
        <v>573</v>
      </c>
      <c r="D84" s="42">
        <v>42319</v>
      </c>
      <c r="E84" s="41">
        <v>93584029</v>
      </c>
      <c r="F84" s="42">
        <v>42313</v>
      </c>
      <c r="G84" s="41"/>
      <c r="H84" s="41">
        <v>1201399</v>
      </c>
      <c r="I84" s="41" t="s">
        <v>144</v>
      </c>
      <c r="J84" s="41">
        <v>1334926</v>
      </c>
      <c r="K84" s="41" t="s">
        <v>145</v>
      </c>
      <c r="L84" s="41">
        <v>1171970</v>
      </c>
      <c r="M84" s="41" t="s">
        <v>144</v>
      </c>
      <c r="N84" s="41">
        <v>8106677846</v>
      </c>
      <c r="O84" s="41" t="s">
        <v>181</v>
      </c>
      <c r="P84" s="41" t="s">
        <v>279</v>
      </c>
      <c r="Q84" s="41" t="s">
        <v>280</v>
      </c>
      <c r="R84" s="41">
        <v>24245.05</v>
      </c>
      <c r="S84" s="41" t="s">
        <v>182</v>
      </c>
      <c r="T84" s="41" t="s">
        <v>63</v>
      </c>
      <c r="U84" s="41" t="s">
        <v>70</v>
      </c>
      <c r="V84" s="41" t="s">
        <v>76</v>
      </c>
      <c r="W84" s="42">
        <v>42324</v>
      </c>
      <c r="X84" s="41" t="s">
        <v>83</v>
      </c>
      <c r="Y84" s="42">
        <v>42320</v>
      </c>
      <c r="Z84" s="41"/>
      <c r="AA84" s="41"/>
      <c r="AB84" s="41"/>
      <c r="AC84" s="41" t="s">
        <v>183</v>
      </c>
      <c r="AD84" s="41" t="s">
        <v>1186</v>
      </c>
      <c r="AE84" s="41" t="s">
        <v>77</v>
      </c>
      <c r="AF84" s="41" t="s">
        <v>1187</v>
      </c>
    </row>
    <row r="85" spans="1:32" x14ac:dyDescent="0.2">
      <c r="A85" s="41">
        <v>10019850</v>
      </c>
      <c r="B85" s="41" t="s">
        <v>26</v>
      </c>
      <c r="C85" s="41" t="s">
        <v>78</v>
      </c>
      <c r="D85" s="42">
        <v>42319</v>
      </c>
      <c r="E85" s="41">
        <v>93540172</v>
      </c>
      <c r="F85" s="42">
        <v>42276</v>
      </c>
      <c r="G85" s="42">
        <v>42277</v>
      </c>
      <c r="H85" s="41">
        <v>1318826</v>
      </c>
      <c r="I85" s="41" t="s">
        <v>110</v>
      </c>
      <c r="J85" s="41">
        <v>1334311</v>
      </c>
      <c r="K85" s="41" t="s">
        <v>113</v>
      </c>
      <c r="L85" s="41">
        <v>1318826</v>
      </c>
      <c r="M85" s="41" t="s">
        <v>110</v>
      </c>
      <c r="N85" s="41">
        <v>2050776</v>
      </c>
      <c r="O85" s="41" t="s">
        <v>181</v>
      </c>
      <c r="P85" s="41" t="s">
        <v>91</v>
      </c>
      <c r="Q85" s="41" t="s">
        <v>92</v>
      </c>
      <c r="R85" s="41">
        <v>76.760000000000005</v>
      </c>
      <c r="S85" s="41" t="s">
        <v>182</v>
      </c>
      <c r="T85" s="41" t="s">
        <v>63</v>
      </c>
      <c r="U85" s="41" t="s">
        <v>94</v>
      </c>
      <c r="V85" s="41" t="s">
        <v>95</v>
      </c>
      <c r="W85" s="42">
        <v>42324</v>
      </c>
      <c r="X85" s="41" t="s">
        <v>64</v>
      </c>
      <c r="Y85" s="42">
        <v>42319</v>
      </c>
      <c r="Z85" s="41"/>
      <c r="AA85" s="41"/>
      <c r="AB85" s="41"/>
      <c r="AC85" s="41" t="s">
        <v>183</v>
      </c>
      <c r="AD85" s="41" t="s">
        <v>1188</v>
      </c>
      <c r="AE85" s="41" t="s">
        <v>96</v>
      </c>
      <c r="AF85" s="41" t="s">
        <v>1189</v>
      </c>
    </row>
    <row r="86" spans="1:32" x14ac:dyDescent="0.2">
      <c r="A86" s="41">
        <v>10019851</v>
      </c>
      <c r="B86" s="41" t="s">
        <v>18</v>
      </c>
      <c r="C86" s="41" t="s">
        <v>78</v>
      </c>
      <c r="D86" s="42">
        <v>42319</v>
      </c>
      <c r="E86" s="41">
        <v>93588182</v>
      </c>
      <c r="F86" s="42">
        <v>42317</v>
      </c>
      <c r="G86" s="41"/>
      <c r="H86" s="41">
        <v>1201120</v>
      </c>
      <c r="I86" s="41" t="s">
        <v>117</v>
      </c>
      <c r="J86" s="41">
        <v>1307782</v>
      </c>
      <c r="K86" s="41" t="s">
        <v>119</v>
      </c>
      <c r="L86" s="41">
        <v>1171090</v>
      </c>
      <c r="M86" s="41" t="s">
        <v>118</v>
      </c>
      <c r="N86" s="41" t="s">
        <v>1190</v>
      </c>
      <c r="O86" s="41" t="s">
        <v>181</v>
      </c>
      <c r="P86" s="41" t="s">
        <v>123</v>
      </c>
      <c r="Q86" s="41" t="s">
        <v>124</v>
      </c>
      <c r="R86" s="41">
        <v>47520</v>
      </c>
      <c r="S86" s="41" t="s">
        <v>182</v>
      </c>
      <c r="T86" s="41" t="s">
        <v>69</v>
      </c>
      <c r="U86" s="41" t="s">
        <v>70</v>
      </c>
      <c r="V86" s="41" t="s">
        <v>71</v>
      </c>
      <c r="W86" s="42">
        <v>42321</v>
      </c>
      <c r="X86" s="41" t="s">
        <v>83</v>
      </c>
      <c r="Y86" s="42">
        <v>42320</v>
      </c>
      <c r="Z86" s="41" t="s">
        <v>72</v>
      </c>
      <c r="AA86" s="41">
        <v>62027415</v>
      </c>
      <c r="AB86" s="42">
        <v>42327</v>
      </c>
      <c r="AC86" s="41" t="s">
        <v>183</v>
      </c>
      <c r="AD86" s="41" t="s">
        <v>1183</v>
      </c>
      <c r="AE86" s="41" t="s">
        <v>134</v>
      </c>
      <c r="AF86" s="41" t="s">
        <v>1191</v>
      </c>
    </row>
    <row r="87" spans="1:32" x14ac:dyDescent="0.2">
      <c r="A87" s="41">
        <v>10019852</v>
      </c>
      <c r="B87" s="41" t="s">
        <v>18</v>
      </c>
      <c r="C87" s="41" t="s">
        <v>573</v>
      </c>
      <c r="D87" s="42">
        <v>42319</v>
      </c>
      <c r="E87" s="41">
        <v>93582798</v>
      </c>
      <c r="F87" s="42">
        <v>42312</v>
      </c>
      <c r="G87" s="42">
        <v>42314</v>
      </c>
      <c r="H87" s="41">
        <v>1201215</v>
      </c>
      <c r="I87" s="41" t="s">
        <v>138</v>
      </c>
      <c r="J87" s="41">
        <v>1324492</v>
      </c>
      <c r="K87" s="41" t="s">
        <v>138</v>
      </c>
      <c r="L87" s="41">
        <v>1201215</v>
      </c>
      <c r="M87" s="41" t="s">
        <v>138</v>
      </c>
      <c r="N87" s="41" t="s">
        <v>1192</v>
      </c>
      <c r="O87" s="41" t="s">
        <v>181</v>
      </c>
      <c r="P87" s="41" t="s">
        <v>67</v>
      </c>
      <c r="Q87" s="41" t="s">
        <v>68</v>
      </c>
      <c r="R87" s="41">
        <v>18.72</v>
      </c>
      <c r="S87" s="41" t="s">
        <v>182</v>
      </c>
      <c r="T87" s="41" t="s">
        <v>63</v>
      </c>
      <c r="U87" s="41" t="s">
        <v>70</v>
      </c>
      <c r="V87" s="41" t="s">
        <v>76</v>
      </c>
      <c r="W87" s="42">
        <v>42324</v>
      </c>
      <c r="X87" s="41" t="s">
        <v>64</v>
      </c>
      <c r="Y87" s="42">
        <v>42319</v>
      </c>
      <c r="Z87" s="41"/>
      <c r="AA87" s="41"/>
      <c r="AB87" s="41"/>
      <c r="AC87" s="41" t="s">
        <v>183</v>
      </c>
      <c r="AD87" s="41">
        <v>3527003745</v>
      </c>
      <c r="AE87" s="41" t="s">
        <v>77</v>
      </c>
      <c r="AF87" s="41" t="s">
        <v>323</v>
      </c>
    </row>
    <row r="88" spans="1:32" x14ac:dyDescent="0.2">
      <c r="A88" s="41">
        <v>10019853</v>
      </c>
      <c r="B88" s="41" t="s">
        <v>26</v>
      </c>
      <c r="C88" s="41" t="s">
        <v>78</v>
      </c>
      <c r="D88" s="42">
        <v>42319</v>
      </c>
      <c r="E88" s="41">
        <v>93582670</v>
      </c>
      <c r="F88" s="42">
        <v>42312</v>
      </c>
      <c r="G88" s="41"/>
      <c r="H88" s="41">
        <v>1201047</v>
      </c>
      <c r="I88" s="41" t="s">
        <v>79</v>
      </c>
      <c r="J88" s="41">
        <v>1340974</v>
      </c>
      <c r="K88" s="41" t="s">
        <v>93</v>
      </c>
      <c r="L88" s="41">
        <v>1171089</v>
      </c>
      <c r="M88" s="41" t="s">
        <v>75</v>
      </c>
      <c r="N88" s="41">
        <v>87102698</v>
      </c>
      <c r="O88" s="41" t="s">
        <v>181</v>
      </c>
      <c r="P88" s="41" t="s">
        <v>86</v>
      </c>
      <c r="Q88" s="41" t="s">
        <v>87</v>
      </c>
      <c r="R88" s="41">
        <v>536198.40000000002</v>
      </c>
      <c r="S88" s="41" t="s">
        <v>182</v>
      </c>
      <c r="T88" s="41" t="s">
        <v>63</v>
      </c>
      <c r="U88" s="41"/>
      <c r="V88" s="41"/>
      <c r="W88" s="41"/>
      <c r="X88" s="41"/>
      <c r="Y88" s="41"/>
      <c r="Z88" s="41"/>
      <c r="AA88" s="41"/>
      <c r="AB88" s="41"/>
      <c r="AC88" s="41" t="s">
        <v>183</v>
      </c>
      <c r="AD88" s="41" t="s">
        <v>1193</v>
      </c>
      <c r="AE88" s="41"/>
      <c r="AF88" s="41"/>
    </row>
    <row r="89" spans="1:32" x14ac:dyDescent="0.2">
      <c r="A89" s="41">
        <v>10019857</v>
      </c>
      <c r="B89" s="41" t="s">
        <v>26</v>
      </c>
      <c r="C89" s="41" t="s">
        <v>573</v>
      </c>
      <c r="D89" s="42">
        <v>42319</v>
      </c>
      <c r="E89" s="41">
        <v>93574100</v>
      </c>
      <c r="F89" s="42">
        <v>42305</v>
      </c>
      <c r="G89" s="41"/>
      <c r="H89" s="41">
        <v>1201047</v>
      </c>
      <c r="I89" s="41" t="s">
        <v>79</v>
      </c>
      <c r="J89" s="41">
        <v>1317086</v>
      </c>
      <c r="K89" s="41" t="s">
        <v>85</v>
      </c>
      <c r="L89" s="41">
        <v>1171089</v>
      </c>
      <c r="M89" s="41" t="s">
        <v>75</v>
      </c>
      <c r="N89" s="41">
        <v>23612724</v>
      </c>
      <c r="O89" s="41" t="s">
        <v>181</v>
      </c>
      <c r="P89" s="41" t="s">
        <v>86</v>
      </c>
      <c r="Q89" s="41" t="s">
        <v>87</v>
      </c>
      <c r="R89" s="41">
        <v>1670.28</v>
      </c>
      <c r="S89" s="41" t="s">
        <v>182</v>
      </c>
      <c r="T89" s="41" t="s">
        <v>63</v>
      </c>
      <c r="U89" s="41" t="s">
        <v>81</v>
      </c>
      <c r="V89" s="41" t="s">
        <v>88</v>
      </c>
      <c r="W89" s="42">
        <v>42338</v>
      </c>
      <c r="X89" s="41" t="s">
        <v>64</v>
      </c>
      <c r="Y89" s="42">
        <v>42319</v>
      </c>
      <c r="Z89" s="41"/>
      <c r="AA89" s="41"/>
      <c r="AB89" s="41"/>
      <c r="AC89" s="41" t="s">
        <v>183</v>
      </c>
      <c r="AD89" s="41" t="s">
        <v>1155</v>
      </c>
      <c r="AE89" s="41" t="s">
        <v>89</v>
      </c>
      <c r="AF89" s="41" t="s">
        <v>274</v>
      </c>
    </row>
    <row r="90" spans="1:32" x14ac:dyDescent="0.2">
      <c r="A90" s="41">
        <v>10019865</v>
      </c>
      <c r="B90" s="41" t="s">
        <v>18</v>
      </c>
      <c r="C90" s="41" t="s">
        <v>573</v>
      </c>
      <c r="D90" s="42">
        <v>42319</v>
      </c>
      <c r="E90" s="41">
        <v>93588198</v>
      </c>
      <c r="F90" s="42">
        <v>42317</v>
      </c>
      <c r="G90" s="41"/>
      <c r="H90" s="41">
        <v>1201120</v>
      </c>
      <c r="I90" s="41" t="s">
        <v>117</v>
      </c>
      <c r="J90" s="41">
        <v>1307782</v>
      </c>
      <c r="K90" s="41" t="s">
        <v>119</v>
      </c>
      <c r="L90" s="41">
        <v>1171090</v>
      </c>
      <c r="M90" s="41" t="s">
        <v>118</v>
      </c>
      <c r="N90" s="41" t="s">
        <v>1180</v>
      </c>
      <c r="O90" s="41" t="s">
        <v>181</v>
      </c>
      <c r="P90" s="41" t="s">
        <v>123</v>
      </c>
      <c r="Q90" s="41" t="s">
        <v>124</v>
      </c>
      <c r="R90" s="41">
        <v>3340.56</v>
      </c>
      <c r="S90" s="41" t="s">
        <v>182</v>
      </c>
      <c r="T90" s="41" t="s">
        <v>63</v>
      </c>
      <c r="U90" s="41" t="s">
        <v>70</v>
      </c>
      <c r="V90" s="41" t="s">
        <v>76</v>
      </c>
      <c r="W90" s="42">
        <v>42324</v>
      </c>
      <c r="X90" s="41" t="s">
        <v>64</v>
      </c>
      <c r="Y90" s="42">
        <v>42319</v>
      </c>
      <c r="Z90" s="41"/>
      <c r="AA90" s="41"/>
      <c r="AB90" s="41"/>
      <c r="AC90" s="41" t="s">
        <v>183</v>
      </c>
      <c r="AD90" s="41" t="s">
        <v>1183</v>
      </c>
      <c r="AE90" s="41" t="s">
        <v>77</v>
      </c>
      <c r="AF90" s="41" t="s">
        <v>1013</v>
      </c>
    </row>
    <row r="91" spans="1:32" x14ac:dyDescent="0.2">
      <c r="A91" s="41">
        <v>10019866</v>
      </c>
      <c r="B91" s="41" t="s">
        <v>26</v>
      </c>
      <c r="C91" s="41" t="s">
        <v>573</v>
      </c>
      <c r="D91" s="42">
        <v>42319</v>
      </c>
      <c r="E91" s="41">
        <v>93588170</v>
      </c>
      <c r="F91" s="42">
        <v>42317</v>
      </c>
      <c r="G91" s="42">
        <v>42319</v>
      </c>
      <c r="H91" s="41">
        <v>1201086</v>
      </c>
      <c r="I91" s="41" t="s">
        <v>116</v>
      </c>
      <c r="J91" s="41">
        <v>1201086</v>
      </c>
      <c r="K91" s="41" t="s">
        <v>116</v>
      </c>
      <c r="L91" s="41">
        <v>1201086</v>
      </c>
      <c r="M91" s="41" t="s">
        <v>116</v>
      </c>
      <c r="N91" s="41">
        <v>1056707</v>
      </c>
      <c r="O91" s="41" t="s">
        <v>181</v>
      </c>
      <c r="P91" s="41" t="s">
        <v>67</v>
      </c>
      <c r="Q91" s="41" t="s">
        <v>68</v>
      </c>
      <c r="R91" s="41">
        <v>151.91999999999999</v>
      </c>
      <c r="S91" s="41" t="s">
        <v>182</v>
      </c>
      <c r="T91" s="41" t="s">
        <v>63</v>
      </c>
      <c r="U91" s="41" t="s">
        <v>94</v>
      </c>
      <c r="V91" s="41" t="s">
        <v>95</v>
      </c>
      <c r="W91" s="42">
        <v>42326</v>
      </c>
      <c r="X91" s="41" t="s">
        <v>64</v>
      </c>
      <c r="Y91" s="42">
        <v>42319</v>
      </c>
      <c r="Z91" s="41"/>
      <c r="AA91" s="41"/>
      <c r="AB91" s="41"/>
      <c r="AC91" s="41" t="s">
        <v>183</v>
      </c>
      <c r="AD91" s="41">
        <v>3527004331</v>
      </c>
      <c r="AE91" s="41" t="s">
        <v>96</v>
      </c>
      <c r="AF91" s="41" t="s">
        <v>1194</v>
      </c>
    </row>
    <row r="92" spans="1:32" x14ac:dyDescent="0.2">
      <c r="A92" s="41">
        <v>10019867</v>
      </c>
      <c r="B92" s="41" t="s">
        <v>26</v>
      </c>
      <c r="C92" s="41" t="s">
        <v>573</v>
      </c>
      <c r="D92" s="42">
        <v>42320</v>
      </c>
      <c r="E92" s="41">
        <v>93586090</v>
      </c>
      <c r="F92" s="42">
        <v>42314</v>
      </c>
      <c r="G92" s="41"/>
      <c r="H92" s="41">
        <v>1201047</v>
      </c>
      <c r="I92" s="41" t="s">
        <v>79</v>
      </c>
      <c r="J92" s="41">
        <v>1051549</v>
      </c>
      <c r="K92" s="41" t="s">
        <v>85</v>
      </c>
      <c r="L92" s="41">
        <v>1171089</v>
      </c>
      <c r="M92" s="41" t="s">
        <v>75</v>
      </c>
      <c r="N92" s="41">
        <v>12913510</v>
      </c>
      <c r="O92" s="41" t="s">
        <v>181</v>
      </c>
      <c r="P92" s="41" t="s">
        <v>91</v>
      </c>
      <c r="Q92" s="41" t="s">
        <v>92</v>
      </c>
      <c r="R92" s="41">
        <v>1746.36</v>
      </c>
      <c r="S92" s="41" t="s">
        <v>182</v>
      </c>
      <c r="T92" s="41" t="s">
        <v>63</v>
      </c>
      <c r="U92" s="41" t="s">
        <v>94</v>
      </c>
      <c r="V92" s="41" t="s">
        <v>95</v>
      </c>
      <c r="W92" s="42">
        <v>42326</v>
      </c>
      <c r="X92" s="41" t="s">
        <v>64</v>
      </c>
      <c r="Y92" s="42">
        <v>42320</v>
      </c>
      <c r="Z92" s="41"/>
      <c r="AA92" s="41"/>
      <c r="AB92" s="41"/>
      <c r="AC92" s="41" t="s">
        <v>183</v>
      </c>
      <c r="AD92" s="41" t="s">
        <v>1195</v>
      </c>
      <c r="AE92" s="41" t="s">
        <v>96</v>
      </c>
      <c r="AF92" s="41" t="s">
        <v>1196</v>
      </c>
    </row>
    <row r="93" spans="1:32" x14ac:dyDescent="0.2">
      <c r="A93" s="41">
        <v>10019868</v>
      </c>
      <c r="B93" s="41" t="s">
        <v>26</v>
      </c>
      <c r="C93" s="41" t="s">
        <v>78</v>
      </c>
      <c r="D93" s="42">
        <v>42320</v>
      </c>
      <c r="E93" s="41">
        <v>93588170</v>
      </c>
      <c r="F93" s="42">
        <v>42317</v>
      </c>
      <c r="G93" s="42">
        <v>42319</v>
      </c>
      <c r="H93" s="41">
        <v>1201086</v>
      </c>
      <c r="I93" s="41" t="s">
        <v>116</v>
      </c>
      <c r="J93" s="41">
        <v>1201086</v>
      </c>
      <c r="K93" s="41" t="s">
        <v>116</v>
      </c>
      <c r="L93" s="41">
        <v>1201086</v>
      </c>
      <c r="M93" s="41" t="s">
        <v>116</v>
      </c>
      <c r="N93" s="41">
        <v>1056707</v>
      </c>
      <c r="O93" s="41" t="s">
        <v>181</v>
      </c>
      <c r="P93" s="41" t="s">
        <v>67</v>
      </c>
      <c r="Q93" s="41" t="s">
        <v>68</v>
      </c>
      <c r="R93" s="41">
        <v>151.91999999999999</v>
      </c>
      <c r="S93" s="41" t="s">
        <v>182</v>
      </c>
      <c r="T93" s="41" t="s">
        <v>63</v>
      </c>
      <c r="U93" s="41" t="s">
        <v>84</v>
      </c>
      <c r="V93" s="41" t="s">
        <v>82</v>
      </c>
      <c r="W93" s="42">
        <v>42326</v>
      </c>
      <c r="X93" s="41" t="s">
        <v>64</v>
      </c>
      <c r="Y93" s="42">
        <v>42320</v>
      </c>
      <c r="Z93" s="41"/>
      <c r="AA93" s="41"/>
      <c r="AB93" s="41"/>
      <c r="AC93" s="41" t="s">
        <v>183</v>
      </c>
      <c r="AD93" s="41">
        <v>3527004331</v>
      </c>
      <c r="AE93" s="41" t="s">
        <v>84</v>
      </c>
      <c r="AF93" s="41" t="s">
        <v>1197</v>
      </c>
    </row>
    <row r="94" spans="1:32" x14ac:dyDescent="0.2">
      <c r="A94" s="41">
        <v>10019869</v>
      </c>
      <c r="B94" s="41" t="s">
        <v>18</v>
      </c>
      <c r="C94" s="41" t="s">
        <v>573</v>
      </c>
      <c r="D94" s="42">
        <v>42320</v>
      </c>
      <c r="E94" s="41">
        <v>93588195</v>
      </c>
      <c r="F94" s="42">
        <v>42317</v>
      </c>
      <c r="G94" s="41"/>
      <c r="H94" s="41">
        <v>1201120</v>
      </c>
      <c r="I94" s="41" t="s">
        <v>117</v>
      </c>
      <c r="J94" s="41">
        <v>1307782</v>
      </c>
      <c r="K94" s="41" t="s">
        <v>119</v>
      </c>
      <c r="L94" s="41">
        <v>1171090</v>
      </c>
      <c r="M94" s="41" t="s">
        <v>118</v>
      </c>
      <c r="N94" s="41" t="s">
        <v>1180</v>
      </c>
      <c r="O94" s="41" t="s">
        <v>181</v>
      </c>
      <c r="P94" s="41" t="s">
        <v>123</v>
      </c>
      <c r="Q94" s="41" t="s">
        <v>124</v>
      </c>
      <c r="R94" s="41">
        <v>43.75</v>
      </c>
      <c r="S94" s="41" t="s">
        <v>182</v>
      </c>
      <c r="T94" s="41" t="s">
        <v>63</v>
      </c>
      <c r="U94" s="41" t="s">
        <v>70</v>
      </c>
      <c r="V94" s="41" t="s">
        <v>76</v>
      </c>
      <c r="W94" s="42">
        <v>42325</v>
      </c>
      <c r="X94" s="41" t="s">
        <v>64</v>
      </c>
      <c r="Y94" s="42">
        <v>42320</v>
      </c>
      <c r="Z94" s="41"/>
      <c r="AA94" s="41"/>
      <c r="AB94" s="41"/>
      <c r="AC94" s="41" t="s">
        <v>183</v>
      </c>
      <c r="AD94" s="41" t="s">
        <v>1183</v>
      </c>
      <c r="AE94" s="41" t="s">
        <v>77</v>
      </c>
      <c r="AF94" s="41" t="s">
        <v>323</v>
      </c>
    </row>
    <row r="95" spans="1:32" x14ac:dyDescent="0.2">
      <c r="A95" s="41">
        <v>10019870</v>
      </c>
      <c r="B95" s="41" t="s">
        <v>18</v>
      </c>
      <c r="C95" s="41" t="s">
        <v>78</v>
      </c>
      <c r="D95" s="42">
        <v>42320</v>
      </c>
      <c r="E95" s="41">
        <v>93589812</v>
      </c>
      <c r="F95" s="42">
        <v>42318</v>
      </c>
      <c r="G95" s="41"/>
      <c r="H95" s="41">
        <v>1201047</v>
      </c>
      <c r="I95" s="41" t="s">
        <v>79</v>
      </c>
      <c r="J95" s="41">
        <v>1311671</v>
      </c>
      <c r="K95" s="41" t="s">
        <v>90</v>
      </c>
      <c r="L95" s="41">
        <v>1171089</v>
      </c>
      <c r="M95" s="41" t="s">
        <v>75</v>
      </c>
      <c r="N95" s="41">
        <v>21465733</v>
      </c>
      <c r="O95" s="41" t="s">
        <v>181</v>
      </c>
      <c r="P95" s="41" t="s">
        <v>91</v>
      </c>
      <c r="Q95" s="41" t="s">
        <v>92</v>
      </c>
      <c r="R95" s="41">
        <v>665.9</v>
      </c>
      <c r="S95" s="41" t="s">
        <v>182</v>
      </c>
      <c r="T95" s="41" t="s">
        <v>63</v>
      </c>
      <c r="U95" s="41" t="s">
        <v>70</v>
      </c>
      <c r="V95" s="41" t="s">
        <v>76</v>
      </c>
      <c r="W95" s="42">
        <v>42324</v>
      </c>
      <c r="X95" s="41" t="s">
        <v>64</v>
      </c>
      <c r="Y95" s="42">
        <v>42320</v>
      </c>
      <c r="Z95" s="41"/>
      <c r="AA95" s="41"/>
      <c r="AB95" s="41"/>
      <c r="AC95" s="41" t="s">
        <v>183</v>
      </c>
      <c r="AD95" s="41" t="s">
        <v>1198</v>
      </c>
      <c r="AE95" s="41" t="s">
        <v>77</v>
      </c>
      <c r="AF95" s="41" t="s">
        <v>191</v>
      </c>
    </row>
    <row r="96" spans="1:32" x14ac:dyDescent="0.2">
      <c r="A96" s="41">
        <v>10019871</v>
      </c>
      <c r="B96" s="41" t="s">
        <v>18</v>
      </c>
      <c r="C96" s="41" t="s">
        <v>573</v>
      </c>
      <c r="D96" s="42">
        <v>42320</v>
      </c>
      <c r="E96" s="41">
        <v>93588409</v>
      </c>
      <c r="F96" s="42">
        <v>42317</v>
      </c>
      <c r="G96" s="41"/>
      <c r="H96" s="41">
        <v>1201675</v>
      </c>
      <c r="I96" s="41" t="s">
        <v>165</v>
      </c>
      <c r="J96" s="41">
        <v>1201675</v>
      </c>
      <c r="K96" s="41" t="s">
        <v>165</v>
      </c>
      <c r="L96" s="41">
        <v>1172015</v>
      </c>
      <c r="M96" s="41" t="s">
        <v>165</v>
      </c>
      <c r="N96" s="41" t="s">
        <v>1199</v>
      </c>
      <c r="O96" s="41" t="s">
        <v>181</v>
      </c>
      <c r="P96" s="41" t="s">
        <v>102</v>
      </c>
      <c r="Q96" s="41" t="s">
        <v>103</v>
      </c>
      <c r="R96" s="41">
        <v>1502.34</v>
      </c>
      <c r="S96" s="41" t="s">
        <v>182</v>
      </c>
      <c r="T96" s="41" t="s">
        <v>63</v>
      </c>
      <c r="U96" s="41" t="s">
        <v>70</v>
      </c>
      <c r="V96" s="41" t="s">
        <v>76</v>
      </c>
      <c r="W96" s="42">
        <v>42324</v>
      </c>
      <c r="X96" s="41"/>
      <c r="Y96" s="41"/>
      <c r="Z96" s="41"/>
      <c r="AA96" s="41"/>
      <c r="AB96" s="41"/>
      <c r="AC96" s="41" t="s">
        <v>183</v>
      </c>
      <c r="AD96" s="41">
        <v>649275110900</v>
      </c>
      <c r="AE96" s="41" t="s">
        <v>77</v>
      </c>
      <c r="AF96" s="41" t="s">
        <v>170</v>
      </c>
    </row>
    <row r="97" spans="1:32" x14ac:dyDescent="0.2">
      <c r="A97" s="41">
        <v>10019872</v>
      </c>
      <c r="B97" s="41" t="s">
        <v>18</v>
      </c>
      <c r="C97" s="41" t="s">
        <v>78</v>
      </c>
      <c r="D97" s="42">
        <v>42320</v>
      </c>
      <c r="E97" s="41">
        <v>93536586</v>
      </c>
      <c r="F97" s="42">
        <v>42272</v>
      </c>
      <c r="G97" s="41"/>
      <c r="H97" s="41">
        <v>1337184</v>
      </c>
      <c r="I97" s="41" t="s">
        <v>330</v>
      </c>
      <c r="J97" s="41">
        <v>1337199</v>
      </c>
      <c r="K97" s="41" t="s">
        <v>331</v>
      </c>
      <c r="L97" s="41">
        <v>1201767</v>
      </c>
      <c r="M97" s="41" t="s">
        <v>330</v>
      </c>
      <c r="N97" s="41" t="s">
        <v>1200</v>
      </c>
      <c r="O97" s="41" t="s">
        <v>181</v>
      </c>
      <c r="P97" s="41" t="s">
        <v>97</v>
      </c>
      <c r="Q97" s="41" t="s">
        <v>98</v>
      </c>
      <c r="R97" s="41">
        <v>165</v>
      </c>
      <c r="S97" s="41" t="s">
        <v>182</v>
      </c>
      <c r="T97" s="41" t="s">
        <v>63</v>
      </c>
      <c r="U97" s="41" t="s">
        <v>105</v>
      </c>
      <c r="V97" s="41" t="s">
        <v>82</v>
      </c>
      <c r="W97" s="42">
        <v>42324</v>
      </c>
      <c r="X97" s="41" t="s">
        <v>64</v>
      </c>
      <c r="Y97" s="42">
        <v>42320</v>
      </c>
      <c r="Z97" s="41"/>
      <c r="AA97" s="41"/>
      <c r="AB97" s="41"/>
      <c r="AC97" s="41" t="s">
        <v>183</v>
      </c>
      <c r="AD97" s="41" t="s">
        <v>1201</v>
      </c>
      <c r="AE97" s="41" t="s">
        <v>106</v>
      </c>
      <c r="AF97" s="41" t="s">
        <v>1202</v>
      </c>
    </row>
    <row r="98" spans="1:32" x14ac:dyDescent="0.2">
      <c r="A98" s="41">
        <v>10019873</v>
      </c>
      <c r="B98" s="41" t="s">
        <v>18</v>
      </c>
      <c r="C98" s="41" t="s">
        <v>78</v>
      </c>
      <c r="D98" s="42">
        <v>42320</v>
      </c>
      <c r="E98" s="41">
        <v>93590073</v>
      </c>
      <c r="F98" s="42">
        <v>42318</v>
      </c>
      <c r="G98" s="42">
        <v>42319</v>
      </c>
      <c r="H98" s="41">
        <v>1201399</v>
      </c>
      <c r="I98" s="41" t="s">
        <v>144</v>
      </c>
      <c r="J98" s="41">
        <v>1334926</v>
      </c>
      <c r="K98" s="41" t="s">
        <v>145</v>
      </c>
      <c r="L98" s="41">
        <v>1171970</v>
      </c>
      <c r="M98" s="41" t="s">
        <v>144</v>
      </c>
      <c r="N98" s="41">
        <v>8106678192</v>
      </c>
      <c r="O98" s="41" t="s">
        <v>181</v>
      </c>
      <c r="P98" s="41" t="s">
        <v>870</v>
      </c>
      <c r="Q98" s="41" t="s">
        <v>871</v>
      </c>
      <c r="R98" s="41">
        <v>115.2</v>
      </c>
      <c r="S98" s="41" t="s">
        <v>182</v>
      </c>
      <c r="T98" s="41" t="s">
        <v>63</v>
      </c>
      <c r="U98" s="41" t="s">
        <v>70</v>
      </c>
      <c r="V98" s="41" t="s">
        <v>76</v>
      </c>
      <c r="W98" s="42">
        <v>42324</v>
      </c>
      <c r="X98" s="41" t="s">
        <v>64</v>
      </c>
      <c r="Y98" s="42">
        <v>42320</v>
      </c>
      <c r="Z98" s="41"/>
      <c r="AA98" s="41"/>
      <c r="AB98" s="41"/>
      <c r="AC98" s="41" t="s">
        <v>183</v>
      </c>
      <c r="AD98" s="41" t="s">
        <v>1203</v>
      </c>
      <c r="AE98" s="41" t="s">
        <v>77</v>
      </c>
      <c r="AF98" s="41" t="s">
        <v>376</v>
      </c>
    </row>
    <row r="99" spans="1:32" x14ac:dyDescent="0.2">
      <c r="A99" s="41">
        <v>10019874</v>
      </c>
      <c r="B99" s="41" t="s">
        <v>18</v>
      </c>
      <c r="C99" s="41" t="s">
        <v>78</v>
      </c>
      <c r="D99" s="42">
        <v>42320</v>
      </c>
      <c r="E99" s="41">
        <v>93582969</v>
      </c>
      <c r="F99" s="42">
        <v>42312</v>
      </c>
      <c r="G99" s="41"/>
      <c r="H99" s="41">
        <v>1201640</v>
      </c>
      <c r="I99" s="41" t="s">
        <v>159</v>
      </c>
      <c r="J99" s="41">
        <v>1338029</v>
      </c>
      <c r="K99" s="41" t="s">
        <v>160</v>
      </c>
      <c r="L99" s="41">
        <v>1201640</v>
      </c>
      <c r="M99" s="41" t="s">
        <v>159</v>
      </c>
      <c r="N99" s="41" t="s">
        <v>1204</v>
      </c>
      <c r="O99" s="41" t="s">
        <v>181</v>
      </c>
      <c r="P99" s="41" t="s">
        <v>67</v>
      </c>
      <c r="Q99" s="41" t="s">
        <v>68</v>
      </c>
      <c r="R99" s="41">
        <v>112.8</v>
      </c>
      <c r="S99" s="41" t="s">
        <v>182</v>
      </c>
      <c r="T99" s="41" t="s">
        <v>63</v>
      </c>
      <c r="U99" s="41" t="s">
        <v>70</v>
      </c>
      <c r="V99" s="41" t="s">
        <v>76</v>
      </c>
      <c r="W99" s="42">
        <v>42324</v>
      </c>
      <c r="X99" s="41" t="s">
        <v>64</v>
      </c>
      <c r="Y99" s="42">
        <v>42320</v>
      </c>
      <c r="Z99" s="41"/>
      <c r="AA99" s="41"/>
      <c r="AB99" s="41"/>
      <c r="AC99" s="41" t="s">
        <v>183</v>
      </c>
      <c r="AD99" s="41">
        <v>3511639795</v>
      </c>
      <c r="AE99" s="41" t="s">
        <v>77</v>
      </c>
      <c r="AF99" s="41" t="s">
        <v>418</v>
      </c>
    </row>
    <row r="100" spans="1:32" x14ac:dyDescent="0.2">
      <c r="A100" s="41">
        <v>10019875</v>
      </c>
      <c r="B100" s="41" t="s">
        <v>22</v>
      </c>
      <c r="C100" s="41" t="s">
        <v>78</v>
      </c>
      <c r="D100" s="42">
        <v>42320</v>
      </c>
      <c r="E100" s="41">
        <v>93586397</v>
      </c>
      <c r="F100" s="42">
        <v>42314</v>
      </c>
      <c r="G100" s="41"/>
      <c r="H100" s="41">
        <v>1322515</v>
      </c>
      <c r="I100" s="41" t="s">
        <v>139</v>
      </c>
      <c r="J100" s="41">
        <v>1322536</v>
      </c>
      <c r="K100" s="41" t="s">
        <v>140</v>
      </c>
      <c r="L100" s="41">
        <v>1322515</v>
      </c>
      <c r="M100" s="41" t="s">
        <v>139</v>
      </c>
      <c r="N100" s="41">
        <v>240365</v>
      </c>
      <c r="O100" s="41" t="s">
        <v>181</v>
      </c>
      <c r="P100" s="41" t="s">
        <v>168</v>
      </c>
      <c r="Q100" s="41" t="s">
        <v>169</v>
      </c>
      <c r="R100" s="41">
        <v>341.28</v>
      </c>
      <c r="S100" s="41" t="s">
        <v>182</v>
      </c>
      <c r="T100" s="41" t="s">
        <v>63</v>
      </c>
      <c r="U100" s="41" t="s">
        <v>94</v>
      </c>
      <c r="V100" s="41" t="s">
        <v>141</v>
      </c>
      <c r="W100" s="42">
        <v>42324</v>
      </c>
      <c r="X100" s="41" t="s">
        <v>64</v>
      </c>
      <c r="Y100" s="42">
        <v>42320</v>
      </c>
      <c r="Z100" s="41"/>
      <c r="AA100" s="41"/>
      <c r="AB100" s="41"/>
      <c r="AC100" s="41" t="s">
        <v>183</v>
      </c>
      <c r="AD100" s="41" t="s">
        <v>1205</v>
      </c>
      <c r="AE100" s="41" t="s">
        <v>142</v>
      </c>
      <c r="AF100" s="41" t="s">
        <v>1167</v>
      </c>
    </row>
    <row r="101" spans="1:32" x14ac:dyDescent="0.2">
      <c r="A101" s="41">
        <v>10019876</v>
      </c>
      <c r="B101" s="41" t="s">
        <v>18</v>
      </c>
      <c r="C101" s="41" t="s">
        <v>78</v>
      </c>
      <c r="D101" s="42">
        <v>42321</v>
      </c>
      <c r="E101" s="41">
        <v>93588203</v>
      </c>
      <c r="F101" s="42">
        <v>42317</v>
      </c>
      <c r="G101" s="41"/>
      <c r="H101" s="41">
        <v>1201120</v>
      </c>
      <c r="I101" s="41" t="s">
        <v>117</v>
      </c>
      <c r="J101" s="41">
        <v>1307782</v>
      </c>
      <c r="K101" s="41" t="s">
        <v>119</v>
      </c>
      <c r="L101" s="41">
        <v>1171090</v>
      </c>
      <c r="M101" s="41" t="s">
        <v>118</v>
      </c>
      <c r="N101" s="41" t="s">
        <v>1180</v>
      </c>
      <c r="O101" s="41" t="s">
        <v>181</v>
      </c>
      <c r="P101" s="41" t="s">
        <v>97</v>
      </c>
      <c r="Q101" s="41" t="s">
        <v>98</v>
      </c>
      <c r="R101" s="41">
        <v>199.2</v>
      </c>
      <c r="S101" s="41" t="s">
        <v>182</v>
      </c>
      <c r="T101" s="41" t="s">
        <v>63</v>
      </c>
      <c r="U101" s="41" t="s">
        <v>70</v>
      </c>
      <c r="V101" s="41" t="s">
        <v>76</v>
      </c>
      <c r="W101" s="42">
        <v>42324</v>
      </c>
      <c r="X101" s="41" t="s">
        <v>64</v>
      </c>
      <c r="Y101" s="42">
        <v>42321</v>
      </c>
      <c r="Z101" s="41"/>
      <c r="AA101" s="41"/>
      <c r="AB101" s="41"/>
      <c r="AC101" s="41" t="s">
        <v>183</v>
      </c>
      <c r="AD101" s="41" t="s">
        <v>1206</v>
      </c>
      <c r="AE101" s="41" t="s">
        <v>77</v>
      </c>
      <c r="AF101" s="41" t="s">
        <v>386</v>
      </c>
    </row>
    <row r="102" spans="1:32" x14ac:dyDescent="0.2">
      <c r="A102" s="41">
        <v>10019877</v>
      </c>
      <c r="B102" s="41" t="s">
        <v>26</v>
      </c>
      <c r="C102" s="41" t="s">
        <v>78</v>
      </c>
      <c r="D102" s="42">
        <v>42321</v>
      </c>
      <c r="E102" s="41">
        <v>93582616</v>
      </c>
      <c r="F102" s="42">
        <v>42312</v>
      </c>
      <c r="G102" s="41"/>
      <c r="H102" s="41">
        <v>1201047</v>
      </c>
      <c r="I102" s="41" t="s">
        <v>79</v>
      </c>
      <c r="J102" s="41">
        <v>1321618</v>
      </c>
      <c r="K102" s="41" t="s">
        <v>85</v>
      </c>
      <c r="L102" s="41">
        <v>1171089</v>
      </c>
      <c r="M102" s="41" t="s">
        <v>75</v>
      </c>
      <c r="N102" s="41">
        <v>55526352</v>
      </c>
      <c r="O102" s="41" t="s">
        <v>181</v>
      </c>
      <c r="P102" s="41" t="s">
        <v>91</v>
      </c>
      <c r="Q102" s="41" t="s">
        <v>92</v>
      </c>
      <c r="R102" s="41">
        <v>830</v>
      </c>
      <c r="S102" s="41" t="s">
        <v>182</v>
      </c>
      <c r="T102" s="41" t="s">
        <v>63</v>
      </c>
      <c r="U102" s="41" t="s">
        <v>94</v>
      </c>
      <c r="V102" s="41" t="s">
        <v>71</v>
      </c>
      <c r="W102" s="42">
        <v>42324</v>
      </c>
      <c r="X102" s="41" t="s">
        <v>64</v>
      </c>
      <c r="Y102" s="42">
        <v>42321</v>
      </c>
      <c r="Z102" s="41"/>
      <c r="AA102" s="41"/>
      <c r="AB102" s="41"/>
      <c r="AC102" s="41" t="s">
        <v>183</v>
      </c>
      <c r="AD102" s="41" t="s">
        <v>1207</v>
      </c>
      <c r="AE102" s="41" t="s">
        <v>96</v>
      </c>
      <c r="AF102" s="41" t="s">
        <v>1119</v>
      </c>
    </row>
    <row r="103" spans="1:32" x14ac:dyDescent="0.2">
      <c r="A103" s="41">
        <v>10019878</v>
      </c>
      <c r="B103" s="41" t="s">
        <v>26</v>
      </c>
      <c r="C103" s="41" t="s">
        <v>78</v>
      </c>
      <c r="D103" s="42">
        <v>42321</v>
      </c>
      <c r="E103" s="41">
        <v>93574132</v>
      </c>
      <c r="F103" s="42">
        <v>42305</v>
      </c>
      <c r="G103" s="41"/>
      <c r="H103" s="41">
        <v>1201047</v>
      </c>
      <c r="I103" s="41" t="s">
        <v>79</v>
      </c>
      <c r="J103" s="41">
        <v>1317086</v>
      </c>
      <c r="K103" s="41" t="s">
        <v>85</v>
      </c>
      <c r="L103" s="41">
        <v>1171089</v>
      </c>
      <c r="M103" s="41" t="s">
        <v>75</v>
      </c>
      <c r="N103" s="41">
        <v>23611913</v>
      </c>
      <c r="O103" s="41" t="s">
        <v>181</v>
      </c>
      <c r="P103" s="41" t="s">
        <v>97</v>
      </c>
      <c r="Q103" s="41" t="s">
        <v>98</v>
      </c>
      <c r="R103" s="41">
        <v>10176</v>
      </c>
      <c r="S103" s="41" t="s">
        <v>182</v>
      </c>
      <c r="T103" s="41" t="s">
        <v>63</v>
      </c>
      <c r="U103" s="41" t="s">
        <v>81</v>
      </c>
      <c r="V103" s="41" t="s">
        <v>88</v>
      </c>
      <c r="W103" s="42">
        <v>42324</v>
      </c>
      <c r="X103" s="41"/>
      <c r="Y103" s="41"/>
      <c r="Z103" s="41"/>
      <c r="AA103" s="41"/>
      <c r="AB103" s="41"/>
      <c r="AC103" s="41" t="s">
        <v>183</v>
      </c>
      <c r="AD103" s="41">
        <v>87944972654672</v>
      </c>
      <c r="AE103" s="41" t="s">
        <v>89</v>
      </c>
      <c r="AF103" s="41" t="s">
        <v>1208</v>
      </c>
    </row>
    <row r="104" spans="1:32" x14ac:dyDescent="0.2">
      <c r="A104" s="41">
        <v>10019879</v>
      </c>
      <c r="B104" s="41" t="s">
        <v>26</v>
      </c>
      <c r="C104" s="41" t="s">
        <v>78</v>
      </c>
      <c r="D104" s="42">
        <v>42321</v>
      </c>
      <c r="E104" s="41">
        <v>93580039</v>
      </c>
      <c r="F104" s="42">
        <v>42310</v>
      </c>
      <c r="G104" s="41"/>
      <c r="H104" s="41">
        <v>1318826</v>
      </c>
      <c r="I104" s="41" t="s">
        <v>110</v>
      </c>
      <c r="J104" s="41">
        <v>1337268</v>
      </c>
      <c r="K104" s="41" t="s">
        <v>961</v>
      </c>
      <c r="L104" s="41">
        <v>1318826</v>
      </c>
      <c r="M104" s="41" t="s">
        <v>110</v>
      </c>
      <c r="N104" s="41">
        <v>2052200</v>
      </c>
      <c r="O104" s="41" t="s">
        <v>181</v>
      </c>
      <c r="P104" s="41" t="s">
        <v>91</v>
      </c>
      <c r="Q104" s="41" t="s">
        <v>92</v>
      </c>
      <c r="R104" s="41">
        <v>787.5</v>
      </c>
      <c r="S104" s="41" t="s">
        <v>182</v>
      </c>
      <c r="T104" s="41" t="s">
        <v>63</v>
      </c>
      <c r="U104" s="41" t="s">
        <v>94</v>
      </c>
      <c r="V104" s="41" t="s">
        <v>71</v>
      </c>
      <c r="W104" s="42">
        <v>42324</v>
      </c>
      <c r="X104" s="41" t="s">
        <v>64</v>
      </c>
      <c r="Y104" s="42">
        <v>42321</v>
      </c>
      <c r="Z104" s="41"/>
      <c r="AA104" s="41"/>
      <c r="AB104" s="41"/>
      <c r="AC104" s="41" t="s">
        <v>183</v>
      </c>
      <c r="AD104" s="41" t="s">
        <v>1209</v>
      </c>
      <c r="AE104" s="41" t="s">
        <v>96</v>
      </c>
      <c r="AF104" s="41" t="s">
        <v>1119</v>
      </c>
    </row>
    <row r="105" spans="1:32" x14ac:dyDescent="0.2">
      <c r="A105" s="41">
        <v>10019880</v>
      </c>
      <c r="B105" s="41" t="s">
        <v>22</v>
      </c>
      <c r="C105" s="41" t="s">
        <v>78</v>
      </c>
      <c r="D105" s="42">
        <v>42321</v>
      </c>
      <c r="E105" s="41"/>
      <c r="F105" s="41"/>
      <c r="G105" s="41"/>
      <c r="H105" s="41">
        <v>1318826</v>
      </c>
      <c r="I105" s="41" t="s">
        <v>110</v>
      </c>
      <c r="J105" s="41">
        <v>1337268</v>
      </c>
      <c r="K105" s="41" t="s">
        <v>961</v>
      </c>
      <c r="L105" s="41">
        <v>1318826</v>
      </c>
      <c r="M105" s="41" t="s">
        <v>110</v>
      </c>
      <c r="N105" s="41">
        <v>2052200</v>
      </c>
      <c r="O105" s="41" t="s">
        <v>181</v>
      </c>
      <c r="P105" s="41"/>
      <c r="Q105" s="41"/>
      <c r="R105" s="41">
        <v>787.5</v>
      </c>
      <c r="S105" s="41" t="s">
        <v>182</v>
      </c>
      <c r="T105" s="41" t="s">
        <v>63</v>
      </c>
      <c r="U105" s="41"/>
      <c r="V105" s="41"/>
      <c r="W105" s="41"/>
      <c r="X105" s="41" t="s">
        <v>64</v>
      </c>
      <c r="Y105" s="42">
        <v>42321</v>
      </c>
      <c r="Z105" s="41"/>
      <c r="AA105" s="41"/>
      <c r="AB105" s="41"/>
      <c r="AC105" s="41" t="s">
        <v>183</v>
      </c>
      <c r="AD105" s="41"/>
      <c r="AE105" s="41"/>
      <c r="AF105" s="41"/>
    </row>
    <row r="106" spans="1:32" x14ac:dyDescent="0.2">
      <c r="A106" s="41">
        <v>10019881</v>
      </c>
      <c r="B106" s="41" t="s">
        <v>22</v>
      </c>
      <c r="C106" s="41" t="s">
        <v>78</v>
      </c>
      <c r="D106" s="42">
        <v>42321</v>
      </c>
      <c r="E106" s="41"/>
      <c r="F106" s="41"/>
      <c r="G106" s="41"/>
      <c r="H106" s="41">
        <v>1324774</v>
      </c>
      <c r="I106" s="41" t="s">
        <v>389</v>
      </c>
      <c r="J106" s="41">
        <v>1317726</v>
      </c>
      <c r="K106" s="41" t="s">
        <v>389</v>
      </c>
      <c r="L106" s="41">
        <v>1324774</v>
      </c>
      <c r="M106" s="41" t="s">
        <v>389</v>
      </c>
      <c r="N106" s="41">
        <v>150000153836</v>
      </c>
      <c r="O106" s="41" t="s">
        <v>181</v>
      </c>
      <c r="P106" s="41"/>
      <c r="Q106" s="41"/>
      <c r="R106" s="41">
        <v>1010.88</v>
      </c>
      <c r="S106" s="41" t="s">
        <v>182</v>
      </c>
      <c r="T106" s="41" t="s">
        <v>63</v>
      </c>
      <c r="U106" s="41"/>
      <c r="V106" s="41"/>
      <c r="W106" s="41"/>
      <c r="X106" s="41" t="s">
        <v>64</v>
      </c>
      <c r="Y106" s="42">
        <v>42321</v>
      </c>
      <c r="Z106" s="41"/>
      <c r="AA106" s="41"/>
      <c r="AB106" s="41"/>
      <c r="AC106" s="41" t="s">
        <v>183</v>
      </c>
      <c r="AD106" s="41"/>
      <c r="AE106" s="41"/>
      <c r="AF106" s="41"/>
    </row>
    <row r="107" spans="1:32" x14ac:dyDescent="0.2">
      <c r="A107" s="41">
        <v>10019882</v>
      </c>
      <c r="B107" s="41" t="s">
        <v>25</v>
      </c>
      <c r="C107" s="41" t="s">
        <v>78</v>
      </c>
      <c r="D107" s="42">
        <v>42321</v>
      </c>
      <c r="E107" s="41"/>
      <c r="F107" s="41"/>
      <c r="G107" s="41"/>
      <c r="H107" s="41">
        <v>1323144</v>
      </c>
      <c r="I107" s="41" t="s">
        <v>566</v>
      </c>
      <c r="J107" s="41">
        <v>1340808</v>
      </c>
      <c r="K107" s="41" t="s">
        <v>566</v>
      </c>
      <c r="L107" s="41">
        <v>1323144</v>
      </c>
      <c r="M107" s="41" t="s">
        <v>566</v>
      </c>
      <c r="N107" s="41">
        <v>4500012833</v>
      </c>
      <c r="O107" s="41" t="s">
        <v>181</v>
      </c>
      <c r="P107" s="41"/>
      <c r="Q107" s="41"/>
      <c r="R107" s="41">
        <v>1500</v>
      </c>
      <c r="S107" s="41" t="s">
        <v>182</v>
      </c>
      <c r="T107" s="41" t="s">
        <v>63</v>
      </c>
      <c r="U107" s="41"/>
      <c r="V107" s="41"/>
      <c r="W107" s="41"/>
      <c r="X107" s="41" t="s">
        <v>64</v>
      </c>
      <c r="Y107" s="42">
        <v>42321</v>
      </c>
      <c r="Z107" s="41"/>
      <c r="AA107" s="41"/>
      <c r="AB107" s="41"/>
      <c r="AC107" s="41" t="s">
        <v>183</v>
      </c>
      <c r="AD107" s="41"/>
      <c r="AE107" s="41"/>
      <c r="AF107" s="41"/>
    </row>
    <row r="108" spans="1:32" x14ac:dyDescent="0.2">
      <c r="A108" s="41">
        <v>10019883</v>
      </c>
      <c r="B108" s="41" t="s">
        <v>18</v>
      </c>
      <c r="C108" s="41" t="s">
        <v>573</v>
      </c>
      <c r="D108" s="42">
        <v>42321</v>
      </c>
      <c r="E108" s="41">
        <v>93593219</v>
      </c>
      <c r="F108" s="42">
        <v>42320</v>
      </c>
      <c r="G108" s="41"/>
      <c r="H108" s="41">
        <v>1201047</v>
      </c>
      <c r="I108" s="41" t="s">
        <v>79</v>
      </c>
      <c r="J108" s="41">
        <v>1309880</v>
      </c>
      <c r="K108" s="41" t="s">
        <v>108</v>
      </c>
      <c r="L108" s="41">
        <v>1171089</v>
      </c>
      <c r="M108" s="41" t="s">
        <v>75</v>
      </c>
      <c r="N108" s="41">
        <v>18755603</v>
      </c>
      <c r="O108" s="41" t="s">
        <v>181</v>
      </c>
      <c r="P108" s="41" t="s">
        <v>91</v>
      </c>
      <c r="Q108" s="41" t="s">
        <v>92</v>
      </c>
      <c r="R108" s="41">
        <v>258.83999999999997</v>
      </c>
      <c r="S108" s="41" t="s">
        <v>182</v>
      </c>
      <c r="T108" s="41" t="s">
        <v>63</v>
      </c>
      <c r="U108" s="41" t="s">
        <v>70</v>
      </c>
      <c r="V108" s="41" t="s">
        <v>76</v>
      </c>
      <c r="W108" s="42">
        <v>42324</v>
      </c>
      <c r="X108" s="41" t="s">
        <v>64</v>
      </c>
      <c r="Y108" s="42">
        <v>42321</v>
      </c>
      <c r="Z108" s="41"/>
      <c r="AA108" s="41"/>
      <c r="AB108" s="41"/>
      <c r="AC108" s="41" t="s">
        <v>183</v>
      </c>
      <c r="AD108" s="41" t="s">
        <v>1210</v>
      </c>
      <c r="AE108" s="41" t="s">
        <v>77</v>
      </c>
      <c r="AF108" s="41" t="s">
        <v>717</v>
      </c>
    </row>
    <row r="109" spans="1:32" x14ac:dyDescent="0.2">
      <c r="A109" s="41">
        <v>10019884</v>
      </c>
      <c r="B109" s="41" t="s">
        <v>26</v>
      </c>
      <c r="C109" s="41" t="s">
        <v>78</v>
      </c>
      <c r="D109" s="42">
        <v>42321</v>
      </c>
      <c r="E109" s="41">
        <v>93555057</v>
      </c>
      <c r="F109" s="42">
        <v>42289</v>
      </c>
      <c r="G109" s="41"/>
      <c r="H109" s="41">
        <v>1322827</v>
      </c>
      <c r="I109" s="41" t="s">
        <v>253</v>
      </c>
      <c r="J109" s="41">
        <v>1327596</v>
      </c>
      <c r="K109" s="41" t="s">
        <v>449</v>
      </c>
      <c r="L109" s="41">
        <v>1322827</v>
      </c>
      <c r="M109" s="41" t="s">
        <v>253</v>
      </c>
      <c r="N109" s="41">
        <v>1282962</v>
      </c>
      <c r="O109" s="41" t="s">
        <v>181</v>
      </c>
      <c r="P109" s="41" t="s">
        <v>97</v>
      </c>
      <c r="Q109" s="41" t="s">
        <v>98</v>
      </c>
      <c r="R109" s="41">
        <v>417.96</v>
      </c>
      <c r="S109" s="41" t="s">
        <v>182</v>
      </c>
      <c r="T109" s="41" t="s">
        <v>63</v>
      </c>
      <c r="U109" s="41" t="s">
        <v>81</v>
      </c>
      <c r="V109" s="41" t="s">
        <v>88</v>
      </c>
      <c r="W109" s="42">
        <v>42331</v>
      </c>
      <c r="X109" s="41" t="s">
        <v>64</v>
      </c>
      <c r="Y109" s="42">
        <v>42321</v>
      </c>
      <c r="Z109" s="41"/>
      <c r="AA109" s="41"/>
      <c r="AB109" s="41"/>
      <c r="AC109" s="41" t="s">
        <v>183</v>
      </c>
      <c r="AD109" s="41">
        <v>87944972603830</v>
      </c>
      <c r="AE109" s="41" t="s">
        <v>89</v>
      </c>
      <c r="AF109" s="41" t="s">
        <v>1211</v>
      </c>
    </row>
    <row r="110" spans="1:32" x14ac:dyDescent="0.2">
      <c r="A110" s="41">
        <v>10019885</v>
      </c>
      <c r="B110" s="41" t="s">
        <v>18</v>
      </c>
      <c r="C110" s="41" t="s">
        <v>78</v>
      </c>
      <c r="D110" s="42">
        <v>42324</v>
      </c>
      <c r="E110" s="41">
        <v>93593281</v>
      </c>
      <c r="F110" s="42">
        <v>42320</v>
      </c>
      <c r="G110" s="41"/>
      <c r="H110" s="41">
        <v>1201120</v>
      </c>
      <c r="I110" s="41" t="s">
        <v>117</v>
      </c>
      <c r="J110" s="41">
        <v>1307782</v>
      </c>
      <c r="K110" s="41" t="s">
        <v>119</v>
      </c>
      <c r="L110" s="41">
        <v>1171090</v>
      </c>
      <c r="M110" s="41" t="s">
        <v>118</v>
      </c>
      <c r="N110" s="41" t="s">
        <v>1212</v>
      </c>
      <c r="O110" s="41" t="s">
        <v>181</v>
      </c>
      <c r="P110" s="41" t="s">
        <v>102</v>
      </c>
      <c r="Q110" s="41" t="s">
        <v>103</v>
      </c>
      <c r="R110" s="41">
        <v>952.64</v>
      </c>
      <c r="S110" s="41" t="s">
        <v>182</v>
      </c>
      <c r="T110" s="41" t="s">
        <v>63</v>
      </c>
      <c r="U110" s="41" t="s">
        <v>70</v>
      </c>
      <c r="V110" s="41" t="s">
        <v>76</v>
      </c>
      <c r="W110" s="42">
        <v>42324</v>
      </c>
      <c r="X110" s="41" t="s">
        <v>64</v>
      </c>
      <c r="Y110" s="42">
        <v>42324</v>
      </c>
      <c r="Z110" s="41"/>
      <c r="AA110" s="41"/>
      <c r="AB110" s="41"/>
      <c r="AC110" s="41" t="s">
        <v>183</v>
      </c>
      <c r="AD110" s="41" t="s">
        <v>1213</v>
      </c>
      <c r="AE110" s="41" t="s">
        <v>77</v>
      </c>
      <c r="AF110" s="41" t="s">
        <v>216</v>
      </c>
    </row>
    <row r="111" spans="1:32" x14ac:dyDescent="0.2">
      <c r="A111" s="41">
        <v>10019886</v>
      </c>
      <c r="B111" s="41" t="s">
        <v>18</v>
      </c>
      <c r="C111" s="41" t="s">
        <v>78</v>
      </c>
      <c r="D111" s="42">
        <v>42324</v>
      </c>
      <c r="E111" s="41">
        <v>93588291</v>
      </c>
      <c r="F111" s="42">
        <v>42317</v>
      </c>
      <c r="G111" s="42">
        <v>42320</v>
      </c>
      <c r="H111" s="41">
        <v>1201315</v>
      </c>
      <c r="I111" s="41" t="s">
        <v>256</v>
      </c>
      <c r="J111" s="41">
        <v>1319929</v>
      </c>
      <c r="K111" s="41" t="s">
        <v>558</v>
      </c>
      <c r="L111" s="41">
        <v>1201315</v>
      </c>
      <c r="M111" s="41" t="s">
        <v>256</v>
      </c>
      <c r="N111" s="41">
        <v>5656739</v>
      </c>
      <c r="O111" s="41" t="s">
        <v>181</v>
      </c>
      <c r="P111" s="41" t="s">
        <v>67</v>
      </c>
      <c r="Q111" s="41" t="s">
        <v>68</v>
      </c>
      <c r="R111" s="41">
        <v>78</v>
      </c>
      <c r="S111" s="41" t="s">
        <v>182</v>
      </c>
      <c r="T111" s="41" t="s">
        <v>63</v>
      </c>
      <c r="U111" s="41" t="s">
        <v>70</v>
      </c>
      <c r="V111" s="41" t="s">
        <v>76</v>
      </c>
      <c r="W111" s="42">
        <v>42324</v>
      </c>
      <c r="X111" s="41" t="s">
        <v>64</v>
      </c>
      <c r="Y111" s="42">
        <v>42324</v>
      </c>
      <c r="Z111" s="41"/>
      <c r="AA111" s="41"/>
      <c r="AB111" s="41"/>
      <c r="AC111" s="41" t="s">
        <v>183</v>
      </c>
      <c r="AD111" s="41">
        <v>3527004176</v>
      </c>
      <c r="AE111" s="41" t="s">
        <v>77</v>
      </c>
      <c r="AF111" s="41" t="s">
        <v>376</v>
      </c>
    </row>
    <row r="112" spans="1:32" x14ac:dyDescent="0.2">
      <c r="A112" s="41">
        <v>10019887</v>
      </c>
      <c r="B112" s="41" t="s">
        <v>18</v>
      </c>
      <c r="C112" s="41" t="s">
        <v>78</v>
      </c>
      <c r="D112" s="42">
        <v>42324</v>
      </c>
      <c r="E112" s="41">
        <v>93591292</v>
      </c>
      <c r="F112" s="42">
        <v>42319</v>
      </c>
      <c r="G112" s="41"/>
      <c r="H112" s="41">
        <v>1201047</v>
      </c>
      <c r="I112" s="41" t="s">
        <v>79</v>
      </c>
      <c r="J112" s="41">
        <v>1340974</v>
      </c>
      <c r="K112" s="41" t="s">
        <v>93</v>
      </c>
      <c r="L112" s="41">
        <v>1171089</v>
      </c>
      <c r="M112" s="41" t="s">
        <v>75</v>
      </c>
      <c r="N112" s="41">
        <v>87102785</v>
      </c>
      <c r="O112" s="41" t="s">
        <v>181</v>
      </c>
      <c r="P112" s="41" t="s">
        <v>279</v>
      </c>
      <c r="Q112" s="41" t="s">
        <v>280</v>
      </c>
      <c r="R112" s="41">
        <v>872.7</v>
      </c>
      <c r="S112" s="41" t="s">
        <v>182</v>
      </c>
      <c r="T112" s="41" t="s">
        <v>63</v>
      </c>
      <c r="U112" s="41" t="s">
        <v>70</v>
      </c>
      <c r="V112" s="41" t="s">
        <v>76</v>
      </c>
      <c r="W112" s="42">
        <v>42324</v>
      </c>
      <c r="X112" s="41" t="s">
        <v>83</v>
      </c>
      <c r="Y112" s="42">
        <v>42324</v>
      </c>
      <c r="Z112" s="41"/>
      <c r="AA112" s="41"/>
      <c r="AB112" s="41"/>
      <c r="AC112" s="41" t="s">
        <v>183</v>
      </c>
      <c r="AD112" s="41" t="s">
        <v>1214</v>
      </c>
      <c r="AE112" s="41" t="s">
        <v>77</v>
      </c>
      <c r="AF112" s="41" t="s">
        <v>191</v>
      </c>
    </row>
    <row r="113" spans="1:32" x14ac:dyDescent="0.2">
      <c r="A113" s="41">
        <v>10019888</v>
      </c>
      <c r="B113" s="41" t="s">
        <v>26</v>
      </c>
      <c r="C113" s="41" t="s">
        <v>78</v>
      </c>
      <c r="D113" s="42">
        <v>42324</v>
      </c>
      <c r="E113" s="41">
        <v>93593263</v>
      </c>
      <c r="F113" s="42">
        <v>42320</v>
      </c>
      <c r="G113" s="41"/>
      <c r="H113" s="41">
        <v>1201047</v>
      </c>
      <c r="I113" s="41" t="s">
        <v>79</v>
      </c>
      <c r="J113" s="41">
        <v>1021385</v>
      </c>
      <c r="K113" s="41" t="s">
        <v>1215</v>
      </c>
      <c r="L113" s="41">
        <v>1171089</v>
      </c>
      <c r="M113" s="41" t="s">
        <v>75</v>
      </c>
      <c r="N113" s="41">
        <v>801820532</v>
      </c>
      <c r="O113" s="41" t="s">
        <v>181</v>
      </c>
      <c r="P113" s="41" t="s">
        <v>102</v>
      </c>
      <c r="Q113" s="41" t="s">
        <v>103</v>
      </c>
      <c r="R113" s="41">
        <v>25650</v>
      </c>
      <c r="S113" s="41" t="s">
        <v>182</v>
      </c>
      <c r="T113" s="41" t="s">
        <v>63</v>
      </c>
      <c r="U113" s="41"/>
      <c r="V113" s="41"/>
      <c r="W113" s="41"/>
      <c r="X113" s="41"/>
      <c r="Y113" s="41"/>
      <c r="Z113" s="41"/>
      <c r="AA113" s="41"/>
      <c r="AB113" s="41"/>
      <c r="AC113" s="41" t="s">
        <v>183</v>
      </c>
      <c r="AD113" s="41">
        <v>649275117797</v>
      </c>
      <c r="AE113" s="41"/>
      <c r="AF113" s="41"/>
    </row>
    <row r="114" spans="1:32" x14ac:dyDescent="0.2">
      <c r="A114" s="41">
        <v>10019889</v>
      </c>
      <c r="B114" s="41" t="s">
        <v>26</v>
      </c>
      <c r="C114" s="41" t="s">
        <v>78</v>
      </c>
      <c r="D114" s="42">
        <v>42324</v>
      </c>
      <c r="E114" s="41">
        <v>93581287</v>
      </c>
      <c r="F114" s="42">
        <v>42311</v>
      </c>
      <c r="G114" s="41"/>
      <c r="H114" s="41">
        <v>1201047</v>
      </c>
      <c r="I114" s="41" t="s">
        <v>79</v>
      </c>
      <c r="J114" s="41">
        <v>1311671</v>
      </c>
      <c r="K114" s="41" t="s">
        <v>90</v>
      </c>
      <c r="L114" s="41">
        <v>1171089</v>
      </c>
      <c r="M114" s="41" t="s">
        <v>75</v>
      </c>
      <c r="N114" s="41">
        <v>21464966</v>
      </c>
      <c r="O114" s="41" t="s">
        <v>181</v>
      </c>
      <c r="P114" s="41" t="s">
        <v>91</v>
      </c>
      <c r="Q114" s="41" t="s">
        <v>92</v>
      </c>
      <c r="R114" s="41">
        <v>345.06</v>
      </c>
      <c r="S114" s="41" t="s">
        <v>182</v>
      </c>
      <c r="T114" s="41" t="s">
        <v>63</v>
      </c>
      <c r="U114" s="41"/>
      <c r="V114" s="41"/>
      <c r="W114" s="41"/>
      <c r="X114" s="41" t="s">
        <v>64</v>
      </c>
      <c r="Y114" s="42">
        <v>42324</v>
      </c>
      <c r="Z114" s="41"/>
      <c r="AA114" s="41"/>
      <c r="AB114" s="41"/>
      <c r="AC114" s="41" t="s">
        <v>183</v>
      </c>
      <c r="AD114" s="41" t="s">
        <v>1216</v>
      </c>
      <c r="AE114" s="41"/>
      <c r="AF114" s="41"/>
    </row>
    <row r="115" spans="1:32" x14ac:dyDescent="0.2">
      <c r="A115" s="41">
        <v>10019890</v>
      </c>
      <c r="B115" s="41" t="s">
        <v>22</v>
      </c>
      <c r="C115" s="41" t="s">
        <v>78</v>
      </c>
      <c r="D115" s="42">
        <v>42324</v>
      </c>
      <c r="E115" s="41">
        <v>93581287</v>
      </c>
      <c r="F115" s="42">
        <v>42311</v>
      </c>
      <c r="G115" s="41"/>
      <c r="H115" s="41">
        <v>1201047</v>
      </c>
      <c r="I115" s="41" t="s">
        <v>79</v>
      </c>
      <c r="J115" s="41">
        <v>1311671</v>
      </c>
      <c r="K115" s="41" t="s">
        <v>90</v>
      </c>
      <c r="L115" s="41">
        <v>1171089</v>
      </c>
      <c r="M115" s="41" t="s">
        <v>75</v>
      </c>
      <c r="N115" s="41">
        <v>21464966</v>
      </c>
      <c r="O115" s="41" t="s">
        <v>181</v>
      </c>
      <c r="P115" s="41" t="s">
        <v>91</v>
      </c>
      <c r="Q115" s="41" t="s">
        <v>92</v>
      </c>
      <c r="R115" s="41">
        <v>345.06</v>
      </c>
      <c r="S115" s="41" t="s">
        <v>182</v>
      </c>
      <c r="T115" s="41" t="s">
        <v>63</v>
      </c>
      <c r="U115" s="41"/>
      <c r="V115" s="41"/>
      <c r="W115" s="41"/>
      <c r="X115" s="41" t="s">
        <v>64</v>
      </c>
      <c r="Y115" s="42">
        <v>42324</v>
      </c>
      <c r="Z115" s="41"/>
      <c r="AA115" s="41"/>
      <c r="AB115" s="41"/>
      <c r="AC115" s="41" t="s">
        <v>183</v>
      </c>
      <c r="AD115" s="41" t="s">
        <v>1216</v>
      </c>
      <c r="AE115" s="41"/>
      <c r="AF115" s="41"/>
    </row>
    <row r="116" spans="1:32" x14ac:dyDescent="0.2">
      <c r="A116" s="41">
        <v>10019891</v>
      </c>
      <c r="B116" s="41" t="s">
        <v>26</v>
      </c>
      <c r="C116" s="41" t="s">
        <v>78</v>
      </c>
      <c r="D116" s="42">
        <v>42324</v>
      </c>
      <c r="E116" s="41">
        <v>93581337</v>
      </c>
      <c r="F116" s="42">
        <v>42311</v>
      </c>
      <c r="G116" s="41"/>
      <c r="H116" s="41">
        <v>1201047</v>
      </c>
      <c r="I116" s="41" t="s">
        <v>79</v>
      </c>
      <c r="J116" s="41">
        <v>1311671</v>
      </c>
      <c r="K116" s="41" t="s">
        <v>90</v>
      </c>
      <c r="L116" s="41">
        <v>1171089</v>
      </c>
      <c r="M116" s="41" t="s">
        <v>75</v>
      </c>
      <c r="N116" s="41">
        <v>21464992</v>
      </c>
      <c r="O116" s="41" t="s">
        <v>181</v>
      </c>
      <c r="P116" s="41" t="s">
        <v>91</v>
      </c>
      <c r="Q116" s="41" t="s">
        <v>92</v>
      </c>
      <c r="R116" s="41">
        <v>830</v>
      </c>
      <c r="S116" s="41" t="s">
        <v>182</v>
      </c>
      <c r="T116" s="41" t="s">
        <v>63</v>
      </c>
      <c r="U116" s="41" t="s">
        <v>94</v>
      </c>
      <c r="V116" s="41" t="s">
        <v>71</v>
      </c>
      <c r="W116" s="42">
        <v>42324</v>
      </c>
      <c r="X116" s="41" t="s">
        <v>64</v>
      </c>
      <c r="Y116" s="42">
        <v>42324</v>
      </c>
      <c r="Z116" s="41"/>
      <c r="AA116" s="41"/>
      <c r="AB116" s="41"/>
      <c r="AC116" s="41" t="s">
        <v>183</v>
      </c>
      <c r="AD116" s="41" t="s">
        <v>1216</v>
      </c>
      <c r="AE116" s="41" t="s">
        <v>96</v>
      </c>
      <c r="AF116" s="41" t="s">
        <v>1119</v>
      </c>
    </row>
    <row r="117" spans="1:32" x14ac:dyDescent="0.2">
      <c r="A117" s="41">
        <v>10019892</v>
      </c>
      <c r="B117" s="41" t="s">
        <v>26</v>
      </c>
      <c r="C117" s="41" t="s">
        <v>78</v>
      </c>
      <c r="D117" s="42">
        <v>42324</v>
      </c>
      <c r="E117" s="41">
        <v>93581406</v>
      </c>
      <c r="F117" s="42">
        <v>42311</v>
      </c>
      <c r="G117" s="42">
        <v>42313</v>
      </c>
      <c r="H117" s="41">
        <v>1201072</v>
      </c>
      <c r="I117" s="41" t="s">
        <v>115</v>
      </c>
      <c r="J117" s="41">
        <v>1201072</v>
      </c>
      <c r="K117" s="41" t="s">
        <v>115</v>
      </c>
      <c r="L117" s="41">
        <v>1171089</v>
      </c>
      <c r="M117" s="41" t="s">
        <v>75</v>
      </c>
      <c r="N117" s="41">
        <v>322164</v>
      </c>
      <c r="O117" s="41" t="s">
        <v>181</v>
      </c>
      <c r="P117" s="41" t="s">
        <v>61</v>
      </c>
      <c r="Q117" s="41" t="s">
        <v>62</v>
      </c>
      <c r="R117" s="41">
        <v>830</v>
      </c>
      <c r="S117" s="41" t="s">
        <v>182</v>
      </c>
      <c r="T117" s="41" t="s">
        <v>63</v>
      </c>
      <c r="U117" s="41" t="s">
        <v>94</v>
      </c>
      <c r="V117" s="41" t="s">
        <v>71</v>
      </c>
      <c r="W117" s="42">
        <v>42324</v>
      </c>
      <c r="X117" s="41" t="s">
        <v>64</v>
      </c>
      <c r="Y117" s="42">
        <v>42324</v>
      </c>
      <c r="Z117" s="41"/>
      <c r="AA117" s="41"/>
      <c r="AB117" s="41"/>
      <c r="AC117" s="41" t="s">
        <v>183</v>
      </c>
      <c r="AD117" s="41">
        <v>327764649</v>
      </c>
      <c r="AE117" s="41" t="s">
        <v>96</v>
      </c>
      <c r="AF117" s="41" t="s">
        <v>1119</v>
      </c>
    </row>
    <row r="118" spans="1:32" x14ac:dyDescent="0.2">
      <c r="A118" s="41">
        <v>10019893</v>
      </c>
      <c r="B118" s="41" t="s">
        <v>22</v>
      </c>
      <c r="C118" s="41" t="s">
        <v>78</v>
      </c>
      <c r="D118" s="42">
        <v>42324</v>
      </c>
      <c r="E118" s="41">
        <v>93581406</v>
      </c>
      <c r="F118" s="42">
        <v>42311</v>
      </c>
      <c r="G118" s="42">
        <v>42313</v>
      </c>
      <c r="H118" s="41">
        <v>1201072</v>
      </c>
      <c r="I118" s="41" t="s">
        <v>115</v>
      </c>
      <c r="J118" s="41">
        <v>1201072</v>
      </c>
      <c r="K118" s="41" t="s">
        <v>115</v>
      </c>
      <c r="L118" s="41">
        <v>1171089</v>
      </c>
      <c r="M118" s="41" t="s">
        <v>75</v>
      </c>
      <c r="N118" s="41">
        <v>322164</v>
      </c>
      <c r="O118" s="41" t="s">
        <v>181</v>
      </c>
      <c r="P118" s="41" t="s">
        <v>61</v>
      </c>
      <c r="Q118" s="41" t="s">
        <v>62</v>
      </c>
      <c r="R118" s="41">
        <v>830</v>
      </c>
      <c r="S118" s="41" t="s">
        <v>182</v>
      </c>
      <c r="T118" s="41" t="s">
        <v>63</v>
      </c>
      <c r="U118" s="41"/>
      <c r="V118" s="41"/>
      <c r="W118" s="41"/>
      <c r="X118" s="41" t="s">
        <v>64</v>
      </c>
      <c r="Y118" s="42">
        <v>42324</v>
      </c>
      <c r="Z118" s="41"/>
      <c r="AA118" s="41"/>
      <c r="AB118" s="41"/>
      <c r="AC118" s="41" t="s">
        <v>183</v>
      </c>
      <c r="AD118" s="41">
        <v>327764649</v>
      </c>
      <c r="AE118" s="41"/>
      <c r="AF118" s="41"/>
    </row>
    <row r="119" spans="1:32" x14ac:dyDescent="0.2">
      <c r="A119" s="41">
        <v>10019894</v>
      </c>
      <c r="B119" s="41" t="s">
        <v>26</v>
      </c>
      <c r="C119" s="41" t="s">
        <v>78</v>
      </c>
      <c r="D119" s="42">
        <v>42324</v>
      </c>
      <c r="E119" s="41">
        <v>93576260</v>
      </c>
      <c r="F119" s="42">
        <v>42306</v>
      </c>
      <c r="G119" s="42">
        <v>42310</v>
      </c>
      <c r="H119" s="41">
        <v>1201072</v>
      </c>
      <c r="I119" s="41" t="s">
        <v>115</v>
      </c>
      <c r="J119" s="41">
        <v>1201072</v>
      </c>
      <c r="K119" s="41" t="s">
        <v>115</v>
      </c>
      <c r="L119" s="41">
        <v>1171089</v>
      </c>
      <c r="M119" s="41" t="s">
        <v>75</v>
      </c>
      <c r="N119" s="41">
        <v>321935</v>
      </c>
      <c r="O119" s="41" t="s">
        <v>181</v>
      </c>
      <c r="P119" s="41" t="s">
        <v>61</v>
      </c>
      <c r="Q119" s="41" t="s">
        <v>62</v>
      </c>
      <c r="R119" s="41">
        <v>830</v>
      </c>
      <c r="S119" s="41" t="s">
        <v>182</v>
      </c>
      <c r="T119" s="41" t="s">
        <v>63</v>
      </c>
      <c r="U119" s="41" t="s">
        <v>94</v>
      </c>
      <c r="V119" s="41" t="s">
        <v>71</v>
      </c>
      <c r="W119" s="42">
        <v>42325</v>
      </c>
      <c r="X119" s="41" t="s">
        <v>64</v>
      </c>
      <c r="Y119" s="42">
        <v>42324</v>
      </c>
      <c r="Z119" s="41"/>
      <c r="AA119" s="41"/>
      <c r="AB119" s="41"/>
      <c r="AC119" s="41" t="s">
        <v>183</v>
      </c>
      <c r="AD119" s="41">
        <v>327764633</v>
      </c>
      <c r="AE119" s="41" t="s">
        <v>96</v>
      </c>
      <c r="AF119" s="41" t="s">
        <v>1119</v>
      </c>
    </row>
    <row r="120" spans="1:32" x14ac:dyDescent="0.2">
      <c r="A120" s="41">
        <v>10019895</v>
      </c>
      <c r="B120" s="41" t="s">
        <v>22</v>
      </c>
      <c r="C120" s="41" t="s">
        <v>78</v>
      </c>
      <c r="D120" s="42">
        <v>42324</v>
      </c>
      <c r="E120" s="41">
        <v>93576260</v>
      </c>
      <c r="F120" s="42">
        <v>42306</v>
      </c>
      <c r="G120" s="42">
        <v>42310</v>
      </c>
      <c r="H120" s="41">
        <v>1201072</v>
      </c>
      <c r="I120" s="41" t="s">
        <v>115</v>
      </c>
      <c r="J120" s="41">
        <v>1201072</v>
      </c>
      <c r="K120" s="41" t="s">
        <v>115</v>
      </c>
      <c r="L120" s="41">
        <v>1171089</v>
      </c>
      <c r="M120" s="41" t="s">
        <v>75</v>
      </c>
      <c r="N120" s="41">
        <v>321935</v>
      </c>
      <c r="O120" s="41" t="s">
        <v>181</v>
      </c>
      <c r="P120" s="41" t="s">
        <v>61</v>
      </c>
      <c r="Q120" s="41" t="s">
        <v>62</v>
      </c>
      <c r="R120" s="41">
        <v>830</v>
      </c>
      <c r="S120" s="41" t="s">
        <v>182</v>
      </c>
      <c r="T120" s="41" t="s">
        <v>63</v>
      </c>
      <c r="U120" s="41"/>
      <c r="V120" s="41"/>
      <c r="W120" s="41"/>
      <c r="X120" s="41" t="s">
        <v>64</v>
      </c>
      <c r="Y120" s="42">
        <v>42324</v>
      </c>
      <c r="Z120" s="41"/>
      <c r="AA120" s="41"/>
      <c r="AB120" s="41"/>
      <c r="AC120" s="41" t="s">
        <v>183</v>
      </c>
      <c r="AD120" s="41">
        <v>327764633</v>
      </c>
      <c r="AE120" s="41"/>
      <c r="AF120" s="41"/>
    </row>
    <row r="121" spans="1:32" x14ac:dyDescent="0.2">
      <c r="A121" s="41">
        <v>10019896</v>
      </c>
      <c r="B121" s="41" t="s">
        <v>26</v>
      </c>
      <c r="C121" s="41" t="s">
        <v>78</v>
      </c>
      <c r="D121" s="42">
        <v>42324</v>
      </c>
      <c r="E121" s="41">
        <v>93589810</v>
      </c>
      <c r="F121" s="42">
        <v>42318</v>
      </c>
      <c r="G121" s="41"/>
      <c r="H121" s="41">
        <v>1201047</v>
      </c>
      <c r="I121" s="41" t="s">
        <v>79</v>
      </c>
      <c r="J121" s="41">
        <v>1019056</v>
      </c>
      <c r="K121" s="41" t="s">
        <v>80</v>
      </c>
      <c r="L121" s="41">
        <v>1171089</v>
      </c>
      <c r="M121" s="41" t="s">
        <v>75</v>
      </c>
      <c r="N121" s="41">
        <v>41399333</v>
      </c>
      <c r="O121" s="41" t="s">
        <v>181</v>
      </c>
      <c r="P121" s="41" t="s">
        <v>86</v>
      </c>
      <c r="Q121" s="41" t="s">
        <v>87</v>
      </c>
      <c r="R121" s="41">
        <v>1014.24</v>
      </c>
      <c r="S121" s="41" t="s">
        <v>182</v>
      </c>
      <c r="T121" s="41" t="s">
        <v>63</v>
      </c>
      <c r="U121" s="41" t="s">
        <v>94</v>
      </c>
      <c r="V121" s="41" t="s">
        <v>95</v>
      </c>
      <c r="W121" s="42">
        <v>42331</v>
      </c>
      <c r="X121" s="41" t="s">
        <v>64</v>
      </c>
      <c r="Y121" s="42">
        <v>42324</v>
      </c>
      <c r="Z121" s="41"/>
      <c r="AA121" s="41"/>
      <c r="AB121" s="41"/>
      <c r="AC121" s="41" t="s">
        <v>183</v>
      </c>
      <c r="AD121" s="41" t="s">
        <v>1217</v>
      </c>
      <c r="AE121" s="41" t="s">
        <v>96</v>
      </c>
      <c r="AF121" s="41" t="s">
        <v>1218</v>
      </c>
    </row>
    <row r="122" spans="1:32" x14ac:dyDescent="0.2">
      <c r="A122" s="41">
        <v>10019897</v>
      </c>
      <c r="B122" s="41" t="s">
        <v>25</v>
      </c>
      <c r="C122" s="41" t="s">
        <v>78</v>
      </c>
      <c r="D122" s="42">
        <v>42324</v>
      </c>
      <c r="E122" s="41">
        <v>93586387</v>
      </c>
      <c r="F122" s="42">
        <v>42314</v>
      </c>
      <c r="G122" s="41"/>
      <c r="H122" s="41">
        <v>1318826</v>
      </c>
      <c r="I122" s="41" t="s">
        <v>110</v>
      </c>
      <c r="J122" s="41">
        <v>1131869</v>
      </c>
      <c r="K122" s="41" t="s">
        <v>366</v>
      </c>
      <c r="L122" s="41">
        <v>1318826</v>
      </c>
      <c r="M122" s="41" t="s">
        <v>110</v>
      </c>
      <c r="N122" s="41">
        <v>3016813</v>
      </c>
      <c r="O122" s="41" t="s">
        <v>181</v>
      </c>
      <c r="P122" s="41" t="s">
        <v>86</v>
      </c>
      <c r="Q122" s="41" t="s">
        <v>87</v>
      </c>
      <c r="R122" s="41">
        <v>147384</v>
      </c>
      <c r="S122" s="41" t="s">
        <v>182</v>
      </c>
      <c r="T122" s="41" t="s">
        <v>63</v>
      </c>
      <c r="U122" s="41"/>
      <c r="V122" s="41"/>
      <c r="W122" s="41"/>
      <c r="X122" s="41" t="s">
        <v>64</v>
      </c>
      <c r="Y122" s="42">
        <v>42324</v>
      </c>
      <c r="Z122" s="41"/>
      <c r="AA122" s="41"/>
      <c r="AB122" s="41"/>
      <c r="AC122" s="41" t="s">
        <v>183</v>
      </c>
      <c r="AD122" s="41" t="s">
        <v>1219</v>
      </c>
      <c r="AE122" s="41"/>
      <c r="AF122" s="41"/>
    </row>
    <row r="123" spans="1:32" x14ac:dyDescent="0.2">
      <c r="A123" s="41">
        <v>10019898</v>
      </c>
      <c r="B123" s="41" t="s">
        <v>25</v>
      </c>
      <c r="C123" s="41" t="s">
        <v>78</v>
      </c>
      <c r="D123" s="42">
        <v>42324</v>
      </c>
      <c r="E123" s="41">
        <v>93590220</v>
      </c>
      <c r="F123" s="42">
        <v>42318</v>
      </c>
      <c r="G123" s="41"/>
      <c r="H123" s="41">
        <v>1318826</v>
      </c>
      <c r="I123" s="41" t="s">
        <v>110</v>
      </c>
      <c r="J123" s="41">
        <v>1337269</v>
      </c>
      <c r="K123" s="41" t="s">
        <v>1220</v>
      </c>
      <c r="L123" s="41">
        <v>1318826</v>
      </c>
      <c r="M123" s="41" t="s">
        <v>110</v>
      </c>
      <c r="N123" s="41">
        <v>3017649</v>
      </c>
      <c r="O123" s="41" t="s">
        <v>181</v>
      </c>
      <c r="P123" s="41" t="s">
        <v>86</v>
      </c>
      <c r="Q123" s="41" t="s">
        <v>87</v>
      </c>
      <c r="R123" s="41">
        <v>85.44</v>
      </c>
      <c r="S123" s="41" t="s">
        <v>182</v>
      </c>
      <c r="T123" s="41" t="s">
        <v>63</v>
      </c>
      <c r="U123" s="41"/>
      <c r="V123" s="41"/>
      <c r="W123" s="41"/>
      <c r="X123" s="41" t="s">
        <v>64</v>
      </c>
      <c r="Y123" s="42">
        <v>42324</v>
      </c>
      <c r="Z123" s="41"/>
      <c r="AA123" s="41"/>
      <c r="AB123" s="41"/>
      <c r="AC123" s="41" t="s">
        <v>183</v>
      </c>
      <c r="AD123" s="41" t="s">
        <v>1221</v>
      </c>
      <c r="AE123" s="41"/>
      <c r="AF123" s="41"/>
    </row>
    <row r="124" spans="1:32" x14ac:dyDescent="0.2">
      <c r="A124" s="41">
        <v>10019899</v>
      </c>
      <c r="B124" s="41" t="s">
        <v>18</v>
      </c>
      <c r="C124" s="41" t="s">
        <v>78</v>
      </c>
      <c r="D124" s="42">
        <v>42324</v>
      </c>
      <c r="E124" s="41">
        <v>93588406</v>
      </c>
      <c r="F124" s="42">
        <v>42317</v>
      </c>
      <c r="G124" s="41"/>
      <c r="H124" s="41">
        <v>1201674</v>
      </c>
      <c r="I124" s="41" t="s">
        <v>371</v>
      </c>
      <c r="J124" s="41">
        <v>1201674</v>
      </c>
      <c r="K124" s="41" t="s">
        <v>371</v>
      </c>
      <c r="L124" s="41">
        <v>1201674</v>
      </c>
      <c r="M124" s="41" t="s">
        <v>371</v>
      </c>
      <c r="N124" s="41">
        <v>476754</v>
      </c>
      <c r="O124" s="41" t="s">
        <v>181</v>
      </c>
      <c r="P124" s="41" t="s">
        <v>97</v>
      </c>
      <c r="Q124" s="41" t="s">
        <v>98</v>
      </c>
      <c r="R124" s="41">
        <v>199.2</v>
      </c>
      <c r="S124" s="41" t="s">
        <v>182</v>
      </c>
      <c r="T124" s="41" t="s">
        <v>63</v>
      </c>
      <c r="U124" s="41" t="s">
        <v>70</v>
      </c>
      <c r="V124" s="41" t="s">
        <v>76</v>
      </c>
      <c r="W124" s="42">
        <v>42328</v>
      </c>
      <c r="X124" s="41" t="s">
        <v>64</v>
      </c>
      <c r="Y124" s="42">
        <v>42324</v>
      </c>
      <c r="Z124" s="41"/>
      <c r="AA124" s="41"/>
      <c r="AB124" s="41"/>
      <c r="AC124" s="41" t="s">
        <v>183</v>
      </c>
      <c r="AD124" s="41">
        <v>87944972691431</v>
      </c>
      <c r="AE124" s="41" t="s">
        <v>77</v>
      </c>
      <c r="AF124" s="41" t="s">
        <v>386</v>
      </c>
    </row>
    <row r="125" spans="1:32" x14ac:dyDescent="0.2">
      <c r="A125" s="41">
        <v>10019902</v>
      </c>
      <c r="B125" s="41" t="s">
        <v>18</v>
      </c>
      <c r="C125" s="41" t="s">
        <v>78</v>
      </c>
      <c r="D125" s="42">
        <v>42325</v>
      </c>
      <c r="E125" s="41">
        <v>93568608</v>
      </c>
      <c r="F125" s="42">
        <v>42300</v>
      </c>
      <c r="G125" s="41"/>
      <c r="H125" s="41">
        <v>1201057</v>
      </c>
      <c r="I125" s="41" t="s">
        <v>643</v>
      </c>
      <c r="J125" s="41">
        <v>1335345</v>
      </c>
      <c r="K125" s="41" t="s">
        <v>1066</v>
      </c>
      <c r="L125" s="41">
        <v>1201057</v>
      </c>
      <c r="M125" s="41" t="s">
        <v>643</v>
      </c>
      <c r="N125" s="41">
        <v>177281</v>
      </c>
      <c r="O125" s="41" t="s">
        <v>181</v>
      </c>
      <c r="P125" s="41" t="s">
        <v>97</v>
      </c>
      <c r="Q125" s="41" t="s">
        <v>98</v>
      </c>
      <c r="R125" s="41">
        <v>115.78</v>
      </c>
      <c r="S125" s="41" t="s">
        <v>182</v>
      </c>
      <c r="T125" s="41" t="s">
        <v>63</v>
      </c>
      <c r="U125" s="41" t="s">
        <v>105</v>
      </c>
      <c r="V125" s="41" t="s">
        <v>76</v>
      </c>
      <c r="W125" s="42">
        <v>42328</v>
      </c>
      <c r="X125" s="41" t="s">
        <v>83</v>
      </c>
      <c r="Y125" s="42">
        <v>42326</v>
      </c>
      <c r="Z125" s="41"/>
      <c r="AA125" s="41"/>
      <c r="AB125" s="41"/>
      <c r="AC125" s="41" t="s">
        <v>183</v>
      </c>
      <c r="AD125" s="41">
        <v>87944972640095</v>
      </c>
      <c r="AE125" s="41" t="s">
        <v>106</v>
      </c>
      <c r="AF125" s="41" t="s">
        <v>1222</v>
      </c>
    </row>
    <row r="126" spans="1:32" x14ac:dyDescent="0.2">
      <c r="A126" s="41">
        <v>10019903</v>
      </c>
      <c r="B126" s="41" t="s">
        <v>26</v>
      </c>
      <c r="C126" s="41" t="s">
        <v>573</v>
      </c>
      <c r="D126" s="42">
        <v>42325</v>
      </c>
      <c r="E126" s="41">
        <v>93581309</v>
      </c>
      <c r="F126" s="42">
        <v>42311</v>
      </c>
      <c r="G126" s="41"/>
      <c r="H126" s="41">
        <v>1201047</v>
      </c>
      <c r="I126" s="41" t="s">
        <v>79</v>
      </c>
      <c r="J126" s="41">
        <v>1003718</v>
      </c>
      <c r="K126" s="41" t="s">
        <v>80</v>
      </c>
      <c r="L126" s="41">
        <v>1171089</v>
      </c>
      <c r="M126" s="41" t="s">
        <v>75</v>
      </c>
      <c r="N126" s="41">
        <v>17398150</v>
      </c>
      <c r="O126" s="41" t="s">
        <v>181</v>
      </c>
      <c r="P126" s="41" t="s">
        <v>91</v>
      </c>
      <c r="Q126" s="41" t="s">
        <v>92</v>
      </c>
      <c r="R126" s="41">
        <v>830</v>
      </c>
      <c r="S126" s="41" t="s">
        <v>182</v>
      </c>
      <c r="T126" s="41" t="s">
        <v>63</v>
      </c>
      <c r="U126" s="41" t="s">
        <v>94</v>
      </c>
      <c r="V126" s="41" t="s">
        <v>71</v>
      </c>
      <c r="W126" s="42">
        <v>42327</v>
      </c>
      <c r="X126" s="41" t="s">
        <v>64</v>
      </c>
      <c r="Y126" s="42">
        <v>42325</v>
      </c>
      <c r="Z126" s="41"/>
      <c r="AA126" s="41"/>
      <c r="AB126" s="41"/>
      <c r="AC126" s="41" t="s">
        <v>183</v>
      </c>
      <c r="AD126" s="41" t="s">
        <v>1223</v>
      </c>
      <c r="AE126" s="41" t="s">
        <v>96</v>
      </c>
      <c r="AF126" s="41" t="s">
        <v>1119</v>
      </c>
    </row>
    <row r="127" spans="1:32" x14ac:dyDescent="0.2">
      <c r="A127" s="41">
        <v>10019906</v>
      </c>
      <c r="B127" s="41" t="s">
        <v>26</v>
      </c>
      <c r="C127" s="41" t="s">
        <v>78</v>
      </c>
      <c r="D127" s="42">
        <v>42325</v>
      </c>
      <c r="E127" s="41">
        <v>93591273</v>
      </c>
      <c r="F127" s="42">
        <v>42319</v>
      </c>
      <c r="G127" s="41"/>
      <c r="H127" s="41">
        <v>1201047</v>
      </c>
      <c r="I127" s="41" t="s">
        <v>79</v>
      </c>
      <c r="J127" s="41">
        <v>1321618</v>
      </c>
      <c r="K127" s="41" t="s">
        <v>85</v>
      </c>
      <c r="L127" s="41">
        <v>1171089</v>
      </c>
      <c r="M127" s="41" t="s">
        <v>75</v>
      </c>
      <c r="N127" s="41">
        <v>55526999</v>
      </c>
      <c r="O127" s="41" t="s">
        <v>181</v>
      </c>
      <c r="P127" s="41" t="s">
        <v>91</v>
      </c>
      <c r="Q127" s="41" t="s">
        <v>92</v>
      </c>
      <c r="R127" s="41">
        <v>27</v>
      </c>
      <c r="S127" s="41" t="s">
        <v>182</v>
      </c>
      <c r="T127" s="41" t="s">
        <v>63</v>
      </c>
      <c r="U127" s="41" t="s">
        <v>105</v>
      </c>
      <c r="V127" s="41" t="s">
        <v>82</v>
      </c>
      <c r="W127" s="42">
        <v>42332</v>
      </c>
      <c r="X127" s="41" t="s">
        <v>64</v>
      </c>
      <c r="Y127" s="42">
        <v>42325</v>
      </c>
      <c r="Z127" s="41"/>
      <c r="AA127" s="41"/>
      <c r="AB127" s="41"/>
      <c r="AC127" s="41" t="s">
        <v>183</v>
      </c>
      <c r="AD127" s="41" t="s">
        <v>1224</v>
      </c>
      <c r="AE127" s="41" t="s">
        <v>89</v>
      </c>
      <c r="AF127" s="41" t="s">
        <v>1225</v>
      </c>
    </row>
    <row r="128" spans="1:32" x14ac:dyDescent="0.2">
      <c r="A128" s="41">
        <v>10019907</v>
      </c>
      <c r="B128" s="41" t="s">
        <v>18</v>
      </c>
      <c r="C128" s="41" t="s">
        <v>78</v>
      </c>
      <c r="D128" s="42">
        <v>42325</v>
      </c>
      <c r="E128" s="41">
        <v>93596838</v>
      </c>
      <c r="F128" s="42">
        <v>42324</v>
      </c>
      <c r="G128" s="41"/>
      <c r="H128" s="41">
        <v>1201120</v>
      </c>
      <c r="I128" s="41" t="s">
        <v>117</v>
      </c>
      <c r="J128" s="41">
        <v>1307782</v>
      </c>
      <c r="K128" s="41" t="s">
        <v>119</v>
      </c>
      <c r="L128" s="41">
        <v>1171090</v>
      </c>
      <c r="M128" s="41" t="s">
        <v>118</v>
      </c>
      <c r="N128" s="41" t="s">
        <v>1226</v>
      </c>
      <c r="O128" s="41" t="s">
        <v>181</v>
      </c>
      <c r="P128" s="41" t="s">
        <v>123</v>
      </c>
      <c r="Q128" s="41" t="s">
        <v>124</v>
      </c>
      <c r="R128" s="41">
        <v>1166</v>
      </c>
      <c r="S128" s="41" t="s">
        <v>182</v>
      </c>
      <c r="T128" s="41" t="s">
        <v>63</v>
      </c>
      <c r="U128" s="41" t="s">
        <v>70</v>
      </c>
      <c r="V128" s="41" t="s">
        <v>76</v>
      </c>
      <c r="W128" s="42">
        <v>42328</v>
      </c>
      <c r="X128" s="41" t="s">
        <v>64</v>
      </c>
      <c r="Y128" s="42">
        <v>42325</v>
      </c>
      <c r="Z128" s="41"/>
      <c r="AA128" s="41"/>
      <c r="AB128" s="41"/>
      <c r="AC128" s="41" t="s">
        <v>183</v>
      </c>
      <c r="AD128" s="41" t="s">
        <v>1227</v>
      </c>
      <c r="AE128" s="41" t="s">
        <v>77</v>
      </c>
      <c r="AF128" s="41" t="s">
        <v>216</v>
      </c>
    </row>
    <row r="129" spans="1:32" x14ac:dyDescent="0.2">
      <c r="A129" s="41">
        <v>10019908</v>
      </c>
      <c r="B129" s="41" t="s">
        <v>26</v>
      </c>
      <c r="C129" s="41" t="s">
        <v>78</v>
      </c>
      <c r="D129" s="42">
        <v>42325</v>
      </c>
      <c r="E129" s="41">
        <v>93583788</v>
      </c>
      <c r="F129" s="42">
        <v>42313</v>
      </c>
      <c r="G129" s="42">
        <v>42314</v>
      </c>
      <c r="H129" s="41">
        <v>1201047</v>
      </c>
      <c r="I129" s="41" t="s">
        <v>79</v>
      </c>
      <c r="J129" s="41">
        <v>1051671</v>
      </c>
      <c r="K129" s="41" t="s">
        <v>80</v>
      </c>
      <c r="L129" s="41">
        <v>1171089</v>
      </c>
      <c r="M129" s="41" t="s">
        <v>75</v>
      </c>
      <c r="N129" s="41">
        <v>49764078</v>
      </c>
      <c r="O129" s="41" t="s">
        <v>181</v>
      </c>
      <c r="P129" s="41" t="s">
        <v>91</v>
      </c>
      <c r="Q129" s="41" t="s">
        <v>92</v>
      </c>
      <c r="R129" s="41">
        <v>18568.8</v>
      </c>
      <c r="S129" s="41" t="s">
        <v>182</v>
      </c>
      <c r="T129" s="41" t="s">
        <v>63</v>
      </c>
      <c r="U129" s="41" t="s">
        <v>94</v>
      </c>
      <c r="V129" s="41" t="s">
        <v>95</v>
      </c>
      <c r="W129" s="42">
        <v>42325</v>
      </c>
      <c r="X129" s="41" t="s">
        <v>83</v>
      </c>
      <c r="Y129" s="42">
        <v>42326</v>
      </c>
      <c r="Z129" s="41"/>
      <c r="AA129" s="41"/>
      <c r="AB129" s="41"/>
      <c r="AC129" s="41" t="s">
        <v>183</v>
      </c>
      <c r="AD129" s="41" t="s">
        <v>1228</v>
      </c>
      <c r="AE129" s="41" t="s">
        <v>96</v>
      </c>
      <c r="AF129" s="41" t="s">
        <v>1229</v>
      </c>
    </row>
    <row r="130" spans="1:32" x14ac:dyDescent="0.2">
      <c r="A130" s="41">
        <v>10019909</v>
      </c>
      <c r="B130" s="41" t="s">
        <v>18</v>
      </c>
      <c r="C130" s="41" t="s">
        <v>78</v>
      </c>
      <c r="D130" s="42">
        <v>42325</v>
      </c>
      <c r="E130" s="41">
        <v>93596830</v>
      </c>
      <c r="F130" s="42">
        <v>42324</v>
      </c>
      <c r="G130" s="41"/>
      <c r="H130" s="41">
        <v>1201120</v>
      </c>
      <c r="I130" s="41" t="s">
        <v>117</v>
      </c>
      <c r="J130" s="41">
        <v>1307782</v>
      </c>
      <c r="K130" s="41" t="s">
        <v>119</v>
      </c>
      <c r="L130" s="41">
        <v>1171090</v>
      </c>
      <c r="M130" s="41" t="s">
        <v>118</v>
      </c>
      <c r="N130" s="41" t="s">
        <v>1226</v>
      </c>
      <c r="O130" s="41" t="s">
        <v>181</v>
      </c>
      <c r="P130" s="41" t="s">
        <v>121</v>
      </c>
      <c r="Q130" s="41" t="s">
        <v>122</v>
      </c>
      <c r="R130" s="41">
        <v>367.92</v>
      </c>
      <c r="S130" s="41" t="s">
        <v>182</v>
      </c>
      <c r="T130" s="41" t="s">
        <v>63</v>
      </c>
      <c r="U130" s="41" t="s">
        <v>70</v>
      </c>
      <c r="V130" s="41" t="s">
        <v>76</v>
      </c>
      <c r="W130" s="42">
        <v>42328</v>
      </c>
      <c r="X130" s="41" t="s">
        <v>64</v>
      </c>
      <c r="Y130" s="42">
        <v>42325</v>
      </c>
      <c r="Z130" s="41"/>
      <c r="AA130" s="41"/>
      <c r="AB130" s="41"/>
      <c r="AC130" s="41" t="s">
        <v>183</v>
      </c>
      <c r="AD130" s="41" t="s">
        <v>1230</v>
      </c>
      <c r="AE130" s="41" t="s">
        <v>77</v>
      </c>
      <c r="AF130" s="41" t="s">
        <v>127</v>
      </c>
    </row>
    <row r="131" spans="1:32" x14ac:dyDescent="0.2">
      <c r="A131" s="41">
        <v>10019910</v>
      </c>
      <c r="B131" s="41" t="s">
        <v>18</v>
      </c>
      <c r="C131" s="41" t="s">
        <v>78</v>
      </c>
      <c r="D131" s="42">
        <v>42325</v>
      </c>
      <c r="E131" s="41">
        <v>93593250</v>
      </c>
      <c r="F131" s="42">
        <v>42320</v>
      </c>
      <c r="G131" s="42">
        <v>42324</v>
      </c>
      <c r="H131" s="41">
        <v>1201047</v>
      </c>
      <c r="I131" s="41" t="s">
        <v>79</v>
      </c>
      <c r="J131" s="41">
        <v>1309880</v>
      </c>
      <c r="K131" s="41" t="s">
        <v>108</v>
      </c>
      <c r="L131" s="41">
        <v>1171089</v>
      </c>
      <c r="M131" s="41" t="s">
        <v>75</v>
      </c>
      <c r="N131" s="41">
        <v>18755603</v>
      </c>
      <c r="O131" s="41" t="s">
        <v>181</v>
      </c>
      <c r="P131" s="41" t="s">
        <v>67</v>
      </c>
      <c r="Q131" s="41" t="s">
        <v>68</v>
      </c>
      <c r="R131" s="41">
        <v>114.24</v>
      </c>
      <c r="S131" s="41" t="s">
        <v>182</v>
      </c>
      <c r="T131" s="41" t="s">
        <v>63</v>
      </c>
      <c r="U131" s="41" t="s">
        <v>70</v>
      </c>
      <c r="V131" s="41" t="s">
        <v>76</v>
      </c>
      <c r="W131" s="42">
        <v>42328</v>
      </c>
      <c r="X131" s="41" t="s">
        <v>64</v>
      </c>
      <c r="Y131" s="42">
        <v>42325</v>
      </c>
      <c r="Z131" s="41"/>
      <c r="AA131" s="41"/>
      <c r="AB131" s="41"/>
      <c r="AC131" s="41" t="s">
        <v>183</v>
      </c>
      <c r="AD131" s="41">
        <v>3527008203</v>
      </c>
      <c r="AE131" s="41" t="s">
        <v>77</v>
      </c>
      <c r="AF131" s="41" t="s">
        <v>1231</v>
      </c>
    </row>
    <row r="132" spans="1:32" x14ac:dyDescent="0.2">
      <c r="A132" s="41">
        <v>10019911</v>
      </c>
      <c r="B132" s="41" t="s">
        <v>18</v>
      </c>
      <c r="C132" s="41" t="s">
        <v>78</v>
      </c>
      <c r="D132" s="42">
        <v>42325</v>
      </c>
      <c r="E132" s="41">
        <v>93596832</v>
      </c>
      <c r="F132" s="42">
        <v>42324</v>
      </c>
      <c r="G132" s="41"/>
      <c r="H132" s="41">
        <v>1201120</v>
      </c>
      <c r="I132" s="41" t="s">
        <v>117</v>
      </c>
      <c r="J132" s="41">
        <v>1307782</v>
      </c>
      <c r="K132" s="41" t="s">
        <v>119</v>
      </c>
      <c r="L132" s="41">
        <v>1171090</v>
      </c>
      <c r="M132" s="41" t="s">
        <v>118</v>
      </c>
      <c r="N132" s="41" t="s">
        <v>1232</v>
      </c>
      <c r="O132" s="41" t="s">
        <v>181</v>
      </c>
      <c r="P132" s="41" t="s">
        <v>121</v>
      </c>
      <c r="Q132" s="41" t="s">
        <v>122</v>
      </c>
      <c r="R132" s="41">
        <v>89.04</v>
      </c>
      <c r="S132" s="41" t="s">
        <v>182</v>
      </c>
      <c r="T132" s="41" t="s">
        <v>63</v>
      </c>
      <c r="U132" s="41" t="s">
        <v>70</v>
      </c>
      <c r="V132" s="41" t="s">
        <v>76</v>
      </c>
      <c r="W132" s="42">
        <v>42328</v>
      </c>
      <c r="X132" s="41" t="s">
        <v>64</v>
      </c>
      <c r="Y132" s="42">
        <v>42325</v>
      </c>
      <c r="Z132" s="41"/>
      <c r="AA132" s="41"/>
      <c r="AB132" s="41"/>
      <c r="AC132" s="41" t="s">
        <v>183</v>
      </c>
      <c r="AD132" s="41" t="s">
        <v>1230</v>
      </c>
      <c r="AE132" s="41" t="s">
        <v>77</v>
      </c>
      <c r="AF132" s="41" t="s">
        <v>191</v>
      </c>
    </row>
    <row r="133" spans="1:32" x14ac:dyDescent="0.2">
      <c r="A133" s="41">
        <v>10019912</v>
      </c>
      <c r="B133" s="41" t="s">
        <v>18</v>
      </c>
      <c r="C133" s="41" t="s">
        <v>573</v>
      </c>
      <c r="D133" s="42">
        <v>42325</v>
      </c>
      <c r="E133" s="41">
        <v>93596825</v>
      </c>
      <c r="F133" s="42">
        <v>42324</v>
      </c>
      <c r="G133" s="41"/>
      <c r="H133" s="41">
        <v>1201120</v>
      </c>
      <c r="I133" s="41" t="s">
        <v>117</v>
      </c>
      <c r="J133" s="41">
        <v>1307782</v>
      </c>
      <c r="K133" s="41" t="s">
        <v>119</v>
      </c>
      <c r="L133" s="41">
        <v>1171090</v>
      </c>
      <c r="M133" s="41" t="s">
        <v>118</v>
      </c>
      <c r="N133" s="41" t="s">
        <v>1233</v>
      </c>
      <c r="O133" s="41" t="s">
        <v>181</v>
      </c>
      <c r="P133" s="41" t="s">
        <v>123</v>
      </c>
      <c r="Q133" s="41" t="s">
        <v>124</v>
      </c>
      <c r="R133" s="41">
        <v>1118.55</v>
      </c>
      <c r="S133" s="41" t="s">
        <v>182</v>
      </c>
      <c r="T133" s="41" t="s">
        <v>63</v>
      </c>
      <c r="U133" s="41" t="s">
        <v>70</v>
      </c>
      <c r="V133" s="41" t="s">
        <v>76</v>
      </c>
      <c r="W133" s="42">
        <v>42328</v>
      </c>
      <c r="X133" s="41" t="s">
        <v>64</v>
      </c>
      <c r="Y133" s="42">
        <v>42325</v>
      </c>
      <c r="Z133" s="41"/>
      <c r="AA133" s="41"/>
      <c r="AB133" s="41"/>
      <c r="AC133" s="41" t="s">
        <v>183</v>
      </c>
      <c r="AD133" s="41" t="s">
        <v>1227</v>
      </c>
      <c r="AE133" s="41" t="s">
        <v>77</v>
      </c>
      <c r="AF133" s="41" t="s">
        <v>127</v>
      </c>
    </row>
    <row r="134" spans="1:32" x14ac:dyDescent="0.2">
      <c r="A134" s="41">
        <v>10019913</v>
      </c>
      <c r="B134" s="41" t="s">
        <v>18</v>
      </c>
      <c r="C134" s="41" t="s">
        <v>78</v>
      </c>
      <c r="D134" s="42">
        <v>42325</v>
      </c>
      <c r="E134" s="41">
        <v>93532939</v>
      </c>
      <c r="F134" s="42">
        <v>42270</v>
      </c>
      <c r="G134" s="42">
        <v>42272</v>
      </c>
      <c r="H134" s="41">
        <v>1039473</v>
      </c>
      <c r="I134" s="41" t="s">
        <v>626</v>
      </c>
      <c r="J134" s="41">
        <v>1321047</v>
      </c>
      <c r="K134" s="41" t="s">
        <v>1234</v>
      </c>
      <c r="L134" s="41">
        <v>1039473</v>
      </c>
      <c r="M134" s="41" t="s">
        <v>626</v>
      </c>
      <c r="N134" s="41" t="s">
        <v>1235</v>
      </c>
      <c r="O134" s="41" t="s">
        <v>181</v>
      </c>
      <c r="P134" s="41" t="s">
        <v>67</v>
      </c>
      <c r="Q134" s="41" t="s">
        <v>68</v>
      </c>
      <c r="R134" s="41">
        <v>3229.2</v>
      </c>
      <c r="S134" s="41" t="s">
        <v>182</v>
      </c>
      <c r="T134" s="41" t="s">
        <v>63</v>
      </c>
      <c r="U134" s="41"/>
      <c r="V134" s="41"/>
      <c r="W134" s="41"/>
      <c r="X134" s="41" t="s">
        <v>64</v>
      </c>
      <c r="Y134" s="42">
        <v>42325</v>
      </c>
      <c r="Z134" s="41"/>
      <c r="AA134" s="41"/>
      <c r="AB134" s="41"/>
      <c r="AC134" s="41" t="s">
        <v>183</v>
      </c>
      <c r="AD134" s="41">
        <v>3527006022</v>
      </c>
      <c r="AE134" s="41"/>
      <c r="AF134" s="41"/>
    </row>
    <row r="135" spans="1:32" x14ac:dyDescent="0.2">
      <c r="A135" s="41">
        <v>10019914</v>
      </c>
      <c r="B135" s="41" t="s">
        <v>26</v>
      </c>
      <c r="C135" s="41" t="s">
        <v>78</v>
      </c>
      <c r="D135" s="42">
        <v>42326</v>
      </c>
      <c r="E135" s="41">
        <v>93552622</v>
      </c>
      <c r="F135" s="42">
        <v>42286</v>
      </c>
      <c r="G135" s="41"/>
      <c r="H135" s="41">
        <v>1201275</v>
      </c>
      <c r="I135" s="41" t="s">
        <v>1112</v>
      </c>
      <c r="J135" s="41">
        <v>1017935</v>
      </c>
      <c r="K135" s="41" t="s">
        <v>1113</v>
      </c>
      <c r="L135" s="41">
        <v>1171097</v>
      </c>
      <c r="M135" s="41" t="s">
        <v>1114</v>
      </c>
      <c r="N135" s="41">
        <v>4493687</v>
      </c>
      <c r="O135" s="41" t="s">
        <v>181</v>
      </c>
      <c r="P135" s="41" t="s">
        <v>97</v>
      </c>
      <c r="Q135" s="41" t="s">
        <v>98</v>
      </c>
      <c r="R135" s="41">
        <v>555.6</v>
      </c>
      <c r="S135" s="41" t="s">
        <v>182</v>
      </c>
      <c r="T135" s="41" t="s">
        <v>63</v>
      </c>
      <c r="U135" s="41"/>
      <c r="V135" s="41"/>
      <c r="W135" s="41"/>
      <c r="X135" s="41" t="s">
        <v>64</v>
      </c>
      <c r="Y135" s="42">
        <v>42326</v>
      </c>
      <c r="Z135" s="41"/>
      <c r="AA135" s="41"/>
      <c r="AB135" s="41"/>
      <c r="AC135" s="41" t="s">
        <v>183</v>
      </c>
      <c r="AD135" s="41">
        <v>87944972594268</v>
      </c>
      <c r="AE135" s="41"/>
      <c r="AF135" s="41"/>
    </row>
    <row r="136" spans="1:32" x14ac:dyDescent="0.2">
      <c r="A136" s="41">
        <v>10019915</v>
      </c>
      <c r="B136" s="41" t="s">
        <v>26</v>
      </c>
      <c r="C136" s="41" t="s">
        <v>78</v>
      </c>
      <c r="D136" s="42">
        <v>42326</v>
      </c>
      <c r="E136" s="41">
        <v>93584111</v>
      </c>
      <c r="F136" s="42">
        <v>42313</v>
      </c>
      <c r="G136" s="41"/>
      <c r="H136" s="41">
        <v>1201566</v>
      </c>
      <c r="I136" s="41" t="s">
        <v>154</v>
      </c>
      <c r="J136" s="41">
        <v>1201566</v>
      </c>
      <c r="K136" s="41" t="s">
        <v>154</v>
      </c>
      <c r="L136" s="41">
        <v>1201566</v>
      </c>
      <c r="M136" s="41" t="s">
        <v>154</v>
      </c>
      <c r="N136" s="41">
        <v>2935471</v>
      </c>
      <c r="O136" s="41" t="s">
        <v>181</v>
      </c>
      <c r="P136" s="41" t="s">
        <v>102</v>
      </c>
      <c r="Q136" s="41" t="s">
        <v>103</v>
      </c>
      <c r="R136" s="41">
        <v>198.12</v>
      </c>
      <c r="S136" s="41" t="s">
        <v>182</v>
      </c>
      <c r="T136" s="41" t="s">
        <v>63</v>
      </c>
      <c r="U136" s="41" t="s">
        <v>81</v>
      </c>
      <c r="V136" s="41" t="s">
        <v>88</v>
      </c>
      <c r="W136" s="42">
        <v>42331</v>
      </c>
      <c r="X136" s="41" t="s">
        <v>64</v>
      </c>
      <c r="Y136" s="42">
        <v>42326</v>
      </c>
      <c r="Z136" s="41"/>
      <c r="AA136" s="41"/>
      <c r="AB136" s="41"/>
      <c r="AC136" s="41" t="s">
        <v>183</v>
      </c>
      <c r="AD136" s="41">
        <v>649275105418</v>
      </c>
      <c r="AE136" s="41" t="s">
        <v>89</v>
      </c>
      <c r="AF136" s="41" t="s">
        <v>1236</v>
      </c>
    </row>
    <row r="137" spans="1:32" x14ac:dyDescent="0.2">
      <c r="A137" s="41">
        <v>10019916</v>
      </c>
      <c r="B137" s="41" t="s">
        <v>26</v>
      </c>
      <c r="C137" s="41" t="s">
        <v>573</v>
      </c>
      <c r="D137" s="42">
        <v>42326</v>
      </c>
      <c r="E137" s="41">
        <v>93584111</v>
      </c>
      <c r="F137" s="42">
        <v>42313</v>
      </c>
      <c r="G137" s="41"/>
      <c r="H137" s="41">
        <v>1201566</v>
      </c>
      <c r="I137" s="41" t="s">
        <v>154</v>
      </c>
      <c r="J137" s="41">
        <v>1201566</v>
      </c>
      <c r="K137" s="41" t="s">
        <v>154</v>
      </c>
      <c r="L137" s="41">
        <v>1201566</v>
      </c>
      <c r="M137" s="41" t="s">
        <v>154</v>
      </c>
      <c r="N137" s="41">
        <v>2935471</v>
      </c>
      <c r="O137" s="41" t="s">
        <v>181</v>
      </c>
      <c r="P137" s="41" t="s">
        <v>102</v>
      </c>
      <c r="Q137" s="41" t="s">
        <v>103</v>
      </c>
      <c r="R137" s="41">
        <v>198.12</v>
      </c>
      <c r="S137" s="41" t="s">
        <v>182</v>
      </c>
      <c r="T137" s="41" t="s">
        <v>63</v>
      </c>
      <c r="U137" s="41" t="s">
        <v>84</v>
      </c>
      <c r="V137" s="41" t="s">
        <v>82</v>
      </c>
      <c r="W137" s="42">
        <v>42331</v>
      </c>
      <c r="X137" s="41" t="s">
        <v>64</v>
      </c>
      <c r="Y137" s="42">
        <v>42326</v>
      </c>
      <c r="Z137" s="41"/>
      <c r="AA137" s="41"/>
      <c r="AB137" s="41"/>
      <c r="AC137" s="41" t="s">
        <v>183</v>
      </c>
      <c r="AD137" s="41">
        <v>649275105418</v>
      </c>
      <c r="AE137" s="41" t="s">
        <v>84</v>
      </c>
      <c r="AF137" s="41" t="s">
        <v>1237</v>
      </c>
    </row>
    <row r="138" spans="1:32" x14ac:dyDescent="0.2">
      <c r="A138" s="41">
        <v>10019917</v>
      </c>
      <c r="B138" s="41" t="s">
        <v>26</v>
      </c>
      <c r="C138" s="41" t="s">
        <v>78</v>
      </c>
      <c r="D138" s="42">
        <v>42326</v>
      </c>
      <c r="E138" s="41">
        <v>93581356</v>
      </c>
      <c r="F138" s="42">
        <v>42311</v>
      </c>
      <c r="G138" s="41"/>
      <c r="H138" s="41">
        <v>1201047</v>
      </c>
      <c r="I138" s="41" t="s">
        <v>79</v>
      </c>
      <c r="J138" s="41">
        <v>1317086</v>
      </c>
      <c r="K138" s="41" t="s">
        <v>85</v>
      </c>
      <c r="L138" s="41">
        <v>1171089</v>
      </c>
      <c r="M138" s="41" t="s">
        <v>75</v>
      </c>
      <c r="N138" s="41">
        <v>23613533</v>
      </c>
      <c r="O138" s="41" t="s">
        <v>181</v>
      </c>
      <c r="P138" s="41" t="s">
        <v>91</v>
      </c>
      <c r="Q138" s="41" t="s">
        <v>92</v>
      </c>
      <c r="R138" s="41">
        <v>1660</v>
      </c>
      <c r="S138" s="41" t="s">
        <v>182</v>
      </c>
      <c r="T138" s="41" t="s">
        <v>63</v>
      </c>
      <c r="U138" s="41" t="s">
        <v>94</v>
      </c>
      <c r="V138" s="41" t="s">
        <v>71</v>
      </c>
      <c r="W138" s="42">
        <v>42327</v>
      </c>
      <c r="X138" s="41" t="s">
        <v>64</v>
      </c>
      <c r="Y138" s="42">
        <v>42326</v>
      </c>
      <c r="Z138" s="41"/>
      <c r="AA138" s="41"/>
      <c r="AB138" s="41"/>
      <c r="AC138" s="41" t="s">
        <v>183</v>
      </c>
      <c r="AD138" s="41" t="s">
        <v>1238</v>
      </c>
      <c r="AE138" s="41" t="s">
        <v>96</v>
      </c>
      <c r="AF138" s="41" t="s">
        <v>1119</v>
      </c>
    </row>
    <row r="139" spans="1:32" x14ac:dyDescent="0.2">
      <c r="A139" s="41">
        <v>10019918</v>
      </c>
      <c r="B139" s="41" t="s">
        <v>18</v>
      </c>
      <c r="C139" s="41" t="s">
        <v>78</v>
      </c>
      <c r="D139" s="42">
        <v>42326</v>
      </c>
      <c r="E139" s="41">
        <v>93582559</v>
      </c>
      <c r="F139" s="42">
        <v>42312</v>
      </c>
      <c r="G139" s="42">
        <v>42314</v>
      </c>
      <c r="H139" s="41">
        <v>1030236</v>
      </c>
      <c r="I139" s="41" t="s">
        <v>1239</v>
      </c>
      <c r="J139" s="41">
        <v>1023721</v>
      </c>
      <c r="K139" s="41" t="s">
        <v>1239</v>
      </c>
      <c r="L139" s="41">
        <v>1030236</v>
      </c>
      <c r="M139" s="41" t="s">
        <v>1239</v>
      </c>
      <c r="N139" s="41">
        <v>325397</v>
      </c>
      <c r="O139" s="41" t="s">
        <v>181</v>
      </c>
      <c r="P139" s="41" t="s">
        <v>67</v>
      </c>
      <c r="Q139" s="41" t="s">
        <v>68</v>
      </c>
      <c r="R139" s="41">
        <v>3809.76</v>
      </c>
      <c r="S139" s="41" t="s">
        <v>182</v>
      </c>
      <c r="T139" s="41" t="s">
        <v>63</v>
      </c>
      <c r="U139" s="41" t="s">
        <v>70</v>
      </c>
      <c r="V139" s="41" t="s">
        <v>76</v>
      </c>
      <c r="W139" s="42">
        <v>42331</v>
      </c>
      <c r="X139" s="41" t="s">
        <v>64</v>
      </c>
      <c r="Y139" s="42">
        <v>42326</v>
      </c>
      <c r="Z139" s="41"/>
      <c r="AA139" s="41"/>
      <c r="AB139" s="41"/>
      <c r="AC139" s="41" t="s">
        <v>183</v>
      </c>
      <c r="AD139" s="41">
        <v>3527003760</v>
      </c>
      <c r="AE139" s="41" t="s">
        <v>77</v>
      </c>
      <c r="AF139" s="41" t="s">
        <v>882</v>
      </c>
    </row>
    <row r="140" spans="1:32" x14ac:dyDescent="0.2">
      <c r="A140" s="41">
        <v>10019919</v>
      </c>
      <c r="B140" s="41" t="s">
        <v>18</v>
      </c>
      <c r="C140" s="41" t="s">
        <v>78</v>
      </c>
      <c r="D140" s="42">
        <v>42326</v>
      </c>
      <c r="E140" s="41">
        <v>93495272</v>
      </c>
      <c r="F140" s="42">
        <v>42241</v>
      </c>
      <c r="G140" s="42">
        <v>42243</v>
      </c>
      <c r="H140" s="41">
        <v>1201605</v>
      </c>
      <c r="I140" s="41" t="s">
        <v>155</v>
      </c>
      <c r="J140" s="41">
        <v>1023292</v>
      </c>
      <c r="K140" s="41" t="s">
        <v>155</v>
      </c>
      <c r="L140" s="41">
        <v>1172017</v>
      </c>
      <c r="M140" s="41" t="s">
        <v>155</v>
      </c>
      <c r="N140" s="41">
        <v>529824</v>
      </c>
      <c r="O140" s="41" t="s">
        <v>181</v>
      </c>
      <c r="P140" s="41" t="s">
        <v>67</v>
      </c>
      <c r="Q140" s="41" t="s">
        <v>68</v>
      </c>
      <c r="R140" s="41">
        <v>352</v>
      </c>
      <c r="S140" s="41" t="s">
        <v>182</v>
      </c>
      <c r="T140" s="41" t="s">
        <v>63</v>
      </c>
      <c r="U140" s="41" t="s">
        <v>70</v>
      </c>
      <c r="V140" s="41" t="s">
        <v>76</v>
      </c>
      <c r="W140" s="42">
        <v>42331</v>
      </c>
      <c r="X140" s="41" t="s">
        <v>64</v>
      </c>
      <c r="Y140" s="42">
        <v>42326</v>
      </c>
      <c r="Z140" s="41"/>
      <c r="AA140" s="41"/>
      <c r="AB140" s="41"/>
      <c r="AC140" s="41" t="s">
        <v>183</v>
      </c>
      <c r="AD140" s="41">
        <v>2795191383</v>
      </c>
      <c r="AE140" s="41" t="s">
        <v>77</v>
      </c>
      <c r="AF140" s="41" t="s">
        <v>216</v>
      </c>
    </row>
    <row r="141" spans="1:32" x14ac:dyDescent="0.2">
      <c r="A141" s="41">
        <v>10019921</v>
      </c>
      <c r="B141" s="41" t="s">
        <v>18</v>
      </c>
      <c r="C141" s="41" t="s">
        <v>573</v>
      </c>
      <c r="D141" s="42">
        <v>42326</v>
      </c>
      <c r="E141" s="41">
        <v>93593554</v>
      </c>
      <c r="F141" s="42">
        <v>42320</v>
      </c>
      <c r="G141" s="42">
        <v>42324</v>
      </c>
      <c r="H141" s="41">
        <v>1201605</v>
      </c>
      <c r="I141" s="41" t="s">
        <v>155</v>
      </c>
      <c r="J141" s="41">
        <v>1323069</v>
      </c>
      <c r="K141" s="41" t="s">
        <v>155</v>
      </c>
      <c r="L141" s="41">
        <v>1172017</v>
      </c>
      <c r="M141" s="41" t="s">
        <v>155</v>
      </c>
      <c r="N141" s="41">
        <v>545376</v>
      </c>
      <c r="O141" s="41" t="s">
        <v>181</v>
      </c>
      <c r="P141" s="41" t="s">
        <v>67</v>
      </c>
      <c r="Q141" s="41" t="s">
        <v>68</v>
      </c>
      <c r="R141" s="41">
        <v>32.979999999999997</v>
      </c>
      <c r="S141" s="41" t="s">
        <v>182</v>
      </c>
      <c r="T141" s="41" t="s">
        <v>63</v>
      </c>
      <c r="U141" s="41" t="s">
        <v>70</v>
      </c>
      <c r="V141" s="41" t="s">
        <v>76</v>
      </c>
      <c r="W141" s="42">
        <v>42331</v>
      </c>
      <c r="X141" s="41" t="s">
        <v>64</v>
      </c>
      <c r="Y141" s="42">
        <v>42326</v>
      </c>
      <c r="Z141" s="41"/>
      <c r="AA141" s="41"/>
      <c r="AB141" s="41"/>
      <c r="AC141" s="41" t="s">
        <v>183</v>
      </c>
      <c r="AD141" s="41">
        <v>3527008240</v>
      </c>
      <c r="AE141" s="41" t="s">
        <v>77</v>
      </c>
      <c r="AF141" s="41" t="s">
        <v>323</v>
      </c>
    </row>
    <row r="142" spans="1:32" x14ac:dyDescent="0.2">
      <c r="A142" s="41">
        <v>10019922</v>
      </c>
      <c r="B142" s="41" t="s">
        <v>24</v>
      </c>
      <c r="C142" s="41" t="s">
        <v>573</v>
      </c>
      <c r="D142" s="42">
        <v>42326</v>
      </c>
      <c r="E142" s="41">
        <v>93593554</v>
      </c>
      <c r="F142" s="42">
        <v>42320</v>
      </c>
      <c r="G142" s="42">
        <v>42324</v>
      </c>
      <c r="H142" s="41">
        <v>1201605</v>
      </c>
      <c r="I142" s="41" t="s">
        <v>155</v>
      </c>
      <c r="J142" s="41">
        <v>1323069</v>
      </c>
      <c r="K142" s="41" t="s">
        <v>155</v>
      </c>
      <c r="L142" s="41">
        <v>1172017</v>
      </c>
      <c r="M142" s="41" t="s">
        <v>155</v>
      </c>
      <c r="N142" s="41">
        <v>545376</v>
      </c>
      <c r="O142" s="41" t="s">
        <v>181</v>
      </c>
      <c r="P142" s="41" t="s">
        <v>67</v>
      </c>
      <c r="Q142" s="41" t="s">
        <v>68</v>
      </c>
      <c r="R142" s="41">
        <v>288</v>
      </c>
      <c r="S142" s="41" t="s">
        <v>182</v>
      </c>
      <c r="T142" s="41" t="s">
        <v>63</v>
      </c>
      <c r="U142" s="41" t="s">
        <v>70</v>
      </c>
      <c r="V142" s="41" t="s">
        <v>71</v>
      </c>
      <c r="W142" s="42">
        <v>42338</v>
      </c>
      <c r="X142" s="41" t="s">
        <v>64</v>
      </c>
      <c r="Y142" s="42">
        <v>42326</v>
      </c>
      <c r="Z142" s="41"/>
      <c r="AA142" s="41"/>
      <c r="AB142" s="41"/>
      <c r="AC142" s="41" t="s">
        <v>183</v>
      </c>
      <c r="AD142" s="41">
        <v>3527008240</v>
      </c>
      <c r="AE142" s="41" t="s">
        <v>73</v>
      </c>
      <c r="AF142" s="41" t="s">
        <v>302</v>
      </c>
    </row>
    <row r="143" spans="1:32" x14ac:dyDescent="0.2">
      <c r="A143" s="41">
        <v>10019923</v>
      </c>
      <c r="B143" s="41" t="s">
        <v>18</v>
      </c>
      <c r="C143" s="41" t="s">
        <v>78</v>
      </c>
      <c r="D143" s="42">
        <v>42326</v>
      </c>
      <c r="E143" s="41">
        <v>93475097</v>
      </c>
      <c r="F143" s="42">
        <v>42226</v>
      </c>
      <c r="G143" s="42">
        <v>42229</v>
      </c>
      <c r="H143" s="41">
        <v>1201494</v>
      </c>
      <c r="I143" s="41" t="s">
        <v>161</v>
      </c>
      <c r="J143" s="41">
        <v>1060523</v>
      </c>
      <c r="K143" s="41" t="s">
        <v>427</v>
      </c>
      <c r="L143" s="41">
        <v>1172005</v>
      </c>
      <c r="M143" s="41" t="s">
        <v>161</v>
      </c>
      <c r="N143" s="41">
        <v>29751</v>
      </c>
      <c r="O143" s="41" t="s">
        <v>181</v>
      </c>
      <c r="P143" s="41" t="s">
        <v>67</v>
      </c>
      <c r="Q143" s="41" t="s">
        <v>68</v>
      </c>
      <c r="R143" s="41">
        <v>1755.03</v>
      </c>
      <c r="S143" s="41" t="s">
        <v>182</v>
      </c>
      <c r="T143" s="41" t="s">
        <v>63</v>
      </c>
      <c r="U143" s="41" t="s">
        <v>70</v>
      </c>
      <c r="V143" s="41" t="s">
        <v>76</v>
      </c>
      <c r="W143" s="42">
        <v>42332</v>
      </c>
      <c r="X143" s="41" t="s">
        <v>64</v>
      </c>
      <c r="Y143" s="42">
        <v>42326</v>
      </c>
      <c r="Z143" s="41"/>
      <c r="AA143" s="41"/>
      <c r="AB143" s="41"/>
      <c r="AC143" s="41" t="s">
        <v>183</v>
      </c>
      <c r="AD143" s="41">
        <v>3511785572</v>
      </c>
      <c r="AE143" s="41" t="s">
        <v>77</v>
      </c>
      <c r="AF143" s="41" t="s">
        <v>1240</v>
      </c>
    </row>
    <row r="144" spans="1:32" x14ac:dyDescent="0.2">
      <c r="A144" s="41">
        <v>10019924</v>
      </c>
      <c r="B144" s="41" t="s">
        <v>18</v>
      </c>
      <c r="C144" s="41" t="s">
        <v>573</v>
      </c>
      <c r="D144" s="42">
        <v>42327</v>
      </c>
      <c r="E144" s="41">
        <v>93572603</v>
      </c>
      <c r="F144" s="42">
        <v>42304</v>
      </c>
      <c r="G144" s="42">
        <v>42305</v>
      </c>
      <c r="H144" s="41">
        <v>1201766</v>
      </c>
      <c r="I144" s="41" t="s">
        <v>143</v>
      </c>
      <c r="J144" s="41">
        <v>1157939</v>
      </c>
      <c r="K144" s="41" t="s">
        <v>143</v>
      </c>
      <c r="L144" s="41">
        <v>1201766</v>
      </c>
      <c r="M144" s="41" t="s">
        <v>143</v>
      </c>
      <c r="N144" s="41">
        <v>61967</v>
      </c>
      <c r="O144" s="41" t="s">
        <v>181</v>
      </c>
      <c r="P144" s="41" t="s">
        <v>67</v>
      </c>
      <c r="Q144" s="41" t="s">
        <v>68</v>
      </c>
      <c r="R144" s="41">
        <v>156.56</v>
      </c>
      <c r="S144" s="41" t="s">
        <v>182</v>
      </c>
      <c r="T144" s="41" t="s">
        <v>63</v>
      </c>
      <c r="U144" s="41" t="s">
        <v>70</v>
      </c>
      <c r="V144" s="41" t="s">
        <v>76</v>
      </c>
      <c r="W144" s="42">
        <v>42332</v>
      </c>
      <c r="X144" s="41" t="s">
        <v>64</v>
      </c>
      <c r="Y144" s="42">
        <v>42327</v>
      </c>
      <c r="Z144" s="41"/>
      <c r="AA144" s="41"/>
      <c r="AB144" s="41"/>
      <c r="AC144" s="41" t="s">
        <v>183</v>
      </c>
      <c r="AD144" s="41">
        <v>3527002614</v>
      </c>
      <c r="AE144" s="41" t="s">
        <v>77</v>
      </c>
      <c r="AF144" s="41" t="s">
        <v>211</v>
      </c>
    </row>
    <row r="145" spans="1:32" x14ac:dyDescent="0.2">
      <c r="A145" s="41">
        <v>10019925</v>
      </c>
      <c r="B145" s="41"/>
      <c r="C145" s="41" t="s">
        <v>573</v>
      </c>
      <c r="D145" s="42">
        <v>42327</v>
      </c>
      <c r="E145" s="41">
        <v>93596697</v>
      </c>
      <c r="F145" s="42">
        <v>42324</v>
      </c>
      <c r="G145" s="41"/>
      <c r="H145" s="41">
        <v>1201047</v>
      </c>
      <c r="I145" s="41" t="s">
        <v>79</v>
      </c>
      <c r="J145" s="41">
        <v>1338648</v>
      </c>
      <c r="K145" s="41" t="s">
        <v>93</v>
      </c>
      <c r="L145" s="41">
        <v>1171089</v>
      </c>
      <c r="M145" s="41" t="s">
        <v>75</v>
      </c>
      <c r="N145" s="41">
        <v>63144793</v>
      </c>
      <c r="O145" s="41" t="s">
        <v>181</v>
      </c>
      <c r="P145" s="41" t="s">
        <v>91</v>
      </c>
      <c r="Q145" s="41" t="s">
        <v>92</v>
      </c>
      <c r="R145" s="41">
        <v>5839.92</v>
      </c>
      <c r="S145" s="41" t="s">
        <v>182</v>
      </c>
      <c r="T145" s="41" t="s">
        <v>120</v>
      </c>
      <c r="U145" s="41"/>
      <c r="V145" s="41"/>
      <c r="W145" s="41"/>
      <c r="X145" s="41"/>
      <c r="Y145" s="41"/>
      <c r="Z145" s="41"/>
      <c r="AA145" s="41"/>
      <c r="AB145" s="41"/>
      <c r="AC145" s="41" t="s">
        <v>183</v>
      </c>
      <c r="AD145" s="41" t="s">
        <v>1241</v>
      </c>
      <c r="AE145" s="41"/>
      <c r="AF145" s="41"/>
    </row>
    <row r="146" spans="1:32" x14ac:dyDescent="0.2">
      <c r="A146" s="41">
        <v>10019926</v>
      </c>
      <c r="B146" s="41" t="s">
        <v>18</v>
      </c>
      <c r="C146" s="41" t="s">
        <v>573</v>
      </c>
      <c r="D146" s="42">
        <v>42327</v>
      </c>
      <c r="E146" s="41">
        <v>93584095</v>
      </c>
      <c r="F146" s="42">
        <v>42313</v>
      </c>
      <c r="G146" s="42">
        <v>42314</v>
      </c>
      <c r="H146" s="41">
        <v>1201483</v>
      </c>
      <c r="I146" s="41" t="s">
        <v>147</v>
      </c>
      <c r="J146" s="41">
        <v>1001169</v>
      </c>
      <c r="K146" s="41" t="s">
        <v>148</v>
      </c>
      <c r="L146" s="41">
        <v>1201483</v>
      </c>
      <c r="M146" s="41" t="s">
        <v>147</v>
      </c>
      <c r="N146" s="41">
        <v>94851</v>
      </c>
      <c r="O146" s="41" t="s">
        <v>181</v>
      </c>
      <c r="P146" s="41" t="s">
        <v>67</v>
      </c>
      <c r="Q146" s="41" t="s">
        <v>68</v>
      </c>
      <c r="R146" s="41">
        <v>11.58</v>
      </c>
      <c r="S146" s="41" t="s">
        <v>182</v>
      </c>
      <c r="T146" s="41" t="s">
        <v>63</v>
      </c>
      <c r="U146" s="41" t="s">
        <v>70</v>
      </c>
      <c r="V146" s="41" t="s">
        <v>76</v>
      </c>
      <c r="W146" s="42">
        <v>42332</v>
      </c>
      <c r="X146" s="41" t="s">
        <v>64</v>
      </c>
      <c r="Y146" s="42">
        <v>42327</v>
      </c>
      <c r="Z146" s="41"/>
      <c r="AA146" s="41"/>
      <c r="AB146" s="41"/>
      <c r="AC146" s="41" t="s">
        <v>183</v>
      </c>
      <c r="AD146" s="41">
        <v>3527003852</v>
      </c>
      <c r="AE146" s="41" t="s">
        <v>77</v>
      </c>
      <c r="AF146" s="41" t="s">
        <v>323</v>
      </c>
    </row>
    <row r="147" spans="1:32" x14ac:dyDescent="0.2">
      <c r="A147" s="41">
        <v>10019927</v>
      </c>
      <c r="B147" s="41" t="s">
        <v>26</v>
      </c>
      <c r="C147" s="41" t="s">
        <v>78</v>
      </c>
      <c r="D147" s="42">
        <v>42327</v>
      </c>
      <c r="E147" s="41">
        <v>93581356</v>
      </c>
      <c r="F147" s="42">
        <v>42311</v>
      </c>
      <c r="G147" s="41"/>
      <c r="H147" s="41">
        <v>1201047</v>
      </c>
      <c r="I147" s="41" t="s">
        <v>79</v>
      </c>
      <c r="J147" s="41">
        <v>1317086</v>
      </c>
      <c r="K147" s="41" t="s">
        <v>85</v>
      </c>
      <c r="L147" s="41">
        <v>1171089</v>
      </c>
      <c r="M147" s="41" t="s">
        <v>75</v>
      </c>
      <c r="N147" s="41">
        <v>23613533</v>
      </c>
      <c r="O147" s="41" t="s">
        <v>181</v>
      </c>
      <c r="P147" s="41" t="s">
        <v>91</v>
      </c>
      <c r="Q147" s="41" t="s">
        <v>92</v>
      </c>
      <c r="R147" s="41">
        <v>6825.12</v>
      </c>
      <c r="S147" s="41" t="s">
        <v>182</v>
      </c>
      <c r="T147" s="41" t="s">
        <v>63</v>
      </c>
      <c r="U147" s="41"/>
      <c r="V147" s="41"/>
      <c r="W147" s="41"/>
      <c r="X147" s="41" t="s">
        <v>64</v>
      </c>
      <c r="Y147" s="42">
        <v>42327</v>
      </c>
      <c r="Z147" s="41"/>
      <c r="AA147" s="41"/>
      <c r="AB147" s="41"/>
      <c r="AC147" s="41" t="s">
        <v>183</v>
      </c>
      <c r="AD147" s="41" t="s">
        <v>1238</v>
      </c>
      <c r="AE147" s="41"/>
      <c r="AF147" s="41"/>
    </row>
    <row r="148" spans="1:32" x14ac:dyDescent="0.2">
      <c r="A148" s="41">
        <v>10019928</v>
      </c>
      <c r="B148" s="41" t="s">
        <v>18</v>
      </c>
      <c r="C148" s="41" t="s">
        <v>78</v>
      </c>
      <c r="D148" s="42">
        <v>42327</v>
      </c>
      <c r="E148" s="41">
        <v>93596699</v>
      </c>
      <c r="F148" s="42">
        <v>42324</v>
      </c>
      <c r="G148" s="41"/>
      <c r="H148" s="41">
        <v>1201047</v>
      </c>
      <c r="I148" s="41" t="s">
        <v>79</v>
      </c>
      <c r="J148" s="41">
        <v>1058305</v>
      </c>
      <c r="K148" s="41" t="s">
        <v>99</v>
      </c>
      <c r="L148" s="41">
        <v>1171089</v>
      </c>
      <c r="M148" s="41" t="s">
        <v>75</v>
      </c>
      <c r="N148" s="41">
        <v>52936831</v>
      </c>
      <c r="O148" s="41" t="s">
        <v>181</v>
      </c>
      <c r="P148" s="41" t="s">
        <v>91</v>
      </c>
      <c r="Q148" s="41" t="s">
        <v>92</v>
      </c>
      <c r="R148" s="41">
        <v>54</v>
      </c>
      <c r="S148" s="41" t="s">
        <v>182</v>
      </c>
      <c r="T148" s="41" t="s">
        <v>63</v>
      </c>
      <c r="U148" s="41" t="s">
        <v>70</v>
      </c>
      <c r="V148" s="41" t="s">
        <v>76</v>
      </c>
      <c r="W148" s="42">
        <v>42332</v>
      </c>
      <c r="X148" s="41" t="s">
        <v>64</v>
      </c>
      <c r="Y148" s="42">
        <v>42327</v>
      </c>
      <c r="Z148" s="41"/>
      <c r="AA148" s="41"/>
      <c r="AB148" s="41"/>
      <c r="AC148" s="41" t="s">
        <v>183</v>
      </c>
      <c r="AD148" s="41" t="s">
        <v>1242</v>
      </c>
      <c r="AE148" s="41" t="s">
        <v>77</v>
      </c>
      <c r="AF148" s="41" t="s">
        <v>386</v>
      </c>
    </row>
    <row r="149" spans="1:32" x14ac:dyDescent="0.2">
      <c r="A149" s="41">
        <v>10019929</v>
      </c>
      <c r="B149" s="41" t="s">
        <v>26</v>
      </c>
      <c r="C149" s="41" t="s">
        <v>78</v>
      </c>
      <c r="D149" s="42">
        <v>42327</v>
      </c>
      <c r="E149" s="41">
        <v>93568550</v>
      </c>
      <c r="F149" s="42">
        <v>42300</v>
      </c>
      <c r="G149" s="41"/>
      <c r="H149" s="41">
        <v>1201047</v>
      </c>
      <c r="I149" s="41" t="s">
        <v>79</v>
      </c>
      <c r="J149" s="41">
        <v>1003696</v>
      </c>
      <c r="K149" s="41" t="s">
        <v>80</v>
      </c>
      <c r="L149" s="41">
        <v>1171089</v>
      </c>
      <c r="M149" s="41" t="s">
        <v>75</v>
      </c>
      <c r="N149" s="41">
        <v>24509498</v>
      </c>
      <c r="O149" s="41" t="s">
        <v>181</v>
      </c>
      <c r="P149" s="41" t="s">
        <v>168</v>
      </c>
      <c r="Q149" s="41" t="s">
        <v>169</v>
      </c>
      <c r="R149" s="41">
        <v>234.9</v>
      </c>
      <c r="S149" s="41" t="s">
        <v>182</v>
      </c>
      <c r="T149" s="41" t="s">
        <v>63</v>
      </c>
      <c r="U149" s="41"/>
      <c r="V149" s="41"/>
      <c r="W149" s="41"/>
      <c r="X149" s="41" t="s">
        <v>64</v>
      </c>
      <c r="Y149" s="42">
        <v>42327</v>
      </c>
      <c r="Z149" s="41"/>
      <c r="AA149" s="41"/>
      <c r="AB149" s="41"/>
      <c r="AC149" s="41" t="s">
        <v>183</v>
      </c>
      <c r="AD149" s="41" t="s">
        <v>1100</v>
      </c>
      <c r="AE149" s="41"/>
      <c r="AF149" s="41"/>
    </row>
    <row r="150" spans="1:32" x14ac:dyDescent="0.2">
      <c r="A150" s="41">
        <v>10019930</v>
      </c>
      <c r="B150" s="41" t="s">
        <v>18</v>
      </c>
      <c r="C150" s="41" t="s">
        <v>573</v>
      </c>
      <c r="D150" s="42">
        <v>42327</v>
      </c>
      <c r="E150" s="41">
        <v>93598298</v>
      </c>
      <c r="F150" s="42">
        <v>42325</v>
      </c>
      <c r="G150" s="41"/>
      <c r="H150" s="41">
        <v>1201047</v>
      </c>
      <c r="I150" s="41" t="s">
        <v>79</v>
      </c>
      <c r="J150" s="41">
        <v>1340974</v>
      </c>
      <c r="K150" s="41" t="s">
        <v>93</v>
      </c>
      <c r="L150" s="41">
        <v>1171089</v>
      </c>
      <c r="M150" s="41" t="s">
        <v>75</v>
      </c>
      <c r="N150" s="41">
        <v>87102698</v>
      </c>
      <c r="O150" s="41" t="s">
        <v>181</v>
      </c>
      <c r="P150" s="41" t="s">
        <v>102</v>
      </c>
      <c r="Q150" s="41" t="s">
        <v>103</v>
      </c>
      <c r="R150" s="41">
        <v>56.25</v>
      </c>
      <c r="S150" s="41" t="s">
        <v>182</v>
      </c>
      <c r="T150" s="41" t="s">
        <v>63</v>
      </c>
      <c r="U150" s="41" t="s">
        <v>70</v>
      </c>
      <c r="V150" s="41" t="s">
        <v>76</v>
      </c>
      <c r="W150" s="42">
        <v>42332</v>
      </c>
      <c r="X150" s="41" t="s">
        <v>64</v>
      </c>
      <c r="Y150" s="42">
        <v>42327</v>
      </c>
      <c r="Z150" s="41"/>
      <c r="AA150" s="41"/>
      <c r="AB150" s="41"/>
      <c r="AC150" s="41" t="s">
        <v>183</v>
      </c>
      <c r="AD150" s="41">
        <v>649275124424</v>
      </c>
      <c r="AE150" s="41" t="s">
        <v>77</v>
      </c>
      <c r="AF150" s="41" t="s">
        <v>323</v>
      </c>
    </row>
    <row r="151" spans="1:32" x14ac:dyDescent="0.2">
      <c r="A151" s="41">
        <v>10019931</v>
      </c>
      <c r="B151" s="41" t="s">
        <v>22</v>
      </c>
      <c r="C151" s="41" t="s">
        <v>78</v>
      </c>
      <c r="D151" s="42">
        <v>42327</v>
      </c>
      <c r="E151" s="41">
        <v>93574092</v>
      </c>
      <c r="F151" s="42">
        <v>42305</v>
      </c>
      <c r="G151" s="41"/>
      <c r="H151" s="41">
        <v>1201047</v>
      </c>
      <c r="I151" s="41" t="s">
        <v>79</v>
      </c>
      <c r="J151" s="41">
        <v>1340974</v>
      </c>
      <c r="K151" s="41" t="s">
        <v>93</v>
      </c>
      <c r="L151" s="41">
        <v>1171089</v>
      </c>
      <c r="M151" s="41" t="s">
        <v>75</v>
      </c>
      <c r="N151" s="41">
        <v>87102609</v>
      </c>
      <c r="O151" s="41" t="s">
        <v>181</v>
      </c>
      <c r="P151" s="41" t="s">
        <v>279</v>
      </c>
      <c r="Q151" s="41" t="s">
        <v>280</v>
      </c>
      <c r="R151" s="41">
        <v>14479.2</v>
      </c>
      <c r="S151" s="41" t="s">
        <v>182</v>
      </c>
      <c r="T151" s="41" t="s">
        <v>63</v>
      </c>
      <c r="U151" s="41" t="s">
        <v>94</v>
      </c>
      <c r="V151" s="41" t="s">
        <v>141</v>
      </c>
      <c r="W151" s="42">
        <v>42327</v>
      </c>
      <c r="X151" s="41" t="s">
        <v>64</v>
      </c>
      <c r="Y151" s="42">
        <v>42327</v>
      </c>
      <c r="Z151" s="41"/>
      <c r="AA151" s="41"/>
      <c r="AB151" s="41"/>
      <c r="AC151" s="41" t="s">
        <v>183</v>
      </c>
      <c r="AD151" s="41" t="s">
        <v>1094</v>
      </c>
      <c r="AE151" s="41" t="s">
        <v>142</v>
      </c>
      <c r="AF151" s="41" t="s">
        <v>1243</v>
      </c>
    </row>
    <row r="152" spans="1:32" x14ac:dyDescent="0.2">
      <c r="A152" s="41">
        <v>10019932</v>
      </c>
      <c r="B152" s="41" t="s">
        <v>26</v>
      </c>
      <c r="C152" s="41" t="s">
        <v>78</v>
      </c>
      <c r="D152" s="42">
        <v>42327</v>
      </c>
      <c r="E152" s="41">
        <v>93598531</v>
      </c>
      <c r="F152" s="42">
        <v>42325</v>
      </c>
      <c r="G152" s="42">
        <v>42326</v>
      </c>
      <c r="H152" s="41">
        <v>1201432</v>
      </c>
      <c r="I152" s="41" t="s">
        <v>660</v>
      </c>
      <c r="J152" s="41">
        <v>1306711</v>
      </c>
      <c r="K152" s="41" t="s">
        <v>660</v>
      </c>
      <c r="L152" s="41">
        <v>1172008</v>
      </c>
      <c r="M152" s="41" t="s">
        <v>660</v>
      </c>
      <c r="N152" s="41">
        <v>343509</v>
      </c>
      <c r="O152" s="41" t="s">
        <v>181</v>
      </c>
      <c r="P152" s="41" t="s">
        <v>91</v>
      </c>
      <c r="Q152" s="41" t="s">
        <v>92</v>
      </c>
      <c r="R152" s="41">
        <v>7730.64</v>
      </c>
      <c r="S152" s="41" t="s">
        <v>182</v>
      </c>
      <c r="T152" s="41" t="s">
        <v>63</v>
      </c>
      <c r="U152" s="41" t="s">
        <v>94</v>
      </c>
      <c r="V152" s="41" t="s">
        <v>95</v>
      </c>
      <c r="W152" s="42">
        <v>42332</v>
      </c>
      <c r="X152" s="41" t="s">
        <v>64</v>
      </c>
      <c r="Y152" s="42">
        <v>42327</v>
      </c>
      <c r="Z152" s="41"/>
      <c r="AA152" s="41"/>
      <c r="AB152" s="41"/>
      <c r="AC152" s="41" t="s">
        <v>183</v>
      </c>
      <c r="AD152" s="41" t="s">
        <v>1244</v>
      </c>
      <c r="AE152" s="41" t="s">
        <v>96</v>
      </c>
      <c r="AF152" s="41" t="s">
        <v>1245</v>
      </c>
    </row>
    <row r="153" spans="1:32" x14ac:dyDescent="0.2">
      <c r="A153" s="41">
        <v>10019933</v>
      </c>
      <c r="B153" s="41" t="s">
        <v>22</v>
      </c>
      <c r="C153" s="41" t="s">
        <v>78</v>
      </c>
      <c r="D153" s="42">
        <v>42327</v>
      </c>
      <c r="E153" s="41">
        <v>93598531</v>
      </c>
      <c r="F153" s="42">
        <v>42325</v>
      </c>
      <c r="G153" s="42">
        <v>42326</v>
      </c>
      <c r="H153" s="41">
        <v>1201432</v>
      </c>
      <c r="I153" s="41" t="s">
        <v>660</v>
      </c>
      <c r="J153" s="41">
        <v>1306711</v>
      </c>
      <c r="K153" s="41" t="s">
        <v>660</v>
      </c>
      <c r="L153" s="41">
        <v>1172008</v>
      </c>
      <c r="M153" s="41" t="s">
        <v>660</v>
      </c>
      <c r="N153" s="41">
        <v>343509</v>
      </c>
      <c r="O153" s="41" t="s">
        <v>181</v>
      </c>
      <c r="P153" s="41" t="s">
        <v>91</v>
      </c>
      <c r="Q153" s="41" t="s">
        <v>92</v>
      </c>
      <c r="R153" s="41">
        <v>6533.52</v>
      </c>
      <c r="S153" s="41" t="s">
        <v>182</v>
      </c>
      <c r="T153" s="41" t="s">
        <v>63</v>
      </c>
      <c r="U153" s="41" t="s">
        <v>94</v>
      </c>
      <c r="V153" s="41" t="s">
        <v>141</v>
      </c>
      <c r="W153" s="42">
        <v>42327</v>
      </c>
      <c r="X153" s="41" t="s">
        <v>64</v>
      </c>
      <c r="Y153" s="42">
        <v>42327</v>
      </c>
      <c r="Z153" s="41"/>
      <c r="AA153" s="41"/>
      <c r="AB153" s="41"/>
      <c r="AC153" s="41" t="s">
        <v>183</v>
      </c>
      <c r="AD153" s="41" t="s">
        <v>1244</v>
      </c>
      <c r="AE153" s="41" t="s">
        <v>142</v>
      </c>
      <c r="AF153" s="41" t="s">
        <v>1246</v>
      </c>
    </row>
    <row r="154" spans="1:32" x14ac:dyDescent="0.2">
      <c r="A154" s="41">
        <v>10019934</v>
      </c>
      <c r="B154" s="41" t="s">
        <v>18</v>
      </c>
      <c r="C154" s="41" t="s">
        <v>78</v>
      </c>
      <c r="D154" s="42">
        <v>42327</v>
      </c>
      <c r="E154" s="41">
        <v>93577389</v>
      </c>
      <c r="F154" s="42">
        <v>42307</v>
      </c>
      <c r="G154" s="41"/>
      <c r="H154" s="41">
        <v>1201120</v>
      </c>
      <c r="I154" s="41" t="s">
        <v>117</v>
      </c>
      <c r="J154" s="41">
        <v>1307782</v>
      </c>
      <c r="K154" s="41" t="s">
        <v>119</v>
      </c>
      <c r="L154" s="41">
        <v>1171090</v>
      </c>
      <c r="M154" s="41" t="s">
        <v>118</v>
      </c>
      <c r="N154" s="41" t="s">
        <v>1127</v>
      </c>
      <c r="O154" s="41" t="s">
        <v>181</v>
      </c>
      <c r="P154" s="41" t="s">
        <v>123</v>
      </c>
      <c r="Q154" s="41" t="s">
        <v>124</v>
      </c>
      <c r="R154" s="41">
        <v>1458</v>
      </c>
      <c r="S154" s="41" t="s">
        <v>182</v>
      </c>
      <c r="T154" s="41" t="s">
        <v>63</v>
      </c>
      <c r="U154" s="41" t="s">
        <v>70</v>
      </c>
      <c r="V154" s="41" t="s">
        <v>76</v>
      </c>
      <c r="W154" s="42">
        <v>42332</v>
      </c>
      <c r="X154" s="41" t="s">
        <v>64</v>
      </c>
      <c r="Y154" s="42">
        <v>42327</v>
      </c>
      <c r="Z154" s="41"/>
      <c r="AA154" s="41"/>
      <c r="AB154" s="41"/>
      <c r="AC154" s="41" t="s">
        <v>183</v>
      </c>
      <c r="AD154" s="41" t="s">
        <v>1107</v>
      </c>
      <c r="AE154" s="41" t="s">
        <v>77</v>
      </c>
      <c r="AF154" s="41" t="s">
        <v>1247</v>
      </c>
    </row>
    <row r="155" spans="1:32" x14ac:dyDescent="0.2">
      <c r="A155" s="41">
        <v>10019935</v>
      </c>
      <c r="B155" s="41" t="s">
        <v>26</v>
      </c>
      <c r="C155" s="41" t="s">
        <v>78</v>
      </c>
      <c r="D155" s="42">
        <v>42327</v>
      </c>
      <c r="E155" s="41">
        <v>93594792</v>
      </c>
      <c r="F155" s="42">
        <v>42321</v>
      </c>
      <c r="G155" s="41"/>
      <c r="H155" s="41">
        <v>1201047</v>
      </c>
      <c r="I155" s="41" t="s">
        <v>79</v>
      </c>
      <c r="J155" s="41">
        <v>1003696</v>
      </c>
      <c r="K155" s="41" t="s">
        <v>80</v>
      </c>
      <c r="L155" s="41">
        <v>1171089</v>
      </c>
      <c r="M155" s="41" t="s">
        <v>75</v>
      </c>
      <c r="N155" s="41">
        <v>24511638</v>
      </c>
      <c r="O155" s="41" t="s">
        <v>181</v>
      </c>
      <c r="P155" s="41" t="s">
        <v>168</v>
      </c>
      <c r="Q155" s="41" t="s">
        <v>169</v>
      </c>
      <c r="R155" s="41">
        <v>1800</v>
      </c>
      <c r="S155" s="41" t="s">
        <v>182</v>
      </c>
      <c r="T155" s="41" t="s">
        <v>63</v>
      </c>
      <c r="U155" s="41" t="s">
        <v>94</v>
      </c>
      <c r="V155" s="41" t="s">
        <v>95</v>
      </c>
      <c r="W155" s="42">
        <v>42331</v>
      </c>
      <c r="X155" s="41" t="s">
        <v>64</v>
      </c>
      <c r="Y155" s="42">
        <v>42327</v>
      </c>
      <c r="Z155" s="41"/>
      <c r="AA155" s="41"/>
      <c r="AB155" s="41"/>
      <c r="AC155" s="41" t="s">
        <v>183</v>
      </c>
      <c r="AD155" s="41" t="s">
        <v>1248</v>
      </c>
      <c r="AE155" s="41" t="s">
        <v>96</v>
      </c>
      <c r="AF155" s="41" t="s">
        <v>1249</v>
      </c>
    </row>
    <row r="156" spans="1:32" x14ac:dyDescent="0.2">
      <c r="A156" s="41">
        <v>10019937</v>
      </c>
      <c r="B156" s="41" t="s">
        <v>26</v>
      </c>
      <c r="C156" s="41" t="s">
        <v>78</v>
      </c>
      <c r="D156" s="42">
        <v>42327</v>
      </c>
      <c r="E156" s="41">
        <v>93589776</v>
      </c>
      <c r="F156" s="42">
        <v>42318</v>
      </c>
      <c r="G156" s="41"/>
      <c r="H156" s="41">
        <v>1201047</v>
      </c>
      <c r="I156" s="41" t="s">
        <v>79</v>
      </c>
      <c r="J156" s="41">
        <v>1317086</v>
      </c>
      <c r="K156" s="41" t="s">
        <v>85</v>
      </c>
      <c r="L156" s="41">
        <v>1171089</v>
      </c>
      <c r="M156" s="41" t="s">
        <v>75</v>
      </c>
      <c r="N156" s="41">
        <v>23614320</v>
      </c>
      <c r="O156" s="41" t="s">
        <v>181</v>
      </c>
      <c r="P156" s="41" t="s">
        <v>97</v>
      </c>
      <c r="Q156" s="41" t="s">
        <v>98</v>
      </c>
      <c r="R156" s="41">
        <v>57.51</v>
      </c>
      <c r="S156" s="41" t="s">
        <v>182</v>
      </c>
      <c r="T156" s="41" t="s">
        <v>63</v>
      </c>
      <c r="U156" s="41"/>
      <c r="V156" s="41"/>
      <c r="W156" s="41"/>
      <c r="X156" s="41" t="s">
        <v>64</v>
      </c>
      <c r="Y156" s="42">
        <v>42327</v>
      </c>
      <c r="Z156" s="41"/>
      <c r="AA156" s="41"/>
      <c r="AB156" s="41"/>
      <c r="AC156" s="41" t="s">
        <v>183</v>
      </c>
      <c r="AD156" s="41">
        <v>87944972695002</v>
      </c>
      <c r="AE156" s="41"/>
      <c r="AF156" s="41"/>
    </row>
    <row r="157" spans="1:32" x14ac:dyDescent="0.2">
      <c r="A157" s="41">
        <v>10019938</v>
      </c>
      <c r="B157" s="41" t="s">
        <v>22</v>
      </c>
      <c r="C157" s="41" t="s">
        <v>78</v>
      </c>
      <c r="D157" s="42">
        <v>42327</v>
      </c>
      <c r="E157" s="41"/>
      <c r="F157" s="41"/>
      <c r="G157" s="41"/>
      <c r="H157" s="41">
        <v>1201540</v>
      </c>
      <c r="I157" s="41" t="s">
        <v>150</v>
      </c>
      <c r="J157" s="41">
        <v>1312297</v>
      </c>
      <c r="K157" s="41" t="s">
        <v>151</v>
      </c>
      <c r="L157" s="41">
        <v>1201540</v>
      </c>
      <c r="M157" s="41" t="s">
        <v>150</v>
      </c>
      <c r="N157" s="41" t="s">
        <v>1250</v>
      </c>
      <c r="O157" s="41" t="s">
        <v>181</v>
      </c>
      <c r="P157" s="41"/>
      <c r="Q157" s="41"/>
      <c r="R157" s="41">
        <v>7580.16</v>
      </c>
      <c r="S157" s="41" t="s">
        <v>182</v>
      </c>
      <c r="T157" s="41" t="s">
        <v>63</v>
      </c>
      <c r="U157" s="41"/>
      <c r="V157" s="41"/>
      <c r="W157" s="41"/>
      <c r="X157" s="41" t="s">
        <v>64</v>
      </c>
      <c r="Y157" s="42">
        <v>42327</v>
      </c>
      <c r="Z157" s="41"/>
      <c r="AA157" s="41"/>
      <c r="AB157" s="41"/>
      <c r="AC157" s="41" t="s">
        <v>183</v>
      </c>
      <c r="AD157" s="41"/>
      <c r="AE157" s="41"/>
      <c r="AF157" s="41"/>
    </row>
    <row r="158" spans="1:32" x14ac:dyDescent="0.2">
      <c r="A158" s="41">
        <v>10019939</v>
      </c>
      <c r="B158" s="41" t="s">
        <v>18</v>
      </c>
      <c r="C158" s="41" t="s">
        <v>573</v>
      </c>
      <c r="D158" s="42">
        <v>42327</v>
      </c>
      <c r="E158" s="41">
        <v>93593597</v>
      </c>
      <c r="F158" s="42">
        <v>42320</v>
      </c>
      <c r="G158" s="42">
        <v>42325</v>
      </c>
      <c r="H158" s="41">
        <v>1301804</v>
      </c>
      <c r="I158" s="41" t="s">
        <v>242</v>
      </c>
      <c r="J158" s="41">
        <v>1320292</v>
      </c>
      <c r="K158" s="41" t="s">
        <v>243</v>
      </c>
      <c r="L158" s="41">
        <v>1301804</v>
      </c>
      <c r="M158" s="41" t="s">
        <v>242</v>
      </c>
      <c r="N158" s="41">
        <v>383391</v>
      </c>
      <c r="O158" s="41" t="s">
        <v>181</v>
      </c>
      <c r="P158" s="41" t="s">
        <v>67</v>
      </c>
      <c r="Q158" s="41" t="s">
        <v>68</v>
      </c>
      <c r="R158" s="41">
        <v>2925.6</v>
      </c>
      <c r="S158" s="41" t="s">
        <v>182</v>
      </c>
      <c r="T158" s="41" t="s">
        <v>63</v>
      </c>
      <c r="U158" s="41" t="s">
        <v>70</v>
      </c>
      <c r="V158" s="41" t="s">
        <v>76</v>
      </c>
      <c r="W158" s="42">
        <v>42332</v>
      </c>
      <c r="X158" s="41" t="s">
        <v>64</v>
      </c>
      <c r="Y158" s="42">
        <v>42327</v>
      </c>
      <c r="Z158" s="41"/>
      <c r="AA158" s="41"/>
      <c r="AB158" s="41"/>
      <c r="AC158" s="41" t="s">
        <v>183</v>
      </c>
      <c r="AD158" s="41">
        <v>3527008144</v>
      </c>
      <c r="AE158" s="41" t="s">
        <v>77</v>
      </c>
      <c r="AF158" s="41" t="s">
        <v>649</v>
      </c>
    </row>
    <row r="159" spans="1:32" x14ac:dyDescent="0.2">
      <c r="A159" s="41">
        <v>10019940</v>
      </c>
      <c r="B159" s="41" t="s">
        <v>24</v>
      </c>
      <c r="C159" s="41" t="s">
        <v>78</v>
      </c>
      <c r="D159" s="42">
        <v>42327</v>
      </c>
      <c r="E159" s="41">
        <v>93593554</v>
      </c>
      <c r="F159" s="42">
        <v>42320</v>
      </c>
      <c r="G159" s="42">
        <v>42324</v>
      </c>
      <c r="H159" s="41">
        <v>1201605</v>
      </c>
      <c r="I159" s="41" t="s">
        <v>155</v>
      </c>
      <c r="J159" s="41">
        <v>1323069</v>
      </c>
      <c r="K159" s="41" t="s">
        <v>155</v>
      </c>
      <c r="L159" s="41">
        <v>1172017</v>
      </c>
      <c r="M159" s="41" t="s">
        <v>155</v>
      </c>
      <c r="N159" s="41">
        <v>545376</v>
      </c>
      <c r="O159" s="41" t="s">
        <v>181</v>
      </c>
      <c r="P159" s="41" t="s">
        <v>67</v>
      </c>
      <c r="Q159" s="41" t="s">
        <v>68</v>
      </c>
      <c r="R159" s="41">
        <v>288</v>
      </c>
      <c r="S159" s="41" t="s">
        <v>182</v>
      </c>
      <c r="T159" s="41" t="s">
        <v>63</v>
      </c>
      <c r="U159" s="41"/>
      <c r="V159" s="41"/>
      <c r="W159" s="41"/>
      <c r="X159" s="41" t="s">
        <v>64</v>
      </c>
      <c r="Y159" s="42">
        <v>42327</v>
      </c>
      <c r="Z159" s="41"/>
      <c r="AA159" s="41"/>
      <c r="AB159" s="41"/>
      <c r="AC159" s="41" t="s">
        <v>183</v>
      </c>
      <c r="AD159" s="41">
        <v>3527008240</v>
      </c>
      <c r="AE159" s="41"/>
      <c r="AF159" s="41"/>
    </row>
    <row r="160" spans="1:32" x14ac:dyDescent="0.2">
      <c r="A160" s="41">
        <v>10019941</v>
      </c>
      <c r="B160" s="41" t="s">
        <v>18</v>
      </c>
      <c r="C160" s="41" t="s">
        <v>573</v>
      </c>
      <c r="D160" s="42">
        <v>42328</v>
      </c>
      <c r="E160" s="41">
        <v>93597100</v>
      </c>
      <c r="F160" s="42">
        <v>42324</v>
      </c>
      <c r="G160" s="41"/>
      <c r="H160" s="41">
        <v>1318826</v>
      </c>
      <c r="I160" s="41" t="s">
        <v>110</v>
      </c>
      <c r="J160" s="41">
        <v>1131869</v>
      </c>
      <c r="K160" s="41" t="s">
        <v>366</v>
      </c>
      <c r="L160" s="41">
        <v>1318826</v>
      </c>
      <c r="M160" s="41" t="s">
        <v>110</v>
      </c>
      <c r="N160" s="41">
        <v>3018019</v>
      </c>
      <c r="O160" s="41" t="s">
        <v>181</v>
      </c>
      <c r="P160" s="41" t="s">
        <v>97</v>
      </c>
      <c r="Q160" s="41" t="s">
        <v>98</v>
      </c>
      <c r="R160" s="41">
        <v>93.54</v>
      </c>
      <c r="S160" s="41" t="s">
        <v>182</v>
      </c>
      <c r="T160" s="41" t="s">
        <v>63</v>
      </c>
      <c r="U160" s="41" t="s">
        <v>70</v>
      </c>
      <c r="V160" s="41" t="s">
        <v>76</v>
      </c>
      <c r="W160" s="42">
        <v>42332</v>
      </c>
      <c r="X160" s="41" t="s">
        <v>83</v>
      </c>
      <c r="Y160" s="42">
        <v>42328</v>
      </c>
      <c r="Z160" s="41"/>
      <c r="AA160" s="41"/>
      <c r="AB160" s="41"/>
      <c r="AC160" s="41" t="s">
        <v>183</v>
      </c>
      <c r="AD160" s="41">
        <v>87944972715427</v>
      </c>
      <c r="AE160" s="41" t="s">
        <v>77</v>
      </c>
      <c r="AF160" s="41" t="s">
        <v>127</v>
      </c>
    </row>
    <row r="161" spans="1:32" x14ac:dyDescent="0.2">
      <c r="A161" s="41">
        <v>10019942</v>
      </c>
      <c r="B161" s="41" t="s">
        <v>26</v>
      </c>
      <c r="C161" s="41" t="s">
        <v>78</v>
      </c>
      <c r="D161" s="42">
        <v>42328</v>
      </c>
      <c r="E161" s="41">
        <v>93596840</v>
      </c>
      <c r="F161" s="42">
        <v>42324</v>
      </c>
      <c r="G161" s="41"/>
      <c r="H161" s="41">
        <v>1201120</v>
      </c>
      <c r="I161" s="41" t="s">
        <v>117</v>
      </c>
      <c r="J161" s="41">
        <v>1307782</v>
      </c>
      <c r="K161" s="41" t="s">
        <v>119</v>
      </c>
      <c r="L161" s="41">
        <v>1171090</v>
      </c>
      <c r="M161" s="41" t="s">
        <v>118</v>
      </c>
      <c r="N161" s="41" t="s">
        <v>1232</v>
      </c>
      <c r="O161" s="41" t="s">
        <v>181</v>
      </c>
      <c r="P161" s="41" t="s">
        <v>121</v>
      </c>
      <c r="Q161" s="41" t="s">
        <v>122</v>
      </c>
      <c r="R161" s="41">
        <v>14479.2</v>
      </c>
      <c r="S161" s="41" t="s">
        <v>182</v>
      </c>
      <c r="T161" s="41" t="s">
        <v>63</v>
      </c>
      <c r="U161" s="41"/>
      <c r="V161" s="41"/>
      <c r="W161" s="41"/>
      <c r="X161" s="41"/>
      <c r="Y161" s="41"/>
      <c r="Z161" s="41"/>
      <c r="AA161" s="41"/>
      <c r="AB161" s="41"/>
      <c r="AC161" s="41" t="s">
        <v>183</v>
      </c>
      <c r="AD161" s="41" t="s">
        <v>1230</v>
      </c>
      <c r="AE161" s="41"/>
      <c r="AF161" s="41"/>
    </row>
    <row r="162" spans="1:32" x14ac:dyDescent="0.2">
      <c r="A162" s="41">
        <v>10019943</v>
      </c>
      <c r="B162" s="41" t="s">
        <v>26</v>
      </c>
      <c r="C162" s="41" t="s">
        <v>78</v>
      </c>
      <c r="D162" s="42">
        <v>42328</v>
      </c>
      <c r="E162" s="41">
        <v>93596836</v>
      </c>
      <c r="F162" s="42">
        <v>42324</v>
      </c>
      <c r="G162" s="41"/>
      <c r="H162" s="41">
        <v>1201120</v>
      </c>
      <c r="I162" s="41" t="s">
        <v>117</v>
      </c>
      <c r="J162" s="41">
        <v>1307782</v>
      </c>
      <c r="K162" s="41" t="s">
        <v>119</v>
      </c>
      <c r="L162" s="41">
        <v>1171090</v>
      </c>
      <c r="M162" s="41" t="s">
        <v>118</v>
      </c>
      <c r="N162" s="41" t="s">
        <v>1226</v>
      </c>
      <c r="O162" s="41" t="s">
        <v>181</v>
      </c>
      <c r="P162" s="41" t="s">
        <v>121</v>
      </c>
      <c r="Q162" s="41" t="s">
        <v>122</v>
      </c>
      <c r="R162" s="41">
        <v>1017.6</v>
      </c>
      <c r="S162" s="41" t="s">
        <v>182</v>
      </c>
      <c r="T162" s="41" t="s">
        <v>63</v>
      </c>
      <c r="U162" s="41" t="s">
        <v>94</v>
      </c>
      <c r="V162" s="41" t="s">
        <v>95</v>
      </c>
      <c r="W162" s="42">
        <v>42331</v>
      </c>
      <c r="X162" s="41" t="s">
        <v>64</v>
      </c>
      <c r="Y162" s="42">
        <v>42328</v>
      </c>
      <c r="Z162" s="41"/>
      <c r="AA162" s="41"/>
      <c r="AB162" s="41"/>
      <c r="AC162" s="41" t="s">
        <v>183</v>
      </c>
      <c r="AD162" s="41" t="s">
        <v>1230</v>
      </c>
      <c r="AE162" s="41" t="s">
        <v>96</v>
      </c>
      <c r="AF162" s="41" t="s">
        <v>1251</v>
      </c>
    </row>
    <row r="163" spans="1:32" x14ac:dyDescent="0.2">
      <c r="A163" s="41">
        <v>10019944</v>
      </c>
      <c r="B163" s="41" t="s">
        <v>26</v>
      </c>
      <c r="C163" s="41" t="s">
        <v>78</v>
      </c>
      <c r="D163" s="42">
        <v>42328</v>
      </c>
      <c r="E163" s="41">
        <v>93598242</v>
      </c>
      <c r="F163" s="42">
        <v>42325</v>
      </c>
      <c r="G163" s="41"/>
      <c r="H163" s="41">
        <v>1201047</v>
      </c>
      <c r="I163" s="41" t="s">
        <v>79</v>
      </c>
      <c r="J163" s="41">
        <v>1034532</v>
      </c>
      <c r="K163" s="41" t="s">
        <v>301</v>
      </c>
      <c r="L163" s="41">
        <v>1171089</v>
      </c>
      <c r="M163" s="41" t="s">
        <v>75</v>
      </c>
      <c r="N163" s="41">
        <v>25434572</v>
      </c>
      <c r="O163" s="41" t="s">
        <v>181</v>
      </c>
      <c r="P163" s="41" t="s">
        <v>91</v>
      </c>
      <c r="Q163" s="41" t="s">
        <v>92</v>
      </c>
      <c r="R163" s="41">
        <v>1374</v>
      </c>
      <c r="S163" s="41" t="s">
        <v>182</v>
      </c>
      <c r="T163" s="41" t="s">
        <v>63</v>
      </c>
      <c r="U163" s="41" t="s">
        <v>94</v>
      </c>
      <c r="V163" s="41" t="s">
        <v>95</v>
      </c>
      <c r="W163" s="42">
        <v>42338</v>
      </c>
      <c r="X163" s="41" t="s">
        <v>64</v>
      </c>
      <c r="Y163" s="42">
        <v>42328</v>
      </c>
      <c r="Z163" s="41"/>
      <c r="AA163" s="41"/>
      <c r="AB163" s="41"/>
      <c r="AC163" s="41" t="s">
        <v>183</v>
      </c>
      <c r="AD163" s="41" t="s">
        <v>1252</v>
      </c>
      <c r="AE163" s="41" t="s">
        <v>96</v>
      </c>
      <c r="AF163" s="41" t="s">
        <v>1253</v>
      </c>
    </row>
    <row r="164" spans="1:32" x14ac:dyDescent="0.2">
      <c r="A164" s="41">
        <v>10019945</v>
      </c>
      <c r="B164" s="41" t="s">
        <v>26</v>
      </c>
      <c r="C164" s="41" t="s">
        <v>78</v>
      </c>
      <c r="D164" s="42">
        <v>42328</v>
      </c>
      <c r="E164" s="41">
        <v>93591297</v>
      </c>
      <c r="F164" s="42">
        <v>42319</v>
      </c>
      <c r="G164" s="41"/>
      <c r="H164" s="41">
        <v>1201047</v>
      </c>
      <c r="I164" s="41" t="s">
        <v>79</v>
      </c>
      <c r="J164" s="41">
        <v>1340974</v>
      </c>
      <c r="K164" s="41" t="s">
        <v>93</v>
      </c>
      <c r="L164" s="41">
        <v>1171089</v>
      </c>
      <c r="M164" s="41" t="s">
        <v>75</v>
      </c>
      <c r="N164" s="41">
        <v>87102786</v>
      </c>
      <c r="O164" s="41" t="s">
        <v>181</v>
      </c>
      <c r="P164" s="41" t="s">
        <v>279</v>
      </c>
      <c r="Q164" s="41" t="s">
        <v>280</v>
      </c>
      <c r="R164" s="41">
        <v>289584</v>
      </c>
      <c r="S164" s="41" t="s">
        <v>182</v>
      </c>
      <c r="T164" s="41" t="s">
        <v>69</v>
      </c>
      <c r="U164" s="41" t="s">
        <v>94</v>
      </c>
      <c r="V164" s="41" t="s">
        <v>71</v>
      </c>
      <c r="W164" s="42">
        <v>42328</v>
      </c>
      <c r="X164" s="41" t="s">
        <v>83</v>
      </c>
      <c r="Y164" s="42">
        <v>42328</v>
      </c>
      <c r="Z164" s="41" t="s">
        <v>72</v>
      </c>
      <c r="AA164" s="41">
        <v>62029324</v>
      </c>
      <c r="AB164" s="42">
        <v>42331</v>
      </c>
      <c r="AC164" s="41" t="s">
        <v>183</v>
      </c>
      <c r="AD164" s="41" t="s">
        <v>1214</v>
      </c>
      <c r="AE164" s="41" t="s">
        <v>96</v>
      </c>
      <c r="AF164" s="41" t="s">
        <v>1254</v>
      </c>
    </row>
    <row r="165" spans="1:32" x14ac:dyDescent="0.2">
      <c r="A165" s="41">
        <v>10019946</v>
      </c>
      <c r="B165" s="41" t="s">
        <v>18</v>
      </c>
      <c r="C165" s="41" t="s">
        <v>78</v>
      </c>
      <c r="D165" s="42">
        <v>42328</v>
      </c>
      <c r="E165" s="41">
        <v>93598639</v>
      </c>
      <c r="F165" s="42">
        <v>42325</v>
      </c>
      <c r="G165" s="41"/>
      <c r="H165" s="41">
        <v>1324774</v>
      </c>
      <c r="I165" s="41" t="s">
        <v>389</v>
      </c>
      <c r="J165" s="41">
        <v>1338899</v>
      </c>
      <c r="K165" s="41" t="s">
        <v>1255</v>
      </c>
      <c r="L165" s="41">
        <v>1324774</v>
      </c>
      <c r="M165" s="41" t="s">
        <v>389</v>
      </c>
      <c r="N165" s="41" t="s">
        <v>1256</v>
      </c>
      <c r="O165" s="41" t="s">
        <v>181</v>
      </c>
      <c r="P165" s="41" t="s">
        <v>102</v>
      </c>
      <c r="Q165" s="41" t="s">
        <v>103</v>
      </c>
      <c r="R165" s="41">
        <v>661.42</v>
      </c>
      <c r="S165" s="41" t="s">
        <v>182</v>
      </c>
      <c r="T165" s="41" t="s">
        <v>63</v>
      </c>
      <c r="U165" s="41" t="s">
        <v>70</v>
      </c>
      <c r="V165" s="41" t="s">
        <v>76</v>
      </c>
      <c r="W165" s="42">
        <v>42332</v>
      </c>
      <c r="X165" s="41" t="s">
        <v>64</v>
      </c>
      <c r="Y165" s="42">
        <v>42328</v>
      </c>
      <c r="Z165" s="41"/>
      <c r="AA165" s="41"/>
      <c r="AB165" s="41"/>
      <c r="AC165" s="41" t="s">
        <v>183</v>
      </c>
      <c r="AD165" s="41">
        <v>649275125030</v>
      </c>
      <c r="AE165" s="41" t="s">
        <v>77</v>
      </c>
      <c r="AF165" s="41" t="s">
        <v>196</v>
      </c>
    </row>
    <row r="166" spans="1:32" x14ac:dyDescent="0.2">
      <c r="A166" s="41">
        <v>10019947</v>
      </c>
      <c r="B166" s="41" t="s">
        <v>26</v>
      </c>
      <c r="C166" s="41" t="s">
        <v>78</v>
      </c>
      <c r="D166" s="42">
        <v>42328</v>
      </c>
      <c r="E166" s="41">
        <v>93588290</v>
      </c>
      <c r="F166" s="42">
        <v>42317</v>
      </c>
      <c r="G166" s="41"/>
      <c r="H166" s="41">
        <v>1201315</v>
      </c>
      <c r="I166" s="41" t="s">
        <v>256</v>
      </c>
      <c r="J166" s="41">
        <v>1319929</v>
      </c>
      <c r="K166" s="41" t="s">
        <v>558</v>
      </c>
      <c r="L166" s="41">
        <v>1201315</v>
      </c>
      <c r="M166" s="41" t="s">
        <v>256</v>
      </c>
      <c r="N166" s="41">
        <v>5656677</v>
      </c>
      <c r="O166" s="41" t="s">
        <v>181</v>
      </c>
      <c r="P166" s="41" t="s">
        <v>102</v>
      </c>
      <c r="Q166" s="41" t="s">
        <v>103</v>
      </c>
      <c r="R166" s="41">
        <v>285.16000000000003</v>
      </c>
      <c r="S166" s="41" t="s">
        <v>182</v>
      </c>
      <c r="T166" s="41" t="s">
        <v>63</v>
      </c>
      <c r="U166" s="41"/>
      <c r="V166" s="41"/>
      <c r="W166" s="41"/>
      <c r="X166" s="41" t="s">
        <v>64</v>
      </c>
      <c r="Y166" s="42">
        <v>42328</v>
      </c>
      <c r="Z166" s="41"/>
      <c r="AA166" s="41"/>
      <c r="AB166" s="41"/>
      <c r="AC166" s="41" t="s">
        <v>183</v>
      </c>
      <c r="AD166" s="41">
        <v>649275109906</v>
      </c>
      <c r="AE166" s="41"/>
      <c r="AF166" s="41"/>
    </row>
    <row r="167" spans="1:32" x14ac:dyDescent="0.2">
      <c r="A167" s="41">
        <v>10019948</v>
      </c>
      <c r="B167" s="41" t="s">
        <v>18</v>
      </c>
      <c r="C167" s="41" t="s">
        <v>573</v>
      </c>
      <c r="D167" s="42">
        <v>42328</v>
      </c>
      <c r="E167" s="41">
        <v>93599621</v>
      </c>
      <c r="F167" s="42">
        <v>42326</v>
      </c>
      <c r="G167" s="41"/>
      <c r="H167" s="41">
        <v>1201047</v>
      </c>
      <c r="I167" s="41" t="s">
        <v>79</v>
      </c>
      <c r="J167" s="41">
        <v>1340974</v>
      </c>
      <c r="K167" s="41" t="s">
        <v>93</v>
      </c>
      <c r="L167" s="41">
        <v>1171089</v>
      </c>
      <c r="M167" s="41" t="s">
        <v>75</v>
      </c>
      <c r="N167" s="41">
        <v>87102877</v>
      </c>
      <c r="O167" s="41" t="s">
        <v>181</v>
      </c>
      <c r="P167" s="41" t="s">
        <v>279</v>
      </c>
      <c r="Q167" s="41" t="s">
        <v>280</v>
      </c>
      <c r="R167" s="41">
        <v>7070.1</v>
      </c>
      <c r="S167" s="41" t="s">
        <v>182</v>
      </c>
      <c r="T167" s="41" t="s">
        <v>63</v>
      </c>
      <c r="U167" s="41" t="s">
        <v>70</v>
      </c>
      <c r="V167" s="41" t="s">
        <v>76</v>
      </c>
      <c r="W167" s="42">
        <v>42332</v>
      </c>
      <c r="X167" s="41" t="s">
        <v>64</v>
      </c>
      <c r="Y167" s="42">
        <v>42328</v>
      </c>
      <c r="Z167" s="41"/>
      <c r="AA167" s="41"/>
      <c r="AB167" s="41"/>
      <c r="AC167" s="41" t="s">
        <v>183</v>
      </c>
      <c r="AD167" s="41" t="s">
        <v>1257</v>
      </c>
      <c r="AE167" s="41" t="s">
        <v>77</v>
      </c>
      <c r="AF167" s="41" t="s">
        <v>170</v>
      </c>
    </row>
    <row r="168" spans="1:32" x14ac:dyDescent="0.2">
      <c r="A168" s="41">
        <v>10019949</v>
      </c>
      <c r="B168" s="41" t="s">
        <v>18</v>
      </c>
      <c r="C168" s="41" t="s">
        <v>136</v>
      </c>
      <c r="D168" s="42">
        <v>42328</v>
      </c>
      <c r="E168" s="41">
        <v>93598481</v>
      </c>
      <c r="F168" s="42">
        <v>42325</v>
      </c>
      <c r="G168" s="41"/>
      <c r="H168" s="41">
        <v>1201399</v>
      </c>
      <c r="I168" s="41" t="s">
        <v>144</v>
      </c>
      <c r="J168" s="41">
        <v>1022143</v>
      </c>
      <c r="K168" s="41" t="s">
        <v>145</v>
      </c>
      <c r="L168" s="41">
        <v>1171970</v>
      </c>
      <c r="M168" s="41" t="s">
        <v>144</v>
      </c>
      <c r="N168" s="41">
        <v>8147648206</v>
      </c>
      <c r="O168" s="41" t="s">
        <v>181</v>
      </c>
      <c r="P168" s="41" t="s">
        <v>102</v>
      </c>
      <c r="Q168" s="41" t="s">
        <v>103</v>
      </c>
      <c r="R168" s="41">
        <v>1601.6</v>
      </c>
      <c r="S168" s="41" t="s">
        <v>182</v>
      </c>
      <c r="T168" s="41" t="s">
        <v>63</v>
      </c>
      <c r="U168" s="41" t="s">
        <v>70</v>
      </c>
      <c r="V168" s="41" t="s">
        <v>76</v>
      </c>
      <c r="W168" s="42">
        <v>42332</v>
      </c>
      <c r="X168" s="41" t="s">
        <v>83</v>
      </c>
      <c r="Y168" s="42">
        <v>42328</v>
      </c>
      <c r="Z168" s="41"/>
      <c r="AA168" s="41"/>
      <c r="AB168" s="41"/>
      <c r="AC168" s="41" t="s">
        <v>183</v>
      </c>
      <c r="AD168" s="41">
        <v>649275124582</v>
      </c>
      <c r="AE168" s="41" t="s">
        <v>77</v>
      </c>
      <c r="AF168" s="41" t="s">
        <v>374</v>
      </c>
    </row>
    <row r="169" spans="1:32" x14ac:dyDescent="0.2">
      <c r="A169" s="41">
        <v>10019950</v>
      </c>
      <c r="B169" s="41" t="s">
        <v>18</v>
      </c>
      <c r="C169" s="41" t="s">
        <v>573</v>
      </c>
      <c r="D169" s="42">
        <v>42328</v>
      </c>
      <c r="E169" s="41">
        <v>93591306</v>
      </c>
      <c r="F169" s="42">
        <v>42319</v>
      </c>
      <c r="G169" s="42">
        <v>42321</v>
      </c>
      <c r="H169" s="41">
        <v>1201047</v>
      </c>
      <c r="I169" s="41" t="s">
        <v>79</v>
      </c>
      <c r="J169" s="41">
        <v>1307128</v>
      </c>
      <c r="K169" s="41" t="s">
        <v>85</v>
      </c>
      <c r="L169" s="41">
        <v>1171089</v>
      </c>
      <c r="M169" s="41" t="s">
        <v>75</v>
      </c>
      <c r="N169" s="41">
        <v>10492100</v>
      </c>
      <c r="O169" s="41" t="s">
        <v>181</v>
      </c>
      <c r="P169" s="41" t="s">
        <v>67</v>
      </c>
      <c r="Q169" s="41" t="s">
        <v>68</v>
      </c>
      <c r="R169" s="41">
        <v>825</v>
      </c>
      <c r="S169" s="41" t="s">
        <v>182</v>
      </c>
      <c r="T169" s="41" t="s">
        <v>63</v>
      </c>
      <c r="U169" s="41" t="s">
        <v>70</v>
      </c>
      <c r="V169" s="41" t="s">
        <v>76</v>
      </c>
      <c r="W169" s="42">
        <v>42332</v>
      </c>
      <c r="X169" s="41" t="s">
        <v>64</v>
      </c>
      <c r="Y169" s="42">
        <v>42328</v>
      </c>
      <c r="Z169" s="41"/>
      <c r="AA169" s="41"/>
      <c r="AB169" s="41"/>
      <c r="AC169" s="41" t="s">
        <v>183</v>
      </c>
      <c r="AD169" s="41">
        <v>3527008085</v>
      </c>
      <c r="AE169" s="41" t="s">
        <v>77</v>
      </c>
      <c r="AF169" s="41" t="s">
        <v>717</v>
      </c>
    </row>
    <row r="170" spans="1:32" x14ac:dyDescent="0.2">
      <c r="A170" s="41">
        <v>10019951</v>
      </c>
      <c r="B170" s="41" t="s">
        <v>18</v>
      </c>
      <c r="C170" s="41" t="s">
        <v>573</v>
      </c>
      <c r="D170" s="42">
        <v>42328</v>
      </c>
      <c r="E170" s="41">
        <v>93564187</v>
      </c>
      <c r="F170" s="42">
        <v>42297</v>
      </c>
      <c r="G170" s="41"/>
      <c r="H170" s="41">
        <v>1201047</v>
      </c>
      <c r="I170" s="41" t="s">
        <v>79</v>
      </c>
      <c r="J170" s="41">
        <v>1317086</v>
      </c>
      <c r="K170" s="41" t="s">
        <v>85</v>
      </c>
      <c r="L170" s="41">
        <v>1171089</v>
      </c>
      <c r="M170" s="41" t="s">
        <v>75</v>
      </c>
      <c r="N170" s="41">
        <v>23611913</v>
      </c>
      <c r="O170" s="41" t="s">
        <v>181</v>
      </c>
      <c r="P170" s="41" t="s">
        <v>86</v>
      </c>
      <c r="Q170" s="41" t="s">
        <v>87</v>
      </c>
      <c r="R170" s="41">
        <v>170</v>
      </c>
      <c r="S170" s="41" t="s">
        <v>182</v>
      </c>
      <c r="T170" s="41" t="s">
        <v>63</v>
      </c>
      <c r="U170" s="41" t="s">
        <v>70</v>
      </c>
      <c r="V170" s="41" t="s">
        <v>76</v>
      </c>
      <c r="W170" s="42">
        <v>42332</v>
      </c>
      <c r="X170" s="41" t="s">
        <v>64</v>
      </c>
      <c r="Y170" s="42">
        <v>42328</v>
      </c>
      <c r="Z170" s="41"/>
      <c r="AA170" s="41"/>
      <c r="AB170" s="41"/>
      <c r="AC170" s="41" t="s">
        <v>183</v>
      </c>
      <c r="AD170" s="41" t="s">
        <v>1258</v>
      </c>
      <c r="AE170" s="41" t="s">
        <v>77</v>
      </c>
      <c r="AF170" s="41" t="s">
        <v>655</v>
      </c>
    </row>
    <row r="171" spans="1:32" x14ac:dyDescent="0.2">
      <c r="A171" s="41">
        <v>10019953</v>
      </c>
      <c r="B171" s="41" t="s">
        <v>18</v>
      </c>
      <c r="C171" s="41" t="s">
        <v>78</v>
      </c>
      <c r="D171" s="42">
        <v>42331</v>
      </c>
      <c r="E171" s="41">
        <v>93593198</v>
      </c>
      <c r="F171" s="42">
        <v>42320</v>
      </c>
      <c r="G171" s="41"/>
      <c r="H171" s="41">
        <v>1057544</v>
      </c>
      <c r="I171" s="41" t="s">
        <v>363</v>
      </c>
      <c r="J171" s="41">
        <v>1327308</v>
      </c>
      <c r="K171" s="41" t="s">
        <v>363</v>
      </c>
      <c r="L171" s="41">
        <v>1057544</v>
      </c>
      <c r="M171" s="41" t="s">
        <v>363</v>
      </c>
      <c r="N171" s="41">
        <v>8122239</v>
      </c>
      <c r="O171" s="41" t="s">
        <v>181</v>
      </c>
      <c r="P171" s="41" t="s">
        <v>102</v>
      </c>
      <c r="Q171" s="41" t="s">
        <v>103</v>
      </c>
      <c r="R171" s="41">
        <v>18</v>
      </c>
      <c r="S171" s="41" t="s">
        <v>182</v>
      </c>
      <c r="T171" s="41" t="s">
        <v>63</v>
      </c>
      <c r="U171" s="41" t="s">
        <v>81</v>
      </c>
      <c r="V171" s="41" t="s">
        <v>76</v>
      </c>
      <c r="W171" s="42">
        <v>42332</v>
      </c>
      <c r="X171" s="41" t="s">
        <v>64</v>
      </c>
      <c r="Y171" s="42">
        <v>42331</v>
      </c>
      <c r="Z171" s="41"/>
      <c r="AA171" s="41"/>
      <c r="AB171" s="41"/>
      <c r="AC171" s="41" t="s">
        <v>183</v>
      </c>
      <c r="AD171" s="41" t="s">
        <v>1259</v>
      </c>
      <c r="AE171" s="41" t="s">
        <v>77</v>
      </c>
      <c r="AF171" s="41" t="s">
        <v>1153</v>
      </c>
    </row>
    <row r="172" spans="1:32" x14ac:dyDescent="0.2">
      <c r="A172" s="41">
        <v>10019954</v>
      </c>
      <c r="B172" s="41" t="s">
        <v>18</v>
      </c>
      <c r="C172" s="41" t="s">
        <v>78</v>
      </c>
      <c r="D172" s="42">
        <v>42331</v>
      </c>
      <c r="E172" s="41">
        <v>93602723</v>
      </c>
      <c r="F172" s="42">
        <v>42328</v>
      </c>
      <c r="G172" s="41"/>
      <c r="H172" s="41">
        <v>1201120</v>
      </c>
      <c r="I172" s="41" t="s">
        <v>117</v>
      </c>
      <c r="J172" s="41">
        <v>1307782</v>
      </c>
      <c r="K172" s="41" t="s">
        <v>119</v>
      </c>
      <c r="L172" s="41">
        <v>1171090</v>
      </c>
      <c r="M172" s="41" t="s">
        <v>118</v>
      </c>
      <c r="N172" s="41" t="s">
        <v>1260</v>
      </c>
      <c r="O172" s="41" t="s">
        <v>181</v>
      </c>
      <c r="P172" s="41" t="s">
        <v>123</v>
      </c>
      <c r="Q172" s="41" t="s">
        <v>124</v>
      </c>
      <c r="R172" s="41">
        <v>3847.8</v>
      </c>
      <c r="S172" s="41" t="s">
        <v>182</v>
      </c>
      <c r="T172" s="41" t="s">
        <v>63</v>
      </c>
      <c r="U172" s="41" t="s">
        <v>70</v>
      </c>
      <c r="V172" s="41" t="s">
        <v>76</v>
      </c>
      <c r="W172" s="42">
        <v>42332</v>
      </c>
      <c r="X172" s="41" t="s">
        <v>64</v>
      </c>
      <c r="Y172" s="42">
        <v>42331</v>
      </c>
      <c r="Z172" s="41"/>
      <c r="AA172" s="41"/>
      <c r="AB172" s="41"/>
      <c r="AC172" s="41" t="s">
        <v>183</v>
      </c>
      <c r="AD172" s="41" t="s">
        <v>1261</v>
      </c>
      <c r="AE172" s="41" t="s">
        <v>77</v>
      </c>
      <c r="AF172" s="41" t="s">
        <v>1262</v>
      </c>
    </row>
    <row r="173" spans="1:32" x14ac:dyDescent="0.2">
      <c r="A173" s="41">
        <v>10019955</v>
      </c>
      <c r="B173" s="41" t="s">
        <v>18</v>
      </c>
      <c r="C173" s="41" t="s">
        <v>78</v>
      </c>
      <c r="D173" s="42">
        <v>42331</v>
      </c>
      <c r="E173" s="41">
        <v>93562976</v>
      </c>
      <c r="F173" s="42">
        <v>42296</v>
      </c>
      <c r="G173" s="41"/>
      <c r="H173" s="41">
        <v>1201399</v>
      </c>
      <c r="I173" s="41" t="s">
        <v>144</v>
      </c>
      <c r="J173" s="41">
        <v>1334926</v>
      </c>
      <c r="K173" s="41" t="s">
        <v>145</v>
      </c>
      <c r="L173" s="41">
        <v>1171970</v>
      </c>
      <c r="M173" s="41" t="s">
        <v>144</v>
      </c>
      <c r="N173" s="41">
        <v>8106676249</v>
      </c>
      <c r="O173" s="41" t="s">
        <v>181</v>
      </c>
      <c r="P173" s="41" t="s">
        <v>86</v>
      </c>
      <c r="Q173" s="41" t="s">
        <v>87</v>
      </c>
      <c r="R173" s="41">
        <v>70.8</v>
      </c>
      <c r="S173" s="41" t="s">
        <v>182</v>
      </c>
      <c r="T173" s="41" t="s">
        <v>63</v>
      </c>
      <c r="U173" s="41" t="s">
        <v>70</v>
      </c>
      <c r="V173" s="41" t="s">
        <v>76</v>
      </c>
      <c r="W173" s="42">
        <v>42332</v>
      </c>
      <c r="X173" s="41" t="s">
        <v>64</v>
      </c>
      <c r="Y173" s="42">
        <v>42331</v>
      </c>
      <c r="Z173" s="41"/>
      <c r="AA173" s="41"/>
      <c r="AB173" s="41"/>
      <c r="AC173" s="41" t="s">
        <v>183</v>
      </c>
      <c r="AD173" s="41" t="s">
        <v>1263</v>
      </c>
      <c r="AE173" s="41" t="s">
        <v>77</v>
      </c>
      <c r="AF173" s="41" t="s">
        <v>376</v>
      </c>
    </row>
    <row r="174" spans="1:32" x14ac:dyDescent="0.2">
      <c r="A174" s="41">
        <v>10019956</v>
      </c>
      <c r="B174" s="41" t="s">
        <v>18</v>
      </c>
      <c r="C174" s="41" t="s">
        <v>573</v>
      </c>
      <c r="D174" s="42">
        <v>42331</v>
      </c>
      <c r="E174" s="41">
        <v>93599646</v>
      </c>
      <c r="F174" s="42">
        <v>42326</v>
      </c>
      <c r="G174" s="41"/>
      <c r="H174" s="41">
        <v>1201047</v>
      </c>
      <c r="I174" s="41" t="s">
        <v>79</v>
      </c>
      <c r="J174" s="41">
        <v>1307128</v>
      </c>
      <c r="K174" s="41" t="s">
        <v>85</v>
      </c>
      <c r="L174" s="41">
        <v>1171089</v>
      </c>
      <c r="M174" s="41" t="s">
        <v>75</v>
      </c>
      <c r="N174" s="41">
        <v>10492885</v>
      </c>
      <c r="O174" s="41" t="s">
        <v>181</v>
      </c>
      <c r="P174" s="41" t="s">
        <v>91</v>
      </c>
      <c r="Q174" s="41" t="s">
        <v>92</v>
      </c>
      <c r="R174" s="41">
        <v>7032.64</v>
      </c>
      <c r="S174" s="41" t="s">
        <v>182</v>
      </c>
      <c r="T174" s="41" t="s">
        <v>63</v>
      </c>
      <c r="U174" s="41" t="s">
        <v>70</v>
      </c>
      <c r="V174" s="41" t="s">
        <v>76</v>
      </c>
      <c r="W174" s="42">
        <v>42332</v>
      </c>
      <c r="X174" s="41" t="s">
        <v>64</v>
      </c>
      <c r="Y174" s="42">
        <v>42331</v>
      </c>
      <c r="Z174" s="41"/>
      <c r="AA174" s="41"/>
      <c r="AB174" s="41"/>
      <c r="AC174" s="41" t="s">
        <v>183</v>
      </c>
      <c r="AD174" s="41" t="s">
        <v>1264</v>
      </c>
      <c r="AE174" s="41" t="s">
        <v>77</v>
      </c>
      <c r="AF174" s="41" t="s">
        <v>1265</v>
      </c>
    </row>
    <row r="175" spans="1:32" x14ac:dyDescent="0.2">
      <c r="A175" s="41">
        <v>10019957</v>
      </c>
      <c r="B175" s="41" t="s">
        <v>18</v>
      </c>
      <c r="C175" s="41" t="s">
        <v>573</v>
      </c>
      <c r="D175" s="42">
        <v>42331</v>
      </c>
      <c r="E175" s="41">
        <v>93599666</v>
      </c>
      <c r="F175" s="42">
        <v>42326</v>
      </c>
      <c r="G175" s="41"/>
      <c r="H175" s="41">
        <v>1201047</v>
      </c>
      <c r="I175" s="41" t="s">
        <v>79</v>
      </c>
      <c r="J175" s="41">
        <v>1307128</v>
      </c>
      <c r="K175" s="41" t="s">
        <v>85</v>
      </c>
      <c r="L175" s="41">
        <v>1171089</v>
      </c>
      <c r="M175" s="41" t="s">
        <v>75</v>
      </c>
      <c r="N175" s="41">
        <v>10491355</v>
      </c>
      <c r="O175" s="41" t="s">
        <v>181</v>
      </c>
      <c r="P175" s="41" t="s">
        <v>91</v>
      </c>
      <c r="Q175" s="41" t="s">
        <v>92</v>
      </c>
      <c r="R175" s="41">
        <v>953.61</v>
      </c>
      <c r="S175" s="41" t="s">
        <v>182</v>
      </c>
      <c r="T175" s="41" t="s">
        <v>63</v>
      </c>
      <c r="U175" s="41" t="s">
        <v>70</v>
      </c>
      <c r="V175" s="41" t="s">
        <v>76</v>
      </c>
      <c r="W175" s="42">
        <v>42332</v>
      </c>
      <c r="X175" s="41" t="s">
        <v>64</v>
      </c>
      <c r="Y175" s="42">
        <v>42331</v>
      </c>
      <c r="Z175" s="41"/>
      <c r="AA175" s="41"/>
      <c r="AB175" s="41"/>
      <c r="AC175" s="41" t="s">
        <v>183</v>
      </c>
      <c r="AD175" s="41" t="s">
        <v>1264</v>
      </c>
      <c r="AE175" s="41" t="s">
        <v>77</v>
      </c>
      <c r="AF175" s="41" t="s">
        <v>984</v>
      </c>
    </row>
    <row r="176" spans="1:32" x14ac:dyDescent="0.2">
      <c r="A176" s="41">
        <v>10019958</v>
      </c>
      <c r="B176" s="41" t="s">
        <v>26</v>
      </c>
      <c r="C176" s="41" t="s">
        <v>78</v>
      </c>
      <c r="D176" s="42">
        <v>42331</v>
      </c>
      <c r="E176" s="41">
        <v>93591266</v>
      </c>
      <c r="F176" s="42">
        <v>42319</v>
      </c>
      <c r="G176" s="42">
        <v>42321</v>
      </c>
      <c r="H176" s="41">
        <v>1201047</v>
      </c>
      <c r="I176" s="41" t="s">
        <v>79</v>
      </c>
      <c r="J176" s="41">
        <v>1022214</v>
      </c>
      <c r="K176" s="41" t="s">
        <v>80</v>
      </c>
      <c r="L176" s="41">
        <v>1171089</v>
      </c>
      <c r="M176" s="41" t="s">
        <v>75</v>
      </c>
      <c r="N176" s="41">
        <v>4745136</v>
      </c>
      <c r="O176" s="41" t="s">
        <v>181</v>
      </c>
      <c r="P176" s="41" t="s">
        <v>91</v>
      </c>
      <c r="Q176" s="41" t="s">
        <v>92</v>
      </c>
      <c r="R176" s="41">
        <v>1744.08</v>
      </c>
      <c r="S176" s="41" t="s">
        <v>182</v>
      </c>
      <c r="T176" s="41" t="s">
        <v>63</v>
      </c>
      <c r="U176" s="41"/>
      <c r="V176" s="41"/>
      <c r="W176" s="41"/>
      <c r="X176" s="41" t="s">
        <v>64</v>
      </c>
      <c r="Y176" s="42">
        <v>42331</v>
      </c>
      <c r="Z176" s="41"/>
      <c r="AA176" s="41"/>
      <c r="AB176" s="41"/>
      <c r="AC176" s="41" t="s">
        <v>183</v>
      </c>
      <c r="AD176" s="41" t="s">
        <v>1266</v>
      </c>
      <c r="AE176" s="41"/>
      <c r="AF176" s="41"/>
    </row>
    <row r="177" spans="1:32" x14ac:dyDescent="0.2">
      <c r="A177" s="41">
        <v>10019959</v>
      </c>
      <c r="B177" s="41" t="s">
        <v>18</v>
      </c>
      <c r="C177" s="41" t="s">
        <v>573</v>
      </c>
      <c r="D177" s="42">
        <v>42331</v>
      </c>
      <c r="E177" s="41">
        <v>93594904</v>
      </c>
      <c r="F177" s="42">
        <v>42321</v>
      </c>
      <c r="G177" s="42">
        <v>42325</v>
      </c>
      <c r="H177" s="41">
        <v>1201156</v>
      </c>
      <c r="I177" s="41" t="s">
        <v>131</v>
      </c>
      <c r="J177" s="41">
        <v>1040869</v>
      </c>
      <c r="K177" s="41" t="s">
        <v>132</v>
      </c>
      <c r="L177" s="41">
        <v>1201156</v>
      </c>
      <c r="M177" s="41" t="s">
        <v>131</v>
      </c>
      <c r="N177" s="41">
        <v>2625117</v>
      </c>
      <c r="O177" s="41" t="s">
        <v>181</v>
      </c>
      <c r="P177" s="41" t="s">
        <v>61</v>
      </c>
      <c r="Q177" s="41" t="s">
        <v>62</v>
      </c>
      <c r="R177" s="41">
        <v>55.5</v>
      </c>
      <c r="S177" s="41" t="s">
        <v>182</v>
      </c>
      <c r="T177" s="41" t="s">
        <v>63</v>
      </c>
      <c r="U177" s="41" t="s">
        <v>70</v>
      </c>
      <c r="V177" s="41" t="s">
        <v>76</v>
      </c>
      <c r="W177" s="42">
        <v>42332</v>
      </c>
      <c r="X177" s="41" t="s">
        <v>64</v>
      </c>
      <c r="Y177" s="42">
        <v>42331</v>
      </c>
      <c r="Z177" s="41"/>
      <c r="AA177" s="41"/>
      <c r="AB177" s="41"/>
      <c r="AC177" s="41" t="s">
        <v>183</v>
      </c>
      <c r="AD177" s="41">
        <v>327765325</v>
      </c>
      <c r="AE177" s="41" t="s">
        <v>77</v>
      </c>
      <c r="AF177" s="41" t="s">
        <v>717</v>
      </c>
    </row>
    <row r="178" spans="1:32" x14ac:dyDescent="0.2">
      <c r="A178" s="41">
        <v>10019960</v>
      </c>
      <c r="B178" s="41" t="s">
        <v>26</v>
      </c>
      <c r="C178" s="41" t="s">
        <v>78</v>
      </c>
      <c r="D178" s="42">
        <v>42331</v>
      </c>
      <c r="E178" s="41">
        <v>93588235</v>
      </c>
      <c r="F178" s="42">
        <v>42317</v>
      </c>
      <c r="G178" s="42">
        <v>42320</v>
      </c>
      <c r="H178" s="41">
        <v>1201156</v>
      </c>
      <c r="I178" s="41" t="s">
        <v>131</v>
      </c>
      <c r="J178" s="41">
        <v>1039283</v>
      </c>
      <c r="K178" s="41" t="s">
        <v>711</v>
      </c>
      <c r="L178" s="41">
        <v>1201156</v>
      </c>
      <c r="M178" s="41" t="s">
        <v>131</v>
      </c>
      <c r="N178" s="41">
        <v>6572008</v>
      </c>
      <c r="O178" s="41" t="s">
        <v>181</v>
      </c>
      <c r="P178" s="41" t="s">
        <v>61</v>
      </c>
      <c r="Q178" s="41" t="s">
        <v>62</v>
      </c>
      <c r="R178" s="41">
        <v>750</v>
      </c>
      <c r="S178" s="41" t="s">
        <v>182</v>
      </c>
      <c r="T178" s="41" t="s">
        <v>63</v>
      </c>
      <c r="U178" s="41"/>
      <c r="V178" s="41"/>
      <c r="W178" s="41"/>
      <c r="X178" s="41" t="s">
        <v>64</v>
      </c>
      <c r="Y178" s="42">
        <v>42331</v>
      </c>
      <c r="Z178" s="41"/>
      <c r="AA178" s="41"/>
      <c r="AB178" s="41"/>
      <c r="AC178" s="41" t="s">
        <v>183</v>
      </c>
      <c r="AD178" s="41">
        <v>327765319</v>
      </c>
      <c r="AE178" s="41"/>
      <c r="AF178" s="41"/>
    </row>
    <row r="179" spans="1:32" x14ac:dyDescent="0.2">
      <c r="A179" s="41">
        <v>10019961</v>
      </c>
      <c r="B179" s="41" t="s">
        <v>26</v>
      </c>
      <c r="C179" s="41" t="s">
        <v>78</v>
      </c>
      <c r="D179" s="42">
        <v>42331</v>
      </c>
      <c r="E179" s="41">
        <v>93424509</v>
      </c>
      <c r="F179" s="42">
        <v>42186</v>
      </c>
      <c r="G179" s="41"/>
      <c r="H179" s="41">
        <v>1201156</v>
      </c>
      <c r="I179" s="41" t="s">
        <v>131</v>
      </c>
      <c r="J179" s="41">
        <v>1335316</v>
      </c>
      <c r="K179" s="41" t="s">
        <v>132</v>
      </c>
      <c r="L179" s="41">
        <v>1201156</v>
      </c>
      <c r="M179" s="41" t="s">
        <v>131</v>
      </c>
      <c r="N179" s="41">
        <v>7467128</v>
      </c>
      <c r="O179" s="41" t="s">
        <v>181</v>
      </c>
      <c r="P179" s="41" t="s">
        <v>97</v>
      </c>
      <c r="Q179" s="41" t="s">
        <v>98</v>
      </c>
      <c r="R179" s="41">
        <v>2990.4</v>
      </c>
      <c r="S179" s="41" t="s">
        <v>182</v>
      </c>
      <c r="T179" s="41" t="s">
        <v>63</v>
      </c>
      <c r="U179" s="41" t="s">
        <v>81</v>
      </c>
      <c r="V179" s="41" t="s">
        <v>88</v>
      </c>
      <c r="W179" s="42">
        <v>42338</v>
      </c>
      <c r="X179" s="41" t="s">
        <v>64</v>
      </c>
      <c r="Y179" s="42">
        <v>42331</v>
      </c>
      <c r="Z179" s="41"/>
      <c r="AA179" s="41"/>
      <c r="AB179" s="41"/>
      <c r="AC179" s="41" t="s">
        <v>183</v>
      </c>
      <c r="AD179" s="41" t="s">
        <v>1267</v>
      </c>
      <c r="AE179" s="41" t="s">
        <v>89</v>
      </c>
      <c r="AF179" s="41" t="s">
        <v>1268</v>
      </c>
    </row>
    <row r="180" spans="1:32" x14ac:dyDescent="0.2">
      <c r="A180" s="41">
        <v>10019963</v>
      </c>
      <c r="B180" s="41" t="s">
        <v>24</v>
      </c>
      <c r="C180" s="41" t="s">
        <v>573</v>
      </c>
      <c r="D180" s="42">
        <v>42331</v>
      </c>
      <c r="E180" s="41">
        <v>93583894</v>
      </c>
      <c r="F180" s="42">
        <v>42313</v>
      </c>
      <c r="G180" s="42">
        <v>42317</v>
      </c>
      <c r="H180" s="41">
        <v>1201156</v>
      </c>
      <c r="I180" s="41" t="s">
        <v>131</v>
      </c>
      <c r="J180" s="41">
        <v>1039283</v>
      </c>
      <c r="K180" s="41" t="s">
        <v>711</v>
      </c>
      <c r="L180" s="41">
        <v>1201156</v>
      </c>
      <c r="M180" s="41" t="s">
        <v>131</v>
      </c>
      <c r="N180" s="41">
        <v>6570659</v>
      </c>
      <c r="O180" s="41" t="s">
        <v>181</v>
      </c>
      <c r="P180" s="41" t="s">
        <v>61</v>
      </c>
      <c r="Q180" s="41" t="s">
        <v>62</v>
      </c>
      <c r="R180" s="41">
        <v>684</v>
      </c>
      <c r="S180" s="41" t="s">
        <v>182</v>
      </c>
      <c r="T180" s="41" t="s">
        <v>63</v>
      </c>
      <c r="U180" s="41" t="s">
        <v>70</v>
      </c>
      <c r="V180" s="41" t="s">
        <v>71</v>
      </c>
      <c r="W180" s="42">
        <v>42333</v>
      </c>
      <c r="X180" s="41" t="s">
        <v>64</v>
      </c>
      <c r="Y180" s="42">
        <v>42331</v>
      </c>
      <c r="Z180" s="41"/>
      <c r="AA180" s="41"/>
      <c r="AB180" s="41"/>
      <c r="AC180" s="41" t="s">
        <v>183</v>
      </c>
      <c r="AD180" s="41">
        <v>327765307</v>
      </c>
      <c r="AE180" s="41" t="s">
        <v>73</v>
      </c>
      <c r="AF180" s="41" t="s">
        <v>1269</v>
      </c>
    </row>
    <row r="181" spans="1:32" x14ac:dyDescent="0.2">
      <c r="A181" s="41">
        <v>10019964</v>
      </c>
      <c r="B181" s="41" t="s">
        <v>26</v>
      </c>
      <c r="C181" s="41" t="s">
        <v>573</v>
      </c>
      <c r="D181" s="42">
        <v>42331</v>
      </c>
      <c r="E181" s="41">
        <v>93583894</v>
      </c>
      <c r="F181" s="42">
        <v>42313</v>
      </c>
      <c r="G181" s="42">
        <v>42317</v>
      </c>
      <c r="H181" s="41">
        <v>1201156</v>
      </c>
      <c r="I181" s="41" t="s">
        <v>131</v>
      </c>
      <c r="J181" s="41">
        <v>1039283</v>
      </c>
      <c r="K181" s="41" t="s">
        <v>711</v>
      </c>
      <c r="L181" s="41">
        <v>1201156</v>
      </c>
      <c r="M181" s="41" t="s">
        <v>131</v>
      </c>
      <c r="N181" s="41">
        <v>6570659</v>
      </c>
      <c r="O181" s="41" t="s">
        <v>181</v>
      </c>
      <c r="P181" s="41" t="s">
        <v>61</v>
      </c>
      <c r="Q181" s="41" t="s">
        <v>62</v>
      </c>
      <c r="R181" s="41">
        <v>653.28</v>
      </c>
      <c r="S181" s="41" t="s">
        <v>182</v>
      </c>
      <c r="T181" s="41" t="s">
        <v>63</v>
      </c>
      <c r="U181" s="41" t="s">
        <v>70</v>
      </c>
      <c r="V181" s="41" t="s">
        <v>71</v>
      </c>
      <c r="W181" s="42">
        <v>42333</v>
      </c>
      <c r="X181" s="41" t="s">
        <v>64</v>
      </c>
      <c r="Y181" s="42">
        <v>42331</v>
      </c>
      <c r="Z181" s="41"/>
      <c r="AA181" s="41"/>
      <c r="AB181" s="41"/>
      <c r="AC181" s="41" t="s">
        <v>183</v>
      </c>
      <c r="AD181" s="41">
        <v>327765307</v>
      </c>
      <c r="AE181" s="41" t="s">
        <v>73</v>
      </c>
      <c r="AF181" s="41" t="s">
        <v>648</v>
      </c>
    </row>
    <row r="182" spans="1:32" x14ac:dyDescent="0.2">
      <c r="A182" s="41">
        <v>10019965</v>
      </c>
      <c r="B182" s="41" t="s">
        <v>18</v>
      </c>
      <c r="C182" s="41" t="s">
        <v>78</v>
      </c>
      <c r="D182" s="42">
        <v>42331</v>
      </c>
      <c r="E182" s="41">
        <v>93594737</v>
      </c>
      <c r="F182" s="42">
        <v>42321</v>
      </c>
      <c r="G182" s="42">
        <v>42325</v>
      </c>
      <c r="H182" s="41">
        <v>1075330</v>
      </c>
      <c r="I182" s="41" t="s">
        <v>1270</v>
      </c>
      <c r="J182" s="41">
        <v>1075330</v>
      </c>
      <c r="K182" s="41" t="s">
        <v>1270</v>
      </c>
      <c r="L182" s="41">
        <v>1075330</v>
      </c>
      <c r="M182" s="41" t="s">
        <v>1270</v>
      </c>
      <c r="N182" s="41">
        <v>837328</v>
      </c>
      <c r="O182" s="41" t="s">
        <v>181</v>
      </c>
      <c r="P182" s="41" t="s">
        <v>67</v>
      </c>
      <c r="Q182" s="41" t="s">
        <v>68</v>
      </c>
      <c r="R182" s="41">
        <v>120.05</v>
      </c>
      <c r="S182" s="41" t="s">
        <v>182</v>
      </c>
      <c r="T182" s="41" t="s">
        <v>63</v>
      </c>
      <c r="U182" s="41" t="s">
        <v>70</v>
      </c>
      <c r="V182" s="41" t="s">
        <v>76</v>
      </c>
      <c r="W182" s="42">
        <v>42332</v>
      </c>
      <c r="X182" s="41" t="s">
        <v>64</v>
      </c>
      <c r="Y182" s="42">
        <v>42331</v>
      </c>
      <c r="Z182" s="41"/>
      <c r="AA182" s="41"/>
      <c r="AB182" s="41"/>
      <c r="AC182" s="41" t="s">
        <v>183</v>
      </c>
      <c r="AD182" s="41">
        <v>3527008380</v>
      </c>
      <c r="AE182" s="41" t="s">
        <v>77</v>
      </c>
      <c r="AF182" s="41" t="s">
        <v>187</v>
      </c>
    </row>
    <row r="183" spans="1:32" x14ac:dyDescent="0.2">
      <c r="A183" s="41">
        <v>10019966</v>
      </c>
      <c r="B183" s="41" t="s">
        <v>18</v>
      </c>
      <c r="C183" s="41" t="s">
        <v>573</v>
      </c>
      <c r="D183" s="42">
        <v>42331</v>
      </c>
      <c r="E183" s="41">
        <v>93594737</v>
      </c>
      <c r="F183" s="42">
        <v>42321</v>
      </c>
      <c r="G183" s="42">
        <v>42325</v>
      </c>
      <c r="H183" s="41">
        <v>1075330</v>
      </c>
      <c r="I183" s="41" t="s">
        <v>1270</v>
      </c>
      <c r="J183" s="41">
        <v>1075330</v>
      </c>
      <c r="K183" s="41" t="s">
        <v>1270</v>
      </c>
      <c r="L183" s="41">
        <v>1075330</v>
      </c>
      <c r="M183" s="41" t="s">
        <v>1270</v>
      </c>
      <c r="N183" s="41">
        <v>837328</v>
      </c>
      <c r="O183" s="41" t="s">
        <v>181</v>
      </c>
      <c r="P183" s="41" t="s">
        <v>67</v>
      </c>
      <c r="Q183" s="41" t="s">
        <v>68</v>
      </c>
      <c r="R183" s="41">
        <v>120.05</v>
      </c>
      <c r="S183" s="41" t="s">
        <v>182</v>
      </c>
      <c r="T183" s="41" t="s">
        <v>63</v>
      </c>
      <c r="U183" s="41" t="s">
        <v>84</v>
      </c>
      <c r="V183" s="41" t="s">
        <v>82</v>
      </c>
      <c r="W183" s="42">
        <v>42332</v>
      </c>
      <c r="X183" s="41" t="s">
        <v>64</v>
      </c>
      <c r="Y183" s="42">
        <v>42331</v>
      </c>
      <c r="Z183" s="41"/>
      <c r="AA183" s="41"/>
      <c r="AB183" s="41"/>
      <c r="AC183" s="41" t="s">
        <v>183</v>
      </c>
      <c r="AD183" s="41">
        <v>3527008380</v>
      </c>
      <c r="AE183" s="41" t="s">
        <v>84</v>
      </c>
      <c r="AF183" s="41" t="s">
        <v>1271</v>
      </c>
    </row>
    <row r="184" spans="1:32" x14ac:dyDescent="0.2">
      <c r="A184" s="41">
        <v>10019967</v>
      </c>
      <c r="B184" s="41" t="s">
        <v>18</v>
      </c>
      <c r="C184" s="41" t="s">
        <v>78</v>
      </c>
      <c r="D184" s="42">
        <v>42332</v>
      </c>
      <c r="E184" s="41">
        <v>93602754</v>
      </c>
      <c r="F184" s="42">
        <v>42328</v>
      </c>
      <c r="G184" s="42">
        <v>42331</v>
      </c>
      <c r="H184" s="41">
        <v>1201215</v>
      </c>
      <c r="I184" s="41" t="s">
        <v>138</v>
      </c>
      <c r="J184" s="41">
        <v>1324492</v>
      </c>
      <c r="K184" s="41" t="s">
        <v>138</v>
      </c>
      <c r="L184" s="41">
        <v>1201215</v>
      </c>
      <c r="M184" s="41" t="s">
        <v>138</v>
      </c>
      <c r="N184" s="41" t="s">
        <v>1272</v>
      </c>
      <c r="O184" s="41" t="s">
        <v>181</v>
      </c>
      <c r="P184" s="41" t="s">
        <v>67</v>
      </c>
      <c r="Q184" s="41" t="s">
        <v>68</v>
      </c>
      <c r="R184" s="41">
        <v>1772.64</v>
      </c>
      <c r="S184" s="41" t="s">
        <v>182</v>
      </c>
      <c r="T184" s="41" t="s">
        <v>63</v>
      </c>
      <c r="U184" s="41" t="s">
        <v>70</v>
      </c>
      <c r="V184" s="41" t="s">
        <v>76</v>
      </c>
      <c r="W184" s="42">
        <v>42338</v>
      </c>
      <c r="X184" s="41" t="s">
        <v>64</v>
      </c>
      <c r="Y184" s="42">
        <v>42332</v>
      </c>
      <c r="Z184" s="41"/>
      <c r="AA184" s="41"/>
      <c r="AB184" s="41"/>
      <c r="AC184" s="41" t="s">
        <v>183</v>
      </c>
      <c r="AD184" s="41">
        <v>3511809744</v>
      </c>
      <c r="AE184" s="41" t="s">
        <v>77</v>
      </c>
      <c r="AF184" s="41" t="s">
        <v>370</v>
      </c>
    </row>
    <row r="185" spans="1:32" x14ac:dyDescent="0.2">
      <c r="A185" s="41">
        <v>10019968</v>
      </c>
      <c r="B185" s="41" t="s">
        <v>26</v>
      </c>
      <c r="C185" s="41" t="s">
        <v>78</v>
      </c>
      <c r="D185" s="42">
        <v>42332</v>
      </c>
      <c r="E185" s="41">
        <v>93494833</v>
      </c>
      <c r="F185" s="42">
        <v>42241</v>
      </c>
      <c r="G185" s="41"/>
      <c r="H185" s="41">
        <v>1201047</v>
      </c>
      <c r="I185" s="41" t="s">
        <v>79</v>
      </c>
      <c r="J185" s="41">
        <v>1051549</v>
      </c>
      <c r="K185" s="41" t="s">
        <v>85</v>
      </c>
      <c r="L185" s="41">
        <v>1171089</v>
      </c>
      <c r="M185" s="41" t="s">
        <v>75</v>
      </c>
      <c r="N185" s="41">
        <v>12905413</v>
      </c>
      <c r="O185" s="41" t="s">
        <v>181</v>
      </c>
      <c r="P185" s="41" t="s">
        <v>67</v>
      </c>
      <c r="Q185" s="41" t="s">
        <v>68</v>
      </c>
      <c r="R185" s="41">
        <v>36.44</v>
      </c>
      <c r="S185" s="41" t="s">
        <v>182</v>
      </c>
      <c r="T185" s="41" t="s">
        <v>63</v>
      </c>
      <c r="U185" s="41"/>
      <c r="V185" s="41"/>
      <c r="W185" s="41"/>
      <c r="X185" s="41" t="s">
        <v>64</v>
      </c>
      <c r="Y185" s="42">
        <v>42332</v>
      </c>
      <c r="Z185" s="41"/>
      <c r="AA185" s="41"/>
      <c r="AB185" s="41"/>
      <c r="AC185" s="41" t="s">
        <v>183</v>
      </c>
      <c r="AD185" s="41">
        <v>2795193262</v>
      </c>
      <c r="AE185" s="41"/>
      <c r="AF185" s="41"/>
    </row>
    <row r="186" spans="1:32" x14ac:dyDescent="0.2">
      <c r="A186" s="41">
        <v>10019969</v>
      </c>
      <c r="B186" s="41" t="s">
        <v>18</v>
      </c>
      <c r="C186" s="41" t="s">
        <v>78</v>
      </c>
      <c r="D186" s="42">
        <v>42332</v>
      </c>
      <c r="E186" s="41">
        <v>93494833</v>
      </c>
      <c r="F186" s="42">
        <v>42241</v>
      </c>
      <c r="G186" s="41"/>
      <c r="H186" s="41">
        <v>1201047</v>
      </c>
      <c r="I186" s="41" t="s">
        <v>79</v>
      </c>
      <c r="J186" s="41">
        <v>1051549</v>
      </c>
      <c r="K186" s="41" t="s">
        <v>85</v>
      </c>
      <c r="L186" s="41">
        <v>1171089</v>
      </c>
      <c r="M186" s="41" t="s">
        <v>75</v>
      </c>
      <c r="N186" s="41">
        <v>12905413</v>
      </c>
      <c r="O186" s="41" t="s">
        <v>181</v>
      </c>
      <c r="P186" s="41" t="s">
        <v>67</v>
      </c>
      <c r="Q186" s="41" t="s">
        <v>68</v>
      </c>
      <c r="R186" s="41">
        <v>255.08</v>
      </c>
      <c r="S186" s="41" t="s">
        <v>182</v>
      </c>
      <c r="T186" s="41" t="s">
        <v>63</v>
      </c>
      <c r="U186" s="41" t="s">
        <v>70</v>
      </c>
      <c r="V186" s="41" t="s">
        <v>76</v>
      </c>
      <c r="W186" s="42">
        <v>42338</v>
      </c>
      <c r="X186" s="41" t="s">
        <v>64</v>
      </c>
      <c r="Y186" s="42">
        <v>42332</v>
      </c>
      <c r="Z186" s="41"/>
      <c r="AA186" s="41"/>
      <c r="AB186" s="41"/>
      <c r="AC186" s="41" t="s">
        <v>183</v>
      </c>
      <c r="AD186" s="41">
        <v>2795193262</v>
      </c>
      <c r="AE186" s="41" t="s">
        <v>77</v>
      </c>
      <c r="AF186" s="41" t="s">
        <v>1035</v>
      </c>
    </row>
    <row r="187" spans="1:32" x14ac:dyDescent="0.2">
      <c r="A187" s="41">
        <v>10019970</v>
      </c>
      <c r="B187" s="41" t="s">
        <v>22</v>
      </c>
      <c r="C187" s="41" t="s">
        <v>573</v>
      </c>
      <c r="D187" s="42">
        <v>42332</v>
      </c>
      <c r="E187" s="41">
        <v>93588192</v>
      </c>
      <c r="F187" s="42">
        <v>42317</v>
      </c>
      <c r="G187" s="41"/>
      <c r="H187" s="41">
        <v>1201120</v>
      </c>
      <c r="I187" s="41" t="s">
        <v>117</v>
      </c>
      <c r="J187" s="41">
        <v>1307782</v>
      </c>
      <c r="K187" s="41" t="s">
        <v>119</v>
      </c>
      <c r="L187" s="41">
        <v>1171090</v>
      </c>
      <c r="M187" s="41" t="s">
        <v>118</v>
      </c>
      <c r="N187" s="41" t="s">
        <v>1180</v>
      </c>
      <c r="O187" s="41" t="s">
        <v>181</v>
      </c>
      <c r="P187" s="41" t="s">
        <v>121</v>
      </c>
      <c r="Q187" s="41" t="s">
        <v>122</v>
      </c>
      <c r="R187" s="41">
        <v>4896</v>
      </c>
      <c r="S187" s="41" t="s">
        <v>182</v>
      </c>
      <c r="T187" s="41" t="s">
        <v>63</v>
      </c>
      <c r="U187" s="41" t="s">
        <v>94</v>
      </c>
      <c r="V187" s="41" t="s">
        <v>141</v>
      </c>
      <c r="W187" s="42">
        <v>42332</v>
      </c>
      <c r="X187" s="41" t="s">
        <v>64</v>
      </c>
      <c r="Y187" s="42">
        <v>42332</v>
      </c>
      <c r="Z187" s="41"/>
      <c r="AA187" s="41"/>
      <c r="AB187" s="41"/>
      <c r="AC187" s="41" t="s">
        <v>183</v>
      </c>
      <c r="AD187" s="41" t="s">
        <v>1181</v>
      </c>
      <c r="AE187" s="41" t="s">
        <v>142</v>
      </c>
      <c r="AF187" s="41" t="s">
        <v>1273</v>
      </c>
    </row>
    <row r="188" spans="1:32" x14ac:dyDescent="0.2">
      <c r="A188" s="41">
        <v>10019971</v>
      </c>
      <c r="B188" s="41" t="s">
        <v>18</v>
      </c>
      <c r="C188" s="41" t="s">
        <v>573</v>
      </c>
      <c r="D188" s="42">
        <v>42332</v>
      </c>
      <c r="E188" s="41">
        <v>93599787</v>
      </c>
      <c r="F188" s="42">
        <v>42326</v>
      </c>
      <c r="G188" s="41"/>
      <c r="H188" s="41">
        <v>1201399</v>
      </c>
      <c r="I188" s="41" t="s">
        <v>144</v>
      </c>
      <c r="J188" s="41">
        <v>1334926</v>
      </c>
      <c r="K188" s="41" t="s">
        <v>145</v>
      </c>
      <c r="L188" s="41">
        <v>1171970</v>
      </c>
      <c r="M188" s="41" t="s">
        <v>144</v>
      </c>
      <c r="N188" s="41">
        <v>8106678789</v>
      </c>
      <c r="O188" s="41" t="s">
        <v>181</v>
      </c>
      <c r="P188" s="41" t="s">
        <v>279</v>
      </c>
      <c r="Q188" s="41" t="s">
        <v>280</v>
      </c>
      <c r="R188" s="41">
        <v>392.88</v>
      </c>
      <c r="S188" s="41" t="s">
        <v>182</v>
      </c>
      <c r="T188" s="41" t="s">
        <v>63</v>
      </c>
      <c r="U188" s="41" t="s">
        <v>70</v>
      </c>
      <c r="V188" s="41" t="s">
        <v>76</v>
      </c>
      <c r="W188" s="42">
        <v>42338</v>
      </c>
      <c r="X188" s="41" t="s">
        <v>64</v>
      </c>
      <c r="Y188" s="42">
        <v>42332</v>
      </c>
      <c r="Z188" s="41"/>
      <c r="AA188" s="41"/>
      <c r="AB188" s="41"/>
      <c r="AC188" s="41" t="s">
        <v>183</v>
      </c>
      <c r="AD188" s="41" t="s">
        <v>1274</v>
      </c>
      <c r="AE188" s="41" t="s">
        <v>77</v>
      </c>
      <c r="AF188" s="41" t="s">
        <v>803</v>
      </c>
    </row>
    <row r="189" spans="1:32" x14ac:dyDescent="0.2">
      <c r="A189" s="41">
        <v>10019972</v>
      </c>
      <c r="B189" s="41" t="s">
        <v>18</v>
      </c>
      <c r="C189" s="41" t="s">
        <v>573</v>
      </c>
      <c r="D189" s="42">
        <v>42332</v>
      </c>
      <c r="E189" s="41">
        <v>93600645</v>
      </c>
      <c r="F189" s="42">
        <v>42327</v>
      </c>
      <c r="G189" s="41"/>
      <c r="H189" s="41">
        <v>1201047</v>
      </c>
      <c r="I189" s="41" t="s">
        <v>79</v>
      </c>
      <c r="J189" s="41">
        <v>1051671</v>
      </c>
      <c r="K189" s="41" t="s">
        <v>80</v>
      </c>
      <c r="L189" s="41">
        <v>1171089</v>
      </c>
      <c r="M189" s="41" t="s">
        <v>75</v>
      </c>
      <c r="N189" s="41">
        <v>49765311</v>
      </c>
      <c r="O189" s="41" t="s">
        <v>181</v>
      </c>
      <c r="P189" s="41" t="s">
        <v>91</v>
      </c>
      <c r="Q189" s="41" t="s">
        <v>92</v>
      </c>
      <c r="R189" s="41">
        <v>1100</v>
      </c>
      <c r="S189" s="41" t="s">
        <v>182</v>
      </c>
      <c r="T189" s="41" t="s">
        <v>63</v>
      </c>
      <c r="U189" s="41" t="s">
        <v>70</v>
      </c>
      <c r="V189" s="41" t="s">
        <v>76</v>
      </c>
      <c r="W189" s="42">
        <v>42338</v>
      </c>
      <c r="X189" s="41" t="s">
        <v>64</v>
      </c>
      <c r="Y189" s="42">
        <v>42332</v>
      </c>
      <c r="Z189" s="41"/>
      <c r="AA189" s="41"/>
      <c r="AB189" s="41"/>
      <c r="AC189" s="41" t="s">
        <v>183</v>
      </c>
      <c r="AD189" s="41" t="s">
        <v>1275</v>
      </c>
      <c r="AE189" s="41" t="s">
        <v>77</v>
      </c>
      <c r="AF189" s="41" t="s">
        <v>717</v>
      </c>
    </row>
    <row r="190" spans="1:32" x14ac:dyDescent="0.2">
      <c r="A190" s="41">
        <v>10019973</v>
      </c>
      <c r="B190" s="41" t="s">
        <v>18</v>
      </c>
      <c r="C190" s="41" t="s">
        <v>78</v>
      </c>
      <c r="D190" s="42">
        <v>42332</v>
      </c>
      <c r="E190" s="41">
        <v>93600722</v>
      </c>
      <c r="F190" s="42">
        <v>42327</v>
      </c>
      <c r="G190" s="41"/>
      <c r="H190" s="41">
        <v>1201120</v>
      </c>
      <c r="I190" s="41" t="s">
        <v>117</v>
      </c>
      <c r="J190" s="41">
        <v>1307782</v>
      </c>
      <c r="K190" s="41" t="s">
        <v>119</v>
      </c>
      <c r="L190" s="41">
        <v>1171090</v>
      </c>
      <c r="M190" s="41" t="s">
        <v>118</v>
      </c>
      <c r="N190" s="41" t="s">
        <v>1226</v>
      </c>
      <c r="O190" s="41" t="s">
        <v>181</v>
      </c>
      <c r="P190" s="41" t="s">
        <v>97</v>
      </c>
      <c r="Q190" s="41" t="s">
        <v>98</v>
      </c>
      <c r="R190" s="41">
        <v>60</v>
      </c>
      <c r="S190" s="41" t="s">
        <v>182</v>
      </c>
      <c r="T190" s="41" t="s">
        <v>63</v>
      </c>
      <c r="U190" s="41" t="s">
        <v>70</v>
      </c>
      <c r="V190" s="41" t="s">
        <v>76</v>
      </c>
      <c r="W190" s="42">
        <v>42338</v>
      </c>
      <c r="X190" s="41" t="s">
        <v>64</v>
      </c>
      <c r="Y190" s="42">
        <v>42332</v>
      </c>
      <c r="Z190" s="41"/>
      <c r="AA190" s="41"/>
      <c r="AB190" s="41"/>
      <c r="AC190" s="41" t="s">
        <v>183</v>
      </c>
      <c r="AD190" s="41" t="s">
        <v>1276</v>
      </c>
      <c r="AE190" s="41" t="s">
        <v>77</v>
      </c>
      <c r="AF190" s="41" t="s">
        <v>216</v>
      </c>
    </row>
    <row r="191" spans="1:32" x14ac:dyDescent="0.2">
      <c r="A191" s="41">
        <v>10019980</v>
      </c>
      <c r="B191" s="41" t="s">
        <v>26</v>
      </c>
      <c r="C191" s="41" t="s">
        <v>78</v>
      </c>
      <c r="D191" s="42">
        <v>42332</v>
      </c>
      <c r="E191" s="41">
        <v>93599594</v>
      </c>
      <c r="F191" s="42">
        <v>42326</v>
      </c>
      <c r="G191" s="41"/>
      <c r="H191" s="41">
        <v>1201047</v>
      </c>
      <c r="I191" s="41" t="s">
        <v>79</v>
      </c>
      <c r="J191" s="41">
        <v>1311671</v>
      </c>
      <c r="K191" s="41" t="s">
        <v>90</v>
      </c>
      <c r="L191" s="41">
        <v>1171089</v>
      </c>
      <c r="M191" s="41" t="s">
        <v>75</v>
      </c>
      <c r="N191" s="41">
        <v>21466511</v>
      </c>
      <c r="O191" s="41" t="s">
        <v>181</v>
      </c>
      <c r="P191" s="41" t="s">
        <v>91</v>
      </c>
      <c r="Q191" s="41" t="s">
        <v>92</v>
      </c>
      <c r="R191" s="41">
        <v>3932.64</v>
      </c>
      <c r="S191" s="41" t="s">
        <v>182</v>
      </c>
      <c r="T191" s="41" t="s">
        <v>63</v>
      </c>
      <c r="U191" s="41"/>
      <c r="V191" s="41"/>
      <c r="W191" s="41"/>
      <c r="X191" s="41" t="s">
        <v>64</v>
      </c>
      <c r="Y191" s="42">
        <v>42332</v>
      </c>
      <c r="Z191" s="41"/>
      <c r="AA191" s="41"/>
      <c r="AB191" s="41"/>
      <c r="AC191" s="41" t="s">
        <v>183</v>
      </c>
      <c r="AD191" s="41" t="s">
        <v>1277</v>
      </c>
      <c r="AE191" s="41"/>
      <c r="AF191" s="41"/>
    </row>
    <row r="192" spans="1:32" x14ac:dyDescent="0.2">
      <c r="A192" s="41">
        <v>10019983</v>
      </c>
      <c r="B192" s="41" t="s">
        <v>26</v>
      </c>
      <c r="C192" s="41" t="s">
        <v>78</v>
      </c>
      <c r="D192" s="42">
        <v>42332</v>
      </c>
      <c r="E192" s="41">
        <v>93589794</v>
      </c>
      <c r="F192" s="42">
        <v>42318</v>
      </c>
      <c r="G192" s="41"/>
      <c r="H192" s="41">
        <v>1201047</v>
      </c>
      <c r="I192" s="41" t="s">
        <v>79</v>
      </c>
      <c r="J192" s="41">
        <v>1003713</v>
      </c>
      <c r="K192" s="41" t="s">
        <v>80</v>
      </c>
      <c r="L192" s="41">
        <v>1171089</v>
      </c>
      <c r="M192" s="41" t="s">
        <v>75</v>
      </c>
      <c r="N192" s="41">
        <v>32763172</v>
      </c>
      <c r="O192" s="41" t="s">
        <v>181</v>
      </c>
      <c r="P192" s="41" t="s">
        <v>91</v>
      </c>
      <c r="Q192" s="41" t="s">
        <v>92</v>
      </c>
      <c r="R192" s="41">
        <v>1650</v>
      </c>
      <c r="S192" s="41" t="s">
        <v>182</v>
      </c>
      <c r="T192" s="41" t="s">
        <v>63</v>
      </c>
      <c r="U192" s="41"/>
      <c r="V192" s="41"/>
      <c r="W192" s="41"/>
      <c r="X192" s="41" t="s">
        <v>64</v>
      </c>
      <c r="Y192" s="42">
        <v>42332</v>
      </c>
      <c r="Z192" s="41"/>
      <c r="AA192" s="41"/>
      <c r="AB192" s="41"/>
      <c r="AC192" s="41" t="s">
        <v>183</v>
      </c>
      <c r="AD192" s="41" t="s">
        <v>1278</v>
      </c>
      <c r="AE192" s="41"/>
      <c r="AF192" s="41"/>
    </row>
    <row r="193" spans="1:32" x14ac:dyDescent="0.2">
      <c r="A193" s="41">
        <v>10019985</v>
      </c>
      <c r="B193" s="41" t="s">
        <v>26</v>
      </c>
      <c r="C193" s="41" t="s">
        <v>78</v>
      </c>
      <c r="D193" s="42">
        <v>42333</v>
      </c>
      <c r="E193" s="41">
        <v>93591294</v>
      </c>
      <c r="F193" s="42">
        <v>42319</v>
      </c>
      <c r="G193" s="41"/>
      <c r="H193" s="41">
        <v>1201047</v>
      </c>
      <c r="I193" s="41" t="s">
        <v>79</v>
      </c>
      <c r="J193" s="41">
        <v>1340974</v>
      </c>
      <c r="K193" s="41" t="s">
        <v>93</v>
      </c>
      <c r="L193" s="41">
        <v>1171089</v>
      </c>
      <c r="M193" s="41" t="s">
        <v>75</v>
      </c>
      <c r="N193" s="41">
        <v>87102786</v>
      </c>
      <c r="O193" s="41" t="s">
        <v>181</v>
      </c>
      <c r="P193" s="41" t="s">
        <v>279</v>
      </c>
      <c r="Q193" s="41" t="s">
        <v>280</v>
      </c>
      <c r="R193" s="41">
        <v>267.12</v>
      </c>
      <c r="S193" s="41" t="s">
        <v>182</v>
      </c>
      <c r="T193" s="41" t="s">
        <v>63</v>
      </c>
      <c r="U193" s="41"/>
      <c r="V193" s="41"/>
      <c r="W193" s="41"/>
      <c r="X193" s="41" t="s">
        <v>64</v>
      </c>
      <c r="Y193" s="42">
        <v>42333</v>
      </c>
      <c r="Z193" s="41"/>
      <c r="AA193" s="41"/>
      <c r="AB193" s="41"/>
      <c r="AC193" s="41" t="s">
        <v>183</v>
      </c>
      <c r="AD193" s="41" t="s">
        <v>1214</v>
      </c>
      <c r="AE193" s="41"/>
      <c r="AF193" s="41"/>
    </row>
    <row r="194" spans="1:32" x14ac:dyDescent="0.2">
      <c r="A194" s="41">
        <v>10019986</v>
      </c>
      <c r="B194" s="41" t="s">
        <v>22</v>
      </c>
      <c r="C194" s="41" t="s">
        <v>78</v>
      </c>
      <c r="D194" s="42">
        <v>42333</v>
      </c>
      <c r="E194" s="41">
        <v>93598559</v>
      </c>
      <c r="F194" s="42">
        <v>42325</v>
      </c>
      <c r="G194" s="41"/>
      <c r="H194" s="41">
        <v>1201540</v>
      </c>
      <c r="I194" s="41" t="s">
        <v>150</v>
      </c>
      <c r="J194" s="41">
        <v>1312297</v>
      </c>
      <c r="K194" s="41" t="s">
        <v>151</v>
      </c>
      <c r="L194" s="41">
        <v>1201540</v>
      </c>
      <c r="M194" s="41" t="s">
        <v>150</v>
      </c>
      <c r="N194" s="41" t="s">
        <v>1279</v>
      </c>
      <c r="O194" s="41" t="s">
        <v>181</v>
      </c>
      <c r="P194" s="41" t="s">
        <v>97</v>
      </c>
      <c r="Q194" s="41" t="s">
        <v>98</v>
      </c>
      <c r="R194" s="41">
        <v>1920</v>
      </c>
      <c r="S194" s="41" t="s">
        <v>182</v>
      </c>
      <c r="T194" s="41" t="s">
        <v>63</v>
      </c>
      <c r="U194" s="41"/>
      <c r="V194" s="41"/>
      <c r="W194" s="41"/>
      <c r="X194" s="41" t="s">
        <v>64</v>
      </c>
      <c r="Y194" s="42">
        <v>42333</v>
      </c>
      <c r="Z194" s="41"/>
      <c r="AA194" s="41"/>
      <c r="AB194" s="41"/>
      <c r="AC194" s="41" t="s">
        <v>183</v>
      </c>
      <c r="AD194" s="41">
        <v>87944972717254</v>
      </c>
      <c r="AE194" s="41"/>
      <c r="AF194" s="41"/>
    </row>
    <row r="195" spans="1:32" x14ac:dyDescent="0.2">
      <c r="A195" s="41">
        <v>10019988</v>
      </c>
      <c r="B195" s="41" t="s">
        <v>18</v>
      </c>
      <c r="C195" s="41" t="s">
        <v>78</v>
      </c>
      <c r="D195" s="42">
        <v>42333</v>
      </c>
      <c r="E195" s="41">
        <v>93588285</v>
      </c>
      <c r="F195" s="42">
        <v>42317</v>
      </c>
      <c r="G195" s="41"/>
      <c r="H195" s="41">
        <v>1201301</v>
      </c>
      <c r="I195" s="41" t="s">
        <v>378</v>
      </c>
      <c r="J195" s="41">
        <v>1058880</v>
      </c>
      <c r="K195" s="41" t="s">
        <v>379</v>
      </c>
      <c r="L195" s="41">
        <v>1171972</v>
      </c>
      <c r="M195" s="41" t="s">
        <v>379</v>
      </c>
      <c r="N195" s="41">
        <v>12915892</v>
      </c>
      <c r="O195" s="41" t="s">
        <v>181</v>
      </c>
      <c r="P195" s="41" t="s">
        <v>97</v>
      </c>
      <c r="Q195" s="41" t="s">
        <v>98</v>
      </c>
      <c r="R195" s="41">
        <v>495</v>
      </c>
      <c r="S195" s="41" t="s">
        <v>182</v>
      </c>
      <c r="T195" s="41" t="s">
        <v>63</v>
      </c>
      <c r="U195" s="41" t="s">
        <v>70</v>
      </c>
      <c r="V195" s="41" t="s">
        <v>76</v>
      </c>
      <c r="W195" s="42">
        <v>42338</v>
      </c>
      <c r="X195" s="41" t="s">
        <v>64</v>
      </c>
      <c r="Y195" s="42">
        <v>42333</v>
      </c>
      <c r="Z195" s="41"/>
      <c r="AA195" s="41"/>
      <c r="AB195" s="41"/>
      <c r="AC195" s="41" t="s">
        <v>183</v>
      </c>
      <c r="AD195" s="41">
        <v>87944972689926</v>
      </c>
      <c r="AE195" s="41" t="s">
        <v>77</v>
      </c>
      <c r="AF195" s="41" t="s">
        <v>1280</v>
      </c>
    </row>
    <row r="196" spans="1:32" x14ac:dyDescent="0.2">
      <c r="A196" s="41">
        <v>10019989</v>
      </c>
      <c r="B196" s="41" t="s">
        <v>26</v>
      </c>
      <c r="C196" s="41" t="s">
        <v>78</v>
      </c>
      <c r="D196" s="42">
        <v>42333</v>
      </c>
      <c r="E196" s="41">
        <v>93602876</v>
      </c>
      <c r="F196" s="42">
        <v>42328</v>
      </c>
      <c r="G196" s="42">
        <v>42333</v>
      </c>
      <c r="H196" s="41">
        <v>1201646</v>
      </c>
      <c r="I196" s="41" t="s">
        <v>164</v>
      </c>
      <c r="J196" s="41">
        <v>1201646</v>
      </c>
      <c r="K196" s="41" t="s">
        <v>164</v>
      </c>
      <c r="L196" s="41">
        <v>1201646</v>
      </c>
      <c r="M196" s="41" t="s">
        <v>164</v>
      </c>
      <c r="N196" s="41">
        <v>8046250</v>
      </c>
      <c r="O196" s="41" t="s">
        <v>181</v>
      </c>
      <c r="P196" s="41" t="s">
        <v>67</v>
      </c>
      <c r="Q196" s="41" t="s">
        <v>68</v>
      </c>
      <c r="R196" s="41">
        <v>0</v>
      </c>
      <c r="S196" s="41" t="s">
        <v>182</v>
      </c>
      <c r="T196" s="41" t="s">
        <v>63</v>
      </c>
      <c r="U196" s="41"/>
      <c r="V196" s="41"/>
      <c r="W196" s="41"/>
      <c r="X196" s="41" t="s">
        <v>64</v>
      </c>
      <c r="Y196" s="42">
        <v>42333</v>
      </c>
      <c r="Z196" s="41"/>
      <c r="AA196" s="41"/>
      <c r="AB196" s="41"/>
      <c r="AC196" s="41" t="s">
        <v>183</v>
      </c>
      <c r="AD196" s="41">
        <v>3511809873</v>
      </c>
      <c r="AE196" s="41"/>
      <c r="AF196" s="41"/>
    </row>
    <row r="197" spans="1:32" x14ac:dyDescent="0.2">
      <c r="A197" s="41">
        <v>10019990</v>
      </c>
      <c r="B197" s="41" t="s">
        <v>18</v>
      </c>
      <c r="C197" s="41" t="s">
        <v>78</v>
      </c>
      <c r="D197" s="42">
        <v>42333</v>
      </c>
      <c r="E197" s="41">
        <v>93602630</v>
      </c>
      <c r="F197" s="42">
        <v>42328</v>
      </c>
      <c r="G197" s="41"/>
      <c r="H197" s="41">
        <v>1201047</v>
      </c>
      <c r="I197" s="41" t="s">
        <v>79</v>
      </c>
      <c r="J197" s="41">
        <v>1030742</v>
      </c>
      <c r="K197" s="41" t="s">
        <v>80</v>
      </c>
      <c r="L197" s="41">
        <v>1171089</v>
      </c>
      <c r="M197" s="41" t="s">
        <v>75</v>
      </c>
      <c r="N197" s="41">
        <v>20934161</v>
      </c>
      <c r="O197" s="41" t="s">
        <v>181</v>
      </c>
      <c r="P197" s="41" t="s">
        <v>168</v>
      </c>
      <c r="Q197" s="41" t="s">
        <v>169</v>
      </c>
      <c r="R197" s="41">
        <v>2330.65</v>
      </c>
      <c r="S197" s="41" t="s">
        <v>182</v>
      </c>
      <c r="T197" s="41" t="s">
        <v>63</v>
      </c>
      <c r="U197" s="41" t="s">
        <v>70</v>
      </c>
      <c r="V197" s="41" t="s">
        <v>76</v>
      </c>
      <c r="W197" s="42">
        <v>42338</v>
      </c>
      <c r="X197" s="41" t="s">
        <v>64</v>
      </c>
      <c r="Y197" s="42">
        <v>42333</v>
      </c>
      <c r="Z197" s="41"/>
      <c r="AA197" s="41"/>
      <c r="AB197" s="41"/>
      <c r="AC197" s="41" t="s">
        <v>183</v>
      </c>
      <c r="AD197" s="41" t="s">
        <v>1281</v>
      </c>
      <c r="AE197" s="41" t="s">
        <v>77</v>
      </c>
      <c r="AF197" s="41" t="s">
        <v>1282</v>
      </c>
    </row>
    <row r="198" spans="1:32" x14ac:dyDescent="0.2">
      <c r="A198" s="41">
        <v>10019991</v>
      </c>
      <c r="B198" s="41" t="s">
        <v>18</v>
      </c>
      <c r="C198" s="41" t="s">
        <v>78</v>
      </c>
      <c r="D198" s="42">
        <v>42333</v>
      </c>
      <c r="E198" s="41">
        <v>93599583</v>
      </c>
      <c r="F198" s="42">
        <v>42326</v>
      </c>
      <c r="G198" s="41"/>
      <c r="H198" s="41">
        <v>1201047</v>
      </c>
      <c r="I198" s="41" t="s">
        <v>79</v>
      </c>
      <c r="J198" s="41">
        <v>1311671</v>
      </c>
      <c r="K198" s="41" t="s">
        <v>90</v>
      </c>
      <c r="L198" s="41">
        <v>1171089</v>
      </c>
      <c r="M198" s="41" t="s">
        <v>75</v>
      </c>
      <c r="N198" s="41">
        <v>21466511</v>
      </c>
      <c r="O198" s="41" t="s">
        <v>181</v>
      </c>
      <c r="P198" s="41" t="s">
        <v>91</v>
      </c>
      <c r="Q198" s="41" t="s">
        <v>92</v>
      </c>
      <c r="R198" s="41">
        <v>309.10000000000002</v>
      </c>
      <c r="S198" s="41" t="s">
        <v>182</v>
      </c>
      <c r="T198" s="41" t="s">
        <v>63</v>
      </c>
      <c r="U198" s="41" t="s">
        <v>70</v>
      </c>
      <c r="V198" s="41" t="s">
        <v>76</v>
      </c>
      <c r="W198" s="42">
        <v>42338</v>
      </c>
      <c r="X198" s="41" t="s">
        <v>64</v>
      </c>
      <c r="Y198" s="42">
        <v>42333</v>
      </c>
      <c r="Z198" s="41"/>
      <c r="AA198" s="41"/>
      <c r="AB198" s="41"/>
      <c r="AC198" s="41" t="s">
        <v>183</v>
      </c>
      <c r="AD198" s="41" t="s">
        <v>1277</v>
      </c>
      <c r="AE198" s="41" t="s">
        <v>77</v>
      </c>
      <c r="AF198" s="41" t="s">
        <v>191</v>
      </c>
    </row>
    <row r="199" spans="1:32" x14ac:dyDescent="0.2">
      <c r="A199" s="41">
        <v>10019992</v>
      </c>
      <c r="B199" s="41" t="s">
        <v>18</v>
      </c>
      <c r="C199" s="41" t="s">
        <v>78</v>
      </c>
      <c r="D199" s="42">
        <v>42333</v>
      </c>
      <c r="E199" s="41">
        <v>93565618</v>
      </c>
      <c r="F199" s="42">
        <v>42298</v>
      </c>
      <c r="G199" s="42">
        <v>42304</v>
      </c>
      <c r="H199" s="41">
        <v>1201072</v>
      </c>
      <c r="I199" s="41" t="s">
        <v>115</v>
      </c>
      <c r="J199" s="41">
        <v>1201072</v>
      </c>
      <c r="K199" s="41" t="s">
        <v>115</v>
      </c>
      <c r="L199" s="41">
        <v>1171089</v>
      </c>
      <c r="M199" s="41" t="s">
        <v>75</v>
      </c>
      <c r="N199" s="41">
        <v>321624</v>
      </c>
      <c r="O199" s="41" t="s">
        <v>181</v>
      </c>
      <c r="P199" s="41" t="s">
        <v>61</v>
      </c>
      <c r="Q199" s="41" t="s">
        <v>62</v>
      </c>
      <c r="R199" s="41">
        <v>804.96</v>
      </c>
      <c r="S199" s="41" t="s">
        <v>182</v>
      </c>
      <c r="T199" s="41" t="s">
        <v>63</v>
      </c>
      <c r="U199" s="41" t="s">
        <v>70</v>
      </c>
      <c r="V199" s="41" t="s">
        <v>76</v>
      </c>
      <c r="W199" s="42">
        <v>42338</v>
      </c>
      <c r="X199" s="41" t="s">
        <v>64</v>
      </c>
      <c r="Y199" s="42">
        <v>42333</v>
      </c>
      <c r="Z199" s="41"/>
      <c r="AA199" s="41"/>
      <c r="AB199" s="41"/>
      <c r="AC199" s="41" t="s">
        <v>183</v>
      </c>
      <c r="AD199" s="41">
        <v>327764611</v>
      </c>
      <c r="AE199" s="41" t="s">
        <v>77</v>
      </c>
      <c r="AF199" s="41" t="s">
        <v>487</v>
      </c>
    </row>
    <row r="200" spans="1:32" x14ac:dyDescent="0.2">
      <c r="A200" s="41">
        <v>10019993</v>
      </c>
      <c r="B200" s="41" t="s">
        <v>18</v>
      </c>
      <c r="C200" s="41" t="s">
        <v>573</v>
      </c>
      <c r="D200" s="42">
        <v>42338</v>
      </c>
      <c r="E200" s="41">
        <v>93604162</v>
      </c>
      <c r="F200" s="42">
        <v>42331</v>
      </c>
      <c r="G200" s="41"/>
      <c r="H200" s="41">
        <v>1201120</v>
      </c>
      <c r="I200" s="41" t="s">
        <v>117</v>
      </c>
      <c r="J200" s="41">
        <v>1307782</v>
      </c>
      <c r="K200" s="41" t="s">
        <v>119</v>
      </c>
      <c r="L200" s="41">
        <v>1171090</v>
      </c>
      <c r="M200" s="41" t="s">
        <v>118</v>
      </c>
      <c r="N200" s="41" t="s">
        <v>1283</v>
      </c>
      <c r="O200" s="41" t="s">
        <v>181</v>
      </c>
      <c r="P200" s="41" t="s">
        <v>121</v>
      </c>
      <c r="Q200" s="41" t="s">
        <v>122</v>
      </c>
      <c r="R200" s="41">
        <v>850.08</v>
      </c>
      <c r="S200" s="41" t="s">
        <v>182</v>
      </c>
      <c r="T200" s="41" t="s">
        <v>63</v>
      </c>
      <c r="U200" s="41"/>
      <c r="V200" s="41"/>
      <c r="W200" s="41"/>
      <c r="X200" s="41" t="s">
        <v>64</v>
      </c>
      <c r="Y200" s="42">
        <v>42338</v>
      </c>
      <c r="Z200" s="41"/>
      <c r="AA200" s="41"/>
      <c r="AB200" s="41"/>
      <c r="AC200" s="41" t="s">
        <v>183</v>
      </c>
      <c r="AD200" s="41" t="s">
        <v>1284</v>
      </c>
      <c r="AE200" s="41"/>
      <c r="AF200" s="41"/>
    </row>
    <row r="201" spans="1:32" x14ac:dyDescent="0.2">
      <c r="A201" s="41">
        <v>10019994</v>
      </c>
      <c r="B201" s="41" t="s">
        <v>18</v>
      </c>
      <c r="C201" s="41" t="s">
        <v>78</v>
      </c>
      <c r="D201" s="42">
        <v>42338</v>
      </c>
      <c r="E201" s="41">
        <v>93609245</v>
      </c>
      <c r="F201" s="42">
        <v>42335</v>
      </c>
      <c r="G201" s="41"/>
      <c r="H201" s="41">
        <v>1201120</v>
      </c>
      <c r="I201" s="41" t="s">
        <v>117</v>
      </c>
      <c r="J201" s="41">
        <v>1307782</v>
      </c>
      <c r="K201" s="41" t="s">
        <v>119</v>
      </c>
      <c r="L201" s="41">
        <v>1171090</v>
      </c>
      <c r="M201" s="41" t="s">
        <v>118</v>
      </c>
      <c r="N201" s="41" t="s">
        <v>1285</v>
      </c>
      <c r="O201" s="41" t="s">
        <v>181</v>
      </c>
      <c r="P201" s="41" t="s">
        <v>870</v>
      </c>
      <c r="Q201" s="41" t="s">
        <v>871</v>
      </c>
      <c r="R201" s="41">
        <v>20551.68</v>
      </c>
      <c r="S201" s="41" t="s">
        <v>182</v>
      </c>
      <c r="T201" s="41" t="s">
        <v>63</v>
      </c>
      <c r="U201" s="41" t="s">
        <v>70</v>
      </c>
      <c r="V201" s="41" t="s">
        <v>76</v>
      </c>
      <c r="W201" s="42">
        <v>42338</v>
      </c>
      <c r="X201" s="41"/>
      <c r="Y201" s="41"/>
      <c r="Z201" s="41"/>
      <c r="AA201" s="41"/>
      <c r="AB201" s="41"/>
      <c r="AC201" s="41" t="s">
        <v>183</v>
      </c>
      <c r="AD201" s="41" t="s">
        <v>1286</v>
      </c>
      <c r="AE201" s="41" t="s">
        <v>77</v>
      </c>
      <c r="AF201" s="41" t="s">
        <v>394</v>
      </c>
    </row>
    <row r="202" spans="1:32" x14ac:dyDescent="0.2">
      <c r="A202" s="41">
        <v>10019995</v>
      </c>
      <c r="B202" s="41" t="s">
        <v>26</v>
      </c>
      <c r="C202" s="41" t="s">
        <v>78</v>
      </c>
      <c r="D202" s="42">
        <v>42338</v>
      </c>
      <c r="E202" s="41">
        <v>93609240</v>
      </c>
      <c r="F202" s="42">
        <v>42335</v>
      </c>
      <c r="G202" s="41"/>
      <c r="H202" s="41">
        <v>1201120</v>
      </c>
      <c r="I202" s="41" t="s">
        <v>117</v>
      </c>
      <c r="J202" s="41">
        <v>1307782</v>
      </c>
      <c r="K202" s="41" t="s">
        <v>119</v>
      </c>
      <c r="L202" s="41">
        <v>1171090</v>
      </c>
      <c r="M202" s="41" t="s">
        <v>118</v>
      </c>
      <c r="N202" s="41" t="s">
        <v>1260</v>
      </c>
      <c r="O202" s="41" t="s">
        <v>181</v>
      </c>
      <c r="P202" s="41" t="s">
        <v>870</v>
      </c>
      <c r="Q202" s="41" t="s">
        <v>871</v>
      </c>
      <c r="R202" s="41">
        <v>1534.14</v>
      </c>
      <c r="S202" s="41" t="s">
        <v>182</v>
      </c>
      <c r="T202" s="41" t="s">
        <v>63</v>
      </c>
      <c r="U202" s="41"/>
      <c r="V202" s="41"/>
      <c r="W202" s="41"/>
      <c r="X202" s="41" t="s">
        <v>64</v>
      </c>
      <c r="Y202" s="42">
        <v>42338</v>
      </c>
      <c r="Z202" s="41"/>
      <c r="AA202" s="41"/>
      <c r="AB202" s="41"/>
      <c r="AC202" s="41" t="s">
        <v>183</v>
      </c>
      <c r="AD202" s="41" t="s">
        <v>1286</v>
      </c>
      <c r="AE202" s="41"/>
      <c r="AF202" s="41"/>
    </row>
    <row r="203" spans="1:32" x14ac:dyDescent="0.2">
      <c r="A203" s="41">
        <v>10019996</v>
      </c>
      <c r="B203" s="41" t="s">
        <v>18</v>
      </c>
      <c r="C203" s="41" t="s">
        <v>573</v>
      </c>
      <c r="D203" s="42">
        <v>42338</v>
      </c>
      <c r="E203" s="41">
        <v>93604163</v>
      </c>
      <c r="F203" s="42">
        <v>42331</v>
      </c>
      <c r="G203" s="41"/>
      <c r="H203" s="41">
        <v>1201120</v>
      </c>
      <c r="I203" s="41" t="s">
        <v>117</v>
      </c>
      <c r="J203" s="41">
        <v>1307782</v>
      </c>
      <c r="K203" s="41" t="s">
        <v>119</v>
      </c>
      <c r="L203" s="41">
        <v>1171090</v>
      </c>
      <c r="M203" s="41" t="s">
        <v>118</v>
      </c>
      <c r="N203" s="41" t="s">
        <v>1287</v>
      </c>
      <c r="O203" s="41" t="s">
        <v>181</v>
      </c>
      <c r="P203" s="41" t="s">
        <v>121</v>
      </c>
      <c r="Q203" s="41" t="s">
        <v>122</v>
      </c>
      <c r="R203" s="41">
        <v>215040</v>
      </c>
      <c r="S203" s="41" t="s">
        <v>182</v>
      </c>
      <c r="T203" s="41" t="s">
        <v>63</v>
      </c>
      <c r="U203" s="41"/>
      <c r="V203" s="41"/>
      <c r="W203" s="41"/>
      <c r="X203" s="41"/>
      <c r="Y203" s="41"/>
      <c r="Z203" s="41"/>
      <c r="AA203" s="41"/>
      <c r="AB203" s="41"/>
      <c r="AC203" s="41" t="s">
        <v>183</v>
      </c>
      <c r="AD203" s="41" t="s">
        <v>1284</v>
      </c>
      <c r="AE203" s="41"/>
      <c r="AF203" s="41"/>
    </row>
    <row r="204" spans="1:32" x14ac:dyDescent="0.2">
      <c r="A204" s="41">
        <v>10019997</v>
      </c>
      <c r="B204" s="41" t="s">
        <v>26</v>
      </c>
      <c r="C204" s="41" t="s">
        <v>78</v>
      </c>
      <c r="D204" s="42">
        <v>42338</v>
      </c>
      <c r="E204" s="41">
        <v>93599591</v>
      </c>
      <c r="F204" s="42">
        <v>42326</v>
      </c>
      <c r="G204" s="41"/>
      <c r="H204" s="41">
        <v>1201047</v>
      </c>
      <c r="I204" s="41" t="s">
        <v>79</v>
      </c>
      <c r="J204" s="41">
        <v>1321618</v>
      </c>
      <c r="K204" s="41" t="s">
        <v>85</v>
      </c>
      <c r="L204" s="41">
        <v>1171089</v>
      </c>
      <c r="M204" s="41" t="s">
        <v>75</v>
      </c>
      <c r="N204" s="41">
        <v>55527641</v>
      </c>
      <c r="O204" s="41" t="s">
        <v>181</v>
      </c>
      <c r="P204" s="41" t="s">
        <v>91</v>
      </c>
      <c r="Q204" s="41" t="s">
        <v>92</v>
      </c>
      <c r="R204" s="41">
        <v>525</v>
      </c>
      <c r="S204" s="41" t="s">
        <v>182</v>
      </c>
      <c r="T204" s="41" t="s">
        <v>63</v>
      </c>
      <c r="U204" s="41"/>
      <c r="V204" s="41"/>
      <c r="W204" s="41"/>
      <c r="X204" s="41" t="s">
        <v>64</v>
      </c>
      <c r="Y204" s="42">
        <v>42338</v>
      </c>
      <c r="Z204" s="41"/>
      <c r="AA204" s="41"/>
      <c r="AB204" s="41"/>
      <c r="AC204" s="41" t="s">
        <v>183</v>
      </c>
      <c r="AD204" s="41" t="s">
        <v>1288</v>
      </c>
      <c r="AE204" s="41"/>
      <c r="AF204" s="41"/>
    </row>
    <row r="205" spans="1:32" x14ac:dyDescent="0.2">
      <c r="A205" s="41">
        <v>10019998</v>
      </c>
      <c r="B205" s="41" t="s">
        <v>18</v>
      </c>
      <c r="C205" s="41" t="s">
        <v>573</v>
      </c>
      <c r="D205" s="42">
        <v>42338</v>
      </c>
      <c r="E205" s="41">
        <v>93609240</v>
      </c>
      <c r="F205" s="42">
        <v>42335</v>
      </c>
      <c r="G205" s="41"/>
      <c r="H205" s="41">
        <v>1201120</v>
      </c>
      <c r="I205" s="41" t="s">
        <v>117</v>
      </c>
      <c r="J205" s="41">
        <v>1307782</v>
      </c>
      <c r="K205" s="41" t="s">
        <v>119</v>
      </c>
      <c r="L205" s="41">
        <v>1171090</v>
      </c>
      <c r="M205" s="41" t="s">
        <v>118</v>
      </c>
      <c r="N205" s="41" t="s">
        <v>1260</v>
      </c>
      <c r="O205" s="41" t="s">
        <v>181</v>
      </c>
      <c r="P205" s="41" t="s">
        <v>870</v>
      </c>
      <c r="Q205" s="41" t="s">
        <v>871</v>
      </c>
      <c r="R205" s="41">
        <v>60</v>
      </c>
      <c r="S205" s="41" t="s">
        <v>182</v>
      </c>
      <c r="T205" s="41" t="s">
        <v>63</v>
      </c>
      <c r="U205" s="41" t="s">
        <v>70</v>
      </c>
      <c r="V205" s="41" t="s">
        <v>76</v>
      </c>
      <c r="W205" s="42">
        <v>42338</v>
      </c>
      <c r="X205" s="41" t="s">
        <v>64</v>
      </c>
      <c r="Y205" s="42">
        <v>42338</v>
      </c>
      <c r="Z205" s="41"/>
      <c r="AA205" s="41"/>
      <c r="AB205" s="41"/>
      <c r="AC205" s="41" t="s">
        <v>183</v>
      </c>
      <c r="AD205" s="41" t="s">
        <v>1286</v>
      </c>
      <c r="AE205" s="41" t="s">
        <v>77</v>
      </c>
      <c r="AF205" s="41" t="s">
        <v>1289</v>
      </c>
    </row>
    <row r="206" spans="1:32" x14ac:dyDescent="0.2">
      <c r="A206" s="41">
        <v>10019999</v>
      </c>
      <c r="B206" s="41" t="s">
        <v>18</v>
      </c>
      <c r="C206" s="41" t="s">
        <v>78</v>
      </c>
      <c r="D206" s="42">
        <v>42338</v>
      </c>
      <c r="E206" s="41">
        <v>93606250</v>
      </c>
      <c r="F206" s="42">
        <v>42332</v>
      </c>
      <c r="G206" s="42">
        <v>42333</v>
      </c>
      <c r="H206" s="41">
        <v>1201483</v>
      </c>
      <c r="I206" s="41" t="s">
        <v>147</v>
      </c>
      <c r="J206" s="41">
        <v>1001169</v>
      </c>
      <c r="K206" s="41" t="s">
        <v>148</v>
      </c>
      <c r="L206" s="41">
        <v>1201483</v>
      </c>
      <c r="M206" s="41" t="s">
        <v>147</v>
      </c>
      <c r="N206" s="41">
        <v>95298</v>
      </c>
      <c r="O206" s="41" t="s">
        <v>181</v>
      </c>
      <c r="P206" s="41" t="s">
        <v>67</v>
      </c>
      <c r="Q206" s="41" t="s">
        <v>68</v>
      </c>
      <c r="R206" s="41">
        <v>289.5</v>
      </c>
      <c r="S206" s="41" t="s">
        <v>182</v>
      </c>
      <c r="T206" s="41" t="s">
        <v>63</v>
      </c>
      <c r="U206" s="41" t="s">
        <v>70</v>
      </c>
      <c r="V206" s="41" t="s">
        <v>76</v>
      </c>
      <c r="W206" s="42">
        <v>42338</v>
      </c>
      <c r="X206" s="41" t="s">
        <v>64</v>
      </c>
      <c r="Y206" s="42">
        <v>42338</v>
      </c>
      <c r="Z206" s="41"/>
      <c r="AA206" s="41"/>
      <c r="AB206" s="41"/>
      <c r="AC206" s="41" t="s">
        <v>183</v>
      </c>
      <c r="AD206" s="41">
        <v>3511807154</v>
      </c>
      <c r="AE206" s="41" t="s">
        <v>77</v>
      </c>
      <c r="AF206" s="41" t="s">
        <v>1290</v>
      </c>
    </row>
    <row r="207" spans="1:32" x14ac:dyDescent="0.2">
      <c r="A207" s="41">
        <v>10020000</v>
      </c>
      <c r="B207" s="41" t="s">
        <v>18</v>
      </c>
      <c r="C207" s="41" t="s">
        <v>78</v>
      </c>
      <c r="D207" s="42">
        <v>42338</v>
      </c>
      <c r="E207" s="41">
        <v>93600871</v>
      </c>
      <c r="F207" s="42">
        <v>42327</v>
      </c>
      <c r="G207" s="42">
        <v>42328</v>
      </c>
      <c r="H207" s="41">
        <v>1201483</v>
      </c>
      <c r="I207" s="41" t="s">
        <v>147</v>
      </c>
      <c r="J207" s="41">
        <v>1001169</v>
      </c>
      <c r="K207" s="41" t="s">
        <v>148</v>
      </c>
      <c r="L207" s="41">
        <v>1201483</v>
      </c>
      <c r="M207" s="41" t="s">
        <v>147</v>
      </c>
      <c r="N207" s="41">
        <v>94891</v>
      </c>
      <c r="O207" s="41" t="s">
        <v>181</v>
      </c>
      <c r="P207" s="41" t="s">
        <v>67</v>
      </c>
      <c r="Q207" s="41" t="s">
        <v>68</v>
      </c>
      <c r="R207" s="41">
        <v>14.5</v>
      </c>
      <c r="S207" s="41" t="s">
        <v>182</v>
      </c>
      <c r="T207" s="41" t="s">
        <v>63</v>
      </c>
      <c r="U207" s="41"/>
      <c r="V207" s="41"/>
      <c r="W207" s="41"/>
      <c r="X207" s="41" t="s">
        <v>64</v>
      </c>
      <c r="Y207" s="42">
        <v>42338</v>
      </c>
      <c r="Z207" s="41"/>
      <c r="AA207" s="41"/>
      <c r="AB207" s="41"/>
      <c r="AC207" s="41" t="s">
        <v>183</v>
      </c>
      <c r="AD207" s="41">
        <v>3511809394</v>
      </c>
      <c r="AE207" s="41"/>
      <c r="AF207" s="41"/>
    </row>
    <row r="208" spans="1:32" x14ac:dyDescent="0.2">
      <c r="A208" s="41">
        <v>10020001</v>
      </c>
      <c r="B208" s="41" t="s">
        <v>18</v>
      </c>
      <c r="C208" s="41" t="s">
        <v>78</v>
      </c>
      <c r="D208" s="42">
        <v>42338</v>
      </c>
      <c r="E208" s="41">
        <v>93602774</v>
      </c>
      <c r="F208" s="42">
        <v>42328</v>
      </c>
      <c r="G208" s="42">
        <v>42333</v>
      </c>
      <c r="H208" s="41">
        <v>1201315</v>
      </c>
      <c r="I208" s="41" t="s">
        <v>256</v>
      </c>
      <c r="J208" s="41">
        <v>1319929</v>
      </c>
      <c r="K208" s="41" t="s">
        <v>558</v>
      </c>
      <c r="L208" s="41">
        <v>1201315</v>
      </c>
      <c r="M208" s="41" t="s">
        <v>256</v>
      </c>
      <c r="N208" s="41">
        <v>5665781</v>
      </c>
      <c r="O208" s="41" t="s">
        <v>181</v>
      </c>
      <c r="P208" s="41" t="s">
        <v>67</v>
      </c>
      <c r="Q208" s="41" t="s">
        <v>68</v>
      </c>
      <c r="R208" s="41">
        <v>36</v>
      </c>
      <c r="S208" s="41" t="s">
        <v>182</v>
      </c>
      <c r="T208" s="41" t="s">
        <v>63</v>
      </c>
      <c r="U208" s="41"/>
      <c r="V208" s="41"/>
      <c r="W208" s="41"/>
      <c r="X208" s="41" t="s">
        <v>64</v>
      </c>
      <c r="Y208" s="42">
        <v>42338</v>
      </c>
      <c r="Z208" s="41"/>
      <c r="AA208" s="41"/>
      <c r="AB208" s="41"/>
      <c r="AC208" s="41" t="s">
        <v>183</v>
      </c>
      <c r="AD208" s="41">
        <v>3511809000</v>
      </c>
      <c r="AE208" s="41"/>
      <c r="AF208" s="41"/>
    </row>
    <row r="209" spans="1:32" x14ac:dyDescent="0.2">
      <c r="A209" s="41">
        <v>10020002</v>
      </c>
      <c r="B209" s="41" t="s">
        <v>18</v>
      </c>
      <c r="C209" s="41" t="s">
        <v>78</v>
      </c>
      <c r="D209" s="42">
        <v>42338</v>
      </c>
      <c r="E209" s="41">
        <v>93598273</v>
      </c>
      <c r="F209" s="42">
        <v>42325</v>
      </c>
      <c r="G209" s="41"/>
      <c r="H209" s="41">
        <v>1201047</v>
      </c>
      <c r="I209" s="41" t="s">
        <v>79</v>
      </c>
      <c r="J209" s="41">
        <v>1311671</v>
      </c>
      <c r="K209" s="41" t="s">
        <v>90</v>
      </c>
      <c r="L209" s="41">
        <v>1171089</v>
      </c>
      <c r="M209" s="41" t="s">
        <v>75</v>
      </c>
      <c r="N209" s="41">
        <v>21466511</v>
      </c>
      <c r="O209" s="41" t="s">
        <v>181</v>
      </c>
      <c r="P209" s="41" t="s">
        <v>91</v>
      </c>
      <c r="Q209" s="41" t="s">
        <v>92</v>
      </c>
      <c r="R209" s="41">
        <v>284.38</v>
      </c>
      <c r="S209" s="41" t="s">
        <v>182</v>
      </c>
      <c r="T209" s="41" t="s">
        <v>63</v>
      </c>
      <c r="U209" s="41"/>
      <c r="V209" s="41"/>
      <c r="W209" s="41"/>
      <c r="X209" s="41" t="s">
        <v>64</v>
      </c>
      <c r="Y209" s="42">
        <v>42338</v>
      </c>
      <c r="Z209" s="41"/>
      <c r="AA209" s="41"/>
      <c r="AB209" s="41"/>
      <c r="AC209" s="41" t="s">
        <v>183</v>
      </c>
      <c r="AD209" s="41" t="s">
        <v>1291</v>
      </c>
      <c r="AE209" s="41"/>
      <c r="AF209" s="41"/>
    </row>
    <row r="210" spans="1:32" x14ac:dyDescent="0.2">
      <c r="A210" s="41">
        <v>10020003</v>
      </c>
      <c r="B210" s="41" t="s">
        <v>18</v>
      </c>
      <c r="C210" s="41" t="s">
        <v>573</v>
      </c>
      <c r="D210" s="42">
        <v>42338</v>
      </c>
      <c r="E210" s="41">
        <v>93609244</v>
      </c>
      <c r="F210" s="42">
        <v>42335</v>
      </c>
      <c r="G210" s="41"/>
      <c r="H210" s="41">
        <v>1201120</v>
      </c>
      <c r="I210" s="41" t="s">
        <v>117</v>
      </c>
      <c r="J210" s="41">
        <v>1307782</v>
      </c>
      <c r="K210" s="41" t="s">
        <v>119</v>
      </c>
      <c r="L210" s="41">
        <v>1171090</v>
      </c>
      <c r="M210" s="41" t="s">
        <v>118</v>
      </c>
      <c r="N210" s="41" t="s">
        <v>1292</v>
      </c>
      <c r="O210" s="41" t="s">
        <v>181</v>
      </c>
      <c r="P210" s="41" t="s">
        <v>123</v>
      </c>
      <c r="Q210" s="41" t="s">
        <v>124</v>
      </c>
      <c r="R210" s="41">
        <v>210.72</v>
      </c>
      <c r="S210" s="41" t="s">
        <v>182</v>
      </c>
      <c r="T210" s="41" t="s">
        <v>63</v>
      </c>
      <c r="U210" s="41"/>
      <c r="V210" s="41"/>
      <c r="W210" s="41"/>
      <c r="X210" s="41"/>
      <c r="Y210" s="41"/>
      <c r="Z210" s="41"/>
      <c r="AA210" s="41"/>
      <c r="AB210" s="41"/>
      <c r="AC210" s="41" t="s">
        <v>183</v>
      </c>
      <c r="AD210" s="41" t="s">
        <v>1293</v>
      </c>
      <c r="AE210" s="41"/>
      <c r="AF210" s="41"/>
    </row>
    <row r="211" spans="1:32" x14ac:dyDescent="0.2">
      <c r="A211" s="41">
        <v>10020004</v>
      </c>
      <c r="B211" s="41" t="s">
        <v>18</v>
      </c>
      <c r="C211" s="41" t="s">
        <v>573</v>
      </c>
      <c r="D211" s="42">
        <v>42338</v>
      </c>
      <c r="E211" s="41">
        <v>93607415</v>
      </c>
      <c r="F211" s="42">
        <v>42333</v>
      </c>
      <c r="G211" s="41"/>
      <c r="H211" s="41">
        <v>1201120</v>
      </c>
      <c r="I211" s="41" t="s">
        <v>117</v>
      </c>
      <c r="J211" s="41">
        <v>1307782</v>
      </c>
      <c r="K211" s="41" t="s">
        <v>119</v>
      </c>
      <c r="L211" s="41">
        <v>1171090</v>
      </c>
      <c r="M211" s="41" t="s">
        <v>118</v>
      </c>
      <c r="N211" s="41" t="s">
        <v>1212</v>
      </c>
      <c r="O211" s="41" t="s">
        <v>181</v>
      </c>
      <c r="P211" s="41" t="s">
        <v>102</v>
      </c>
      <c r="Q211" s="41" t="s">
        <v>103</v>
      </c>
      <c r="R211" s="41">
        <v>7502.04</v>
      </c>
      <c r="S211" s="41" t="s">
        <v>182</v>
      </c>
      <c r="T211" s="41" t="s">
        <v>63</v>
      </c>
      <c r="U211" s="41"/>
      <c r="V211" s="41"/>
      <c r="W211" s="41"/>
      <c r="X211" s="41" t="s">
        <v>64</v>
      </c>
      <c r="Y211" s="42">
        <v>42338</v>
      </c>
      <c r="Z211" s="41"/>
      <c r="AA211" s="41"/>
      <c r="AB211" s="41"/>
      <c r="AC211" s="41" t="s">
        <v>183</v>
      </c>
      <c r="AD211" s="41" t="s">
        <v>1294</v>
      </c>
      <c r="AE211" s="41"/>
      <c r="AF211" s="41"/>
    </row>
    <row r="212" spans="1:32" x14ac:dyDescent="0.2">
      <c r="A212" s="41">
        <v>10020005</v>
      </c>
      <c r="B212" s="41" t="s">
        <v>18</v>
      </c>
      <c r="C212" s="41" t="s">
        <v>78</v>
      </c>
      <c r="D212" s="42">
        <v>42338</v>
      </c>
      <c r="E212" s="41">
        <v>93563042</v>
      </c>
      <c r="F212" s="42">
        <v>42296</v>
      </c>
      <c r="G212" s="41"/>
      <c r="H212" s="41">
        <v>1201675</v>
      </c>
      <c r="I212" s="41" t="s">
        <v>165</v>
      </c>
      <c r="J212" s="41">
        <v>1201675</v>
      </c>
      <c r="K212" s="41" t="s">
        <v>165</v>
      </c>
      <c r="L212" s="41">
        <v>1172015</v>
      </c>
      <c r="M212" s="41" t="s">
        <v>165</v>
      </c>
      <c r="N212" s="41" t="s">
        <v>1295</v>
      </c>
      <c r="O212" s="41" t="s">
        <v>181</v>
      </c>
      <c r="P212" s="41" t="s">
        <v>102</v>
      </c>
      <c r="Q212" s="41" t="s">
        <v>103</v>
      </c>
      <c r="R212" s="41">
        <v>16150.44</v>
      </c>
      <c r="S212" s="41" t="s">
        <v>182</v>
      </c>
      <c r="T212" s="41" t="s">
        <v>63</v>
      </c>
      <c r="U212" s="41"/>
      <c r="V212" s="41"/>
      <c r="W212" s="41"/>
      <c r="X212" s="41" t="s">
        <v>64</v>
      </c>
      <c r="Y212" s="42">
        <v>42338</v>
      </c>
      <c r="Z212" s="41"/>
      <c r="AA212" s="41"/>
      <c r="AB212" s="41"/>
      <c r="AC212" s="41" t="s">
        <v>183</v>
      </c>
      <c r="AD212" s="41">
        <v>649275081406</v>
      </c>
      <c r="AE212" s="41"/>
      <c r="AF212" s="41"/>
    </row>
    <row r="213" spans="1:32" x14ac:dyDescent="0.2">
      <c r="A213" s="41">
        <v>10020006</v>
      </c>
      <c r="B213" s="41" t="s">
        <v>18</v>
      </c>
      <c r="C213" s="41" t="s">
        <v>78</v>
      </c>
      <c r="D213" s="42">
        <v>42338</v>
      </c>
      <c r="E213" s="41">
        <v>93602866</v>
      </c>
      <c r="F213" s="42">
        <v>42328</v>
      </c>
      <c r="G213" s="42">
        <v>42332</v>
      </c>
      <c r="H213" s="41">
        <v>1201605</v>
      </c>
      <c r="I213" s="41" t="s">
        <v>155</v>
      </c>
      <c r="J213" s="41">
        <v>1023292</v>
      </c>
      <c r="K213" s="41" t="s">
        <v>155</v>
      </c>
      <c r="L213" s="41">
        <v>1172017</v>
      </c>
      <c r="M213" s="41" t="s">
        <v>155</v>
      </c>
      <c r="N213" s="41">
        <v>546912</v>
      </c>
      <c r="O213" s="41" t="s">
        <v>181</v>
      </c>
      <c r="P213" s="41" t="s">
        <v>67</v>
      </c>
      <c r="Q213" s="41" t="s">
        <v>68</v>
      </c>
      <c r="R213" s="41">
        <v>529.41</v>
      </c>
      <c r="S213" s="41" t="s">
        <v>182</v>
      </c>
      <c r="T213" s="41" t="s">
        <v>63</v>
      </c>
      <c r="U213" s="41"/>
      <c r="V213" s="41"/>
      <c r="W213" s="41"/>
      <c r="X213" s="41" t="s">
        <v>64</v>
      </c>
      <c r="Y213" s="42">
        <v>42338</v>
      </c>
      <c r="Z213" s="41"/>
      <c r="AA213" s="41"/>
      <c r="AB213" s="41"/>
      <c r="AC213" s="41" t="s">
        <v>183</v>
      </c>
      <c r="AD213" s="41">
        <v>3511808996</v>
      </c>
      <c r="AE213" s="41"/>
      <c r="AF213" s="41"/>
    </row>
    <row r="214" spans="1:32" x14ac:dyDescent="0.2">
      <c r="A214" s="41">
        <v>10020007</v>
      </c>
      <c r="B214" s="41" t="s">
        <v>18</v>
      </c>
      <c r="C214" s="41" t="s">
        <v>573</v>
      </c>
      <c r="D214" s="42">
        <v>42338</v>
      </c>
      <c r="E214" s="41">
        <v>93609240</v>
      </c>
      <c r="F214" s="42">
        <v>42335</v>
      </c>
      <c r="G214" s="41"/>
      <c r="H214" s="41">
        <v>1201120</v>
      </c>
      <c r="I214" s="41" t="s">
        <v>117</v>
      </c>
      <c r="J214" s="41">
        <v>1307782</v>
      </c>
      <c r="K214" s="41" t="s">
        <v>119</v>
      </c>
      <c r="L214" s="41">
        <v>1171090</v>
      </c>
      <c r="M214" s="41" t="s">
        <v>118</v>
      </c>
      <c r="N214" s="41" t="s">
        <v>1260</v>
      </c>
      <c r="O214" s="41" t="s">
        <v>181</v>
      </c>
      <c r="P214" s="41" t="s">
        <v>870</v>
      </c>
      <c r="Q214" s="41" t="s">
        <v>871</v>
      </c>
      <c r="R214" s="41">
        <v>1534.14</v>
      </c>
      <c r="S214" s="41" t="s">
        <v>182</v>
      </c>
      <c r="T214" s="41" t="s">
        <v>63</v>
      </c>
      <c r="U214" s="41"/>
      <c r="V214" s="41"/>
      <c r="W214" s="41"/>
      <c r="X214" s="41" t="s">
        <v>64</v>
      </c>
      <c r="Y214" s="42">
        <v>42338</v>
      </c>
      <c r="Z214" s="41"/>
      <c r="AA214" s="41"/>
      <c r="AB214" s="41"/>
      <c r="AC214" s="41" t="s">
        <v>183</v>
      </c>
      <c r="AD214" s="41" t="s">
        <v>1286</v>
      </c>
      <c r="AE214" s="41"/>
      <c r="AF214" s="41"/>
    </row>
    <row r="215" spans="1:32" x14ac:dyDescent="0.2">
      <c r="A215" s="41">
        <v>10020008</v>
      </c>
      <c r="B215" s="41" t="s">
        <v>26</v>
      </c>
      <c r="C215" s="41" t="s">
        <v>573</v>
      </c>
      <c r="D215" s="42">
        <v>42338</v>
      </c>
      <c r="E215" s="41">
        <v>93606423</v>
      </c>
      <c r="F215" s="42">
        <v>42332</v>
      </c>
      <c r="G215" s="41"/>
      <c r="H215" s="41">
        <v>1338942</v>
      </c>
      <c r="I215" s="41" t="s">
        <v>1296</v>
      </c>
      <c r="J215" s="41">
        <v>1338943</v>
      </c>
      <c r="K215" s="41" t="s">
        <v>1296</v>
      </c>
      <c r="L215" s="41">
        <v>1338942</v>
      </c>
      <c r="M215" s="41" t="s">
        <v>1296</v>
      </c>
      <c r="N215" s="41" t="s">
        <v>1297</v>
      </c>
      <c r="O215" s="41" t="s">
        <v>181</v>
      </c>
      <c r="P215" s="41" t="s">
        <v>97</v>
      </c>
      <c r="Q215" s="41" t="s">
        <v>98</v>
      </c>
      <c r="R215" s="41">
        <v>757.44</v>
      </c>
      <c r="S215" s="41" t="s">
        <v>182</v>
      </c>
      <c r="T215" s="41" t="s">
        <v>63</v>
      </c>
      <c r="U215" s="41"/>
      <c r="V215" s="41"/>
      <c r="W215" s="41"/>
      <c r="X215" s="41" t="s">
        <v>64</v>
      </c>
      <c r="Y215" s="42">
        <v>42338</v>
      </c>
      <c r="Z215" s="41"/>
      <c r="AA215" s="41"/>
      <c r="AB215" s="41"/>
      <c r="AC215" s="41" t="s">
        <v>183</v>
      </c>
      <c r="AD215" s="41" t="s">
        <v>1298</v>
      </c>
      <c r="AE215" s="41"/>
      <c r="AF215" s="41"/>
    </row>
    <row r="216" spans="1:32" x14ac:dyDescent="0.2">
      <c r="A216" s="41">
        <v>10020009</v>
      </c>
      <c r="B216" s="41" t="s">
        <v>26</v>
      </c>
      <c r="C216" s="41" t="s">
        <v>573</v>
      </c>
      <c r="D216" s="42">
        <v>42338</v>
      </c>
      <c r="E216" s="41">
        <v>93604487</v>
      </c>
      <c r="F216" s="42">
        <v>42331</v>
      </c>
      <c r="G216" s="41"/>
      <c r="H216" s="41">
        <v>1318826</v>
      </c>
      <c r="I216" s="41" t="s">
        <v>110</v>
      </c>
      <c r="J216" s="41">
        <v>1334311</v>
      </c>
      <c r="K216" s="41" t="s">
        <v>113</v>
      </c>
      <c r="L216" s="41">
        <v>1318826</v>
      </c>
      <c r="M216" s="41" t="s">
        <v>110</v>
      </c>
      <c r="N216" s="41">
        <v>2053126</v>
      </c>
      <c r="O216" s="41" t="s">
        <v>181</v>
      </c>
      <c r="P216" s="41" t="s">
        <v>91</v>
      </c>
      <c r="Q216" s="41" t="s">
        <v>92</v>
      </c>
      <c r="R216" s="41">
        <v>401.16</v>
      </c>
      <c r="S216" s="41" t="s">
        <v>182</v>
      </c>
      <c r="T216" s="41" t="s">
        <v>63</v>
      </c>
      <c r="U216" s="41"/>
      <c r="V216" s="41"/>
      <c r="W216" s="41"/>
      <c r="X216" s="41" t="s">
        <v>64</v>
      </c>
      <c r="Y216" s="42">
        <v>42338</v>
      </c>
      <c r="Z216" s="41"/>
      <c r="AA216" s="41"/>
      <c r="AB216" s="41"/>
      <c r="AC216" s="41" t="s">
        <v>183</v>
      </c>
      <c r="AD216" s="41" t="s">
        <v>1299</v>
      </c>
      <c r="AE216" s="41"/>
      <c r="AF216" s="41"/>
    </row>
    <row r="217" spans="1:32" x14ac:dyDescent="0.2">
      <c r="A217" s="41">
        <v>10020010</v>
      </c>
      <c r="B217" s="41" t="s">
        <v>26</v>
      </c>
      <c r="C217" s="41" t="s">
        <v>78</v>
      </c>
      <c r="D217" s="42">
        <v>42338</v>
      </c>
      <c r="E217" s="41">
        <v>93604076</v>
      </c>
      <c r="F217" s="42">
        <v>42331</v>
      </c>
      <c r="G217" s="41"/>
      <c r="H217" s="41">
        <v>1201047</v>
      </c>
      <c r="I217" s="41" t="s">
        <v>79</v>
      </c>
      <c r="J217" s="41">
        <v>1038994</v>
      </c>
      <c r="K217" s="41" t="s">
        <v>80</v>
      </c>
      <c r="L217" s="41">
        <v>1171089</v>
      </c>
      <c r="M217" s="41" t="s">
        <v>75</v>
      </c>
      <c r="N217" s="41">
        <v>40444059</v>
      </c>
      <c r="O217" s="41" t="s">
        <v>181</v>
      </c>
      <c r="P217" s="41" t="s">
        <v>86</v>
      </c>
      <c r="Q217" s="41" t="s">
        <v>87</v>
      </c>
      <c r="R217" s="41">
        <v>30</v>
      </c>
      <c r="S217" s="41" t="s">
        <v>182</v>
      </c>
      <c r="T217" s="41" t="s">
        <v>63</v>
      </c>
      <c r="U217" s="41"/>
      <c r="V217" s="41"/>
      <c r="W217" s="41"/>
      <c r="X217" s="41" t="s">
        <v>64</v>
      </c>
      <c r="Y217" s="42">
        <v>42338</v>
      </c>
      <c r="Z217" s="41"/>
      <c r="AA217" s="41"/>
      <c r="AB217" s="41"/>
      <c r="AC217" s="41" t="s">
        <v>183</v>
      </c>
      <c r="AD217" s="41" t="s">
        <v>1300</v>
      </c>
      <c r="AE217" s="41"/>
      <c r="AF217" s="41"/>
    </row>
    <row r="218" spans="1:32" x14ac:dyDescent="0.2">
      <c r="A218" s="41">
        <v>10020012</v>
      </c>
      <c r="B218" s="41" t="s">
        <v>25</v>
      </c>
      <c r="C218" s="41" t="s">
        <v>149</v>
      </c>
      <c r="D218" s="42">
        <v>42338</v>
      </c>
      <c r="E218" s="41">
        <v>93163327</v>
      </c>
      <c r="F218" s="42">
        <v>42009</v>
      </c>
      <c r="G218" s="41"/>
      <c r="H218" s="41">
        <v>1318826</v>
      </c>
      <c r="I218" s="41" t="s">
        <v>110</v>
      </c>
      <c r="J218" s="41">
        <v>1061223</v>
      </c>
      <c r="K218" s="41" t="s">
        <v>113</v>
      </c>
      <c r="L218" s="41">
        <v>1318826</v>
      </c>
      <c r="M218" s="41" t="s">
        <v>110</v>
      </c>
      <c r="N218" s="41">
        <v>1027891</v>
      </c>
      <c r="O218" s="41" t="s">
        <v>181</v>
      </c>
      <c r="P218" s="41" t="s">
        <v>102</v>
      </c>
      <c r="Q218" s="41" t="s">
        <v>103</v>
      </c>
      <c r="R218" s="41">
        <v>73072.800000000003</v>
      </c>
      <c r="S218" s="41" t="s">
        <v>182</v>
      </c>
      <c r="T218" s="41" t="s">
        <v>63</v>
      </c>
      <c r="U218" s="41"/>
      <c r="V218" s="41"/>
      <c r="W218" s="41"/>
      <c r="X218" s="41" t="s">
        <v>64</v>
      </c>
      <c r="Y218" s="42">
        <v>42338</v>
      </c>
      <c r="Z218" s="41"/>
      <c r="AA218" s="41"/>
      <c r="AB218" s="41"/>
      <c r="AC218" s="41" t="s">
        <v>183</v>
      </c>
      <c r="AD218" s="41">
        <v>626414831244</v>
      </c>
      <c r="AE218" s="41"/>
      <c r="AF218" s="41"/>
    </row>
    <row r="219" spans="1:32" x14ac:dyDescent="0.2">
      <c r="A219" s="41">
        <v>10020013</v>
      </c>
      <c r="B219" s="41" t="s">
        <v>25</v>
      </c>
      <c r="C219" s="41" t="s">
        <v>149</v>
      </c>
      <c r="D219" s="42">
        <v>42338</v>
      </c>
      <c r="E219" s="41">
        <v>93163328</v>
      </c>
      <c r="F219" s="42">
        <v>42009</v>
      </c>
      <c r="G219" s="41"/>
      <c r="H219" s="41">
        <v>1318826</v>
      </c>
      <c r="I219" s="41" t="s">
        <v>110</v>
      </c>
      <c r="J219" s="41">
        <v>1061223</v>
      </c>
      <c r="K219" s="41" t="s">
        <v>113</v>
      </c>
      <c r="L219" s="41">
        <v>1318826</v>
      </c>
      <c r="M219" s="41" t="s">
        <v>110</v>
      </c>
      <c r="N219" s="41">
        <v>1027902</v>
      </c>
      <c r="O219" s="41" t="s">
        <v>181</v>
      </c>
      <c r="P219" s="41" t="s">
        <v>102</v>
      </c>
      <c r="Q219" s="41" t="s">
        <v>103</v>
      </c>
      <c r="R219" s="41">
        <v>162604.32</v>
      </c>
      <c r="S219" s="41" t="s">
        <v>182</v>
      </c>
      <c r="T219" s="41" t="s">
        <v>63</v>
      </c>
      <c r="U219" s="41"/>
      <c r="V219" s="41"/>
      <c r="W219" s="41"/>
      <c r="X219" s="41" t="s">
        <v>64</v>
      </c>
      <c r="Y219" s="42">
        <v>42338</v>
      </c>
      <c r="Z219" s="41"/>
      <c r="AA219" s="41"/>
      <c r="AB219" s="41"/>
      <c r="AC219" s="41" t="s">
        <v>183</v>
      </c>
      <c r="AD219" s="41" t="s">
        <v>1301</v>
      </c>
      <c r="AE219" s="41"/>
      <c r="AF219" s="41"/>
    </row>
    <row r="220" spans="1:32" x14ac:dyDescent="0.2">
      <c r="A220" s="41">
        <v>10020014</v>
      </c>
      <c r="B220" s="41" t="s">
        <v>25</v>
      </c>
      <c r="C220" s="41" t="s">
        <v>149</v>
      </c>
      <c r="D220" s="42">
        <v>42338</v>
      </c>
      <c r="E220" s="41">
        <v>93180828</v>
      </c>
      <c r="F220" s="42">
        <v>42018</v>
      </c>
      <c r="G220" s="41"/>
      <c r="H220" s="41">
        <v>1318826</v>
      </c>
      <c r="I220" s="41" t="s">
        <v>110</v>
      </c>
      <c r="J220" s="41">
        <v>1061223</v>
      </c>
      <c r="K220" s="41" t="s">
        <v>113</v>
      </c>
      <c r="L220" s="41">
        <v>1318826</v>
      </c>
      <c r="M220" s="41" t="s">
        <v>110</v>
      </c>
      <c r="N220" s="41">
        <v>1028021</v>
      </c>
      <c r="O220" s="41" t="s">
        <v>181</v>
      </c>
      <c r="P220" s="41" t="s">
        <v>91</v>
      </c>
      <c r="Q220" s="41" t="s">
        <v>92</v>
      </c>
      <c r="R220" s="41">
        <v>62016</v>
      </c>
      <c r="S220" s="41" t="s">
        <v>182</v>
      </c>
      <c r="T220" s="41" t="s">
        <v>63</v>
      </c>
      <c r="U220" s="41"/>
      <c r="V220" s="41"/>
      <c r="W220" s="41"/>
      <c r="X220" s="41" t="s">
        <v>64</v>
      </c>
      <c r="Y220" s="42">
        <v>42338</v>
      </c>
      <c r="Z220" s="41"/>
      <c r="AA220" s="41"/>
      <c r="AB220" s="41"/>
      <c r="AC220" s="41" t="s">
        <v>183</v>
      </c>
      <c r="AD220" s="41" t="s">
        <v>1302</v>
      </c>
      <c r="AE220" s="41"/>
      <c r="AF220" s="41"/>
    </row>
    <row r="221" spans="1:32" x14ac:dyDescent="0.2">
      <c r="A221" s="41">
        <v>10020015</v>
      </c>
      <c r="B221" s="41" t="s">
        <v>25</v>
      </c>
      <c r="C221" s="41" t="s">
        <v>149</v>
      </c>
      <c r="D221" s="42">
        <v>42338</v>
      </c>
      <c r="E221" s="41">
        <v>93180829</v>
      </c>
      <c r="F221" s="42">
        <v>42018</v>
      </c>
      <c r="G221" s="41"/>
      <c r="H221" s="41">
        <v>1318826</v>
      </c>
      <c r="I221" s="41" t="s">
        <v>110</v>
      </c>
      <c r="J221" s="41">
        <v>1061223</v>
      </c>
      <c r="K221" s="41" t="s">
        <v>113</v>
      </c>
      <c r="L221" s="41">
        <v>1318826</v>
      </c>
      <c r="M221" s="41" t="s">
        <v>110</v>
      </c>
      <c r="N221" s="41">
        <v>1028022</v>
      </c>
      <c r="O221" s="41" t="s">
        <v>181</v>
      </c>
      <c r="P221" s="41" t="s">
        <v>91</v>
      </c>
      <c r="Q221" s="41" t="s">
        <v>92</v>
      </c>
      <c r="R221" s="41">
        <v>176125.44</v>
      </c>
      <c r="S221" s="41" t="s">
        <v>182</v>
      </c>
      <c r="T221" s="41" t="s">
        <v>63</v>
      </c>
      <c r="U221" s="41"/>
      <c r="V221" s="41"/>
      <c r="W221" s="41"/>
      <c r="X221" s="41" t="s">
        <v>64</v>
      </c>
      <c r="Y221" s="42">
        <v>42338</v>
      </c>
      <c r="Z221" s="41"/>
      <c r="AA221" s="41"/>
      <c r="AB221" s="41"/>
      <c r="AC221" s="41" t="s">
        <v>183</v>
      </c>
      <c r="AD221" s="41" t="s">
        <v>1302</v>
      </c>
      <c r="AE221" s="41"/>
      <c r="AF221" s="41"/>
    </row>
    <row r="222" spans="1:32" x14ac:dyDescent="0.2">
      <c r="A222" s="41">
        <v>10020016</v>
      </c>
      <c r="B222" s="41" t="s">
        <v>25</v>
      </c>
      <c r="C222" s="41" t="s">
        <v>149</v>
      </c>
      <c r="D222" s="42">
        <v>42338</v>
      </c>
      <c r="E222" s="41">
        <v>93180859</v>
      </c>
      <c r="F222" s="42">
        <v>42018</v>
      </c>
      <c r="G222" s="41"/>
      <c r="H222" s="41">
        <v>1318826</v>
      </c>
      <c r="I222" s="41" t="s">
        <v>110</v>
      </c>
      <c r="J222" s="41">
        <v>1061223</v>
      </c>
      <c r="K222" s="41" t="s">
        <v>113</v>
      </c>
      <c r="L222" s="41">
        <v>1318826</v>
      </c>
      <c r="M222" s="41" t="s">
        <v>110</v>
      </c>
      <c r="N222" s="41">
        <v>1028047</v>
      </c>
      <c r="O222" s="41" t="s">
        <v>181</v>
      </c>
      <c r="P222" s="41" t="s">
        <v>91</v>
      </c>
      <c r="Q222" s="41" t="s">
        <v>92</v>
      </c>
      <c r="R222" s="41">
        <v>54663.839999999997</v>
      </c>
      <c r="S222" s="41" t="s">
        <v>182</v>
      </c>
      <c r="T222" s="41" t="s">
        <v>63</v>
      </c>
      <c r="U222" s="41"/>
      <c r="V222" s="41"/>
      <c r="W222" s="41"/>
      <c r="X222" s="41" t="s">
        <v>64</v>
      </c>
      <c r="Y222" s="42">
        <v>42338</v>
      </c>
      <c r="Z222" s="41"/>
      <c r="AA222" s="41"/>
      <c r="AB222" s="41"/>
      <c r="AC222" s="41" t="s">
        <v>183</v>
      </c>
      <c r="AD222" s="41" t="s">
        <v>1302</v>
      </c>
      <c r="AE222" s="41"/>
      <c r="AF222" s="41"/>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269"/>
  <sheetViews>
    <sheetView workbookViewId="0">
      <selection sqref="A1:XFD1048576"/>
    </sheetView>
  </sheetViews>
  <sheetFormatPr defaultRowHeight="12.75" x14ac:dyDescent="0.2"/>
  <cols>
    <col min="1" max="1" width="9" bestFit="1" customWidth="1"/>
    <col min="2" max="2" width="7.140625" bestFit="1" customWidth="1"/>
    <col min="3" max="3" width="18" bestFit="1" customWidth="1"/>
    <col min="4" max="4" width="12.5703125" bestFit="1" customWidth="1"/>
    <col min="5" max="5" width="10.140625" bestFit="1" customWidth="1"/>
    <col min="6" max="6" width="13.28515625" bestFit="1" customWidth="1"/>
    <col min="7" max="7" width="5" bestFit="1" customWidth="1"/>
    <col min="8" max="9" width="10.140625" bestFit="1" customWidth="1"/>
    <col min="10" max="10" width="8" bestFit="1" customWidth="1"/>
    <col min="11" max="11" width="40.85546875" bestFit="1" customWidth="1"/>
    <col min="12" max="12" width="8" bestFit="1" customWidth="1"/>
    <col min="13" max="13" width="44.140625" bestFit="1" customWidth="1"/>
    <col min="14" max="14" width="8" bestFit="1" customWidth="1"/>
    <col min="15" max="15" width="40.85546875" bestFit="1" customWidth="1"/>
    <col min="16" max="16" width="19.7109375" bestFit="1" customWidth="1"/>
    <col min="17" max="17" width="6.42578125" bestFit="1" customWidth="1"/>
    <col min="18" max="18" width="10.85546875" bestFit="1" customWidth="1"/>
    <col min="19" max="19" width="12" bestFit="1" customWidth="1"/>
    <col min="20" max="20" width="46.42578125" bestFit="1" customWidth="1"/>
    <col min="21" max="21" width="19.28515625" bestFit="1" customWidth="1"/>
    <col min="22" max="22" width="26.42578125" bestFit="1" customWidth="1"/>
    <col min="23" max="23" width="8.7109375" bestFit="1" customWidth="1"/>
    <col min="24" max="24" width="12.42578125" bestFit="1" customWidth="1"/>
    <col min="25" max="25" width="7.5703125" bestFit="1" customWidth="1"/>
    <col min="26" max="26" width="7.28515625" bestFit="1" customWidth="1"/>
    <col min="27" max="27" width="5.28515625" bestFit="1" customWidth="1"/>
    <col min="28" max="28" width="7.5703125" bestFit="1" customWidth="1"/>
    <col min="29" max="29" width="8.42578125" bestFit="1" customWidth="1"/>
    <col min="30" max="30" width="8.7109375" bestFit="1" customWidth="1"/>
    <col min="31" max="31" width="4.85546875" bestFit="1" customWidth="1"/>
    <col min="32" max="32" width="12.7109375" bestFit="1" customWidth="1"/>
    <col min="33" max="33" width="10.140625" bestFit="1" customWidth="1"/>
    <col min="34" max="34" width="4.85546875" bestFit="1" customWidth="1"/>
    <col min="35" max="35" width="5.5703125" bestFit="1" customWidth="1"/>
    <col min="36" max="36" width="6.7109375" bestFit="1" customWidth="1"/>
    <col min="37" max="37" width="12.7109375" bestFit="1" customWidth="1"/>
    <col min="38" max="38" width="9.85546875" bestFit="1" customWidth="1"/>
    <col min="39" max="39" width="17.42578125" bestFit="1" customWidth="1"/>
    <col min="40" max="40" width="37" bestFit="1" customWidth="1"/>
    <col min="41" max="41" width="16.85546875" bestFit="1" customWidth="1"/>
    <col min="42" max="42" width="15.85546875" bestFit="1" customWidth="1"/>
    <col min="43" max="43" width="18.28515625" bestFit="1" customWidth="1"/>
    <col min="44" max="44" width="11.5703125" bestFit="1" customWidth="1"/>
    <col min="45" max="45" width="12.5703125" bestFit="1" customWidth="1"/>
    <col min="46" max="46" width="17.85546875" bestFit="1" customWidth="1"/>
    <col min="47" max="47" width="15.140625" bestFit="1" customWidth="1"/>
    <col min="48" max="48" width="33.85546875" bestFit="1" customWidth="1"/>
    <col min="49" max="49" width="114.5703125" bestFit="1" customWidth="1"/>
  </cols>
  <sheetData>
    <row r="1" spans="1:49" x14ac:dyDescent="0.2">
      <c r="A1" s="44" t="s">
        <v>31</v>
      </c>
      <c r="B1" s="44" t="s">
        <v>1303</v>
      </c>
      <c r="C1" s="44" t="s">
        <v>4</v>
      </c>
      <c r="D1" s="44" t="s">
        <v>32</v>
      </c>
      <c r="E1" s="44" t="s">
        <v>33</v>
      </c>
      <c r="F1" s="44" t="s">
        <v>175</v>
      </c>
      <c r="G1" s="44" t="s">
        <v>1304</v>
      </c>
      <c r="H1" s="44" t="s">
        <v>34</v>
      </c>
      <c r="I1" s="44" t="s">
        <v>176</v>
      </c>
      <c r="J1" s="44" t="s">
        <v>35</v>
      </c>
      <c r="K1" s="44" t="s">
        <v>36</v>
      </c>
      <c r="L1" s="44" t="s">
        <v>37</v>
      </c>
      <c r="M1" s="44" t="s">
        <v>38</v>
      </c>
      <c r="N1" s="44" t="s">
        <v>39</v>
      </c>
      <c r="O1" s="44" t="s">
        <v>40</v>
      </c>
      <c r="P1" s="44" t="s">
        <v>41</v>
      </c>
      <c r="Q1" s="44" t="s">
        <v>177</v>
      </c>
      <c r="R1" s="44" t="s">
        <v>42</v>
      </c>
      <c r="S1" s="44" t="s">
        <v>1305</v>
      </c>
      <c r="T1" s="44" t="s">
        <v>1306</v>
      </c>
      <c r="U1" s="44" t="s">
        <v>1307</v>
      </c>
      <c r="V1" s="44" t="s">
        <v>1308</v>
      </c>
      <c r="W1" s="44" t="s">
        <v>1309</v>
      </c>
      <c r="X1" s="44" t="s">
        <v>1310</v>
      </c>
      <c r="Y1" s="44" t="s">
        <v>1311</v>
      </c>
      <c r="Z1" s="44" t="s">
        <v>1312</v>
      </c>
      <c r="AA1" s="44" t="s">
        <v>1313</v>
      </c>
      <c r="AB1" s="44" t="s">
        <v>1314</v>
      </c>
      <c r="AC1" s="44" t="s">
        <v>1315</v>
      </c>
      <c r="AD1" s="44" t="s">
        <v>1316</v>
      </c>
      <c r="AE1" s="44" t="s">
        <v>1317</v>
      </c>
      <c r="AF1" s="44" t="s">
        <v>1318</v>
      </c>
      <c r="AG1" s="44" t="s">
        <v>1319</v>
      </c>
      <c r="AH1" s="44" t="s">
        <v>1317</v>
      </c>
      <c r="AI1" s="44" t="s">
        <v>178</v>
      </c>
      <c r="AJ1" s="44" t="s">
        <v>43</v>
      </c>
      <c r="AK1" s="44" t="s">
        <v>543</v>
      </c>
      <c r="AL1" s="44" t="s">
        <v>46</v>
      </c>
      <c r="AM1" s="44" t="s">
        <v>47</v>
      </c>
      <c r="AN1" s="44" t="s">
        <v>48</v>
      </c>
      <c r="AO1" s="44" t="s">
        <v>49</v>
      </c>
      <c r="AP1" s="44" t="s">
        <v>50</v>
      </c>
      <c r="AQ1" s="44" t="s">
        <v>51</v>
      </c>
      <c r="AR1" s="44" t="s">
        <v>52</v>
      </c>
      <c r="AS1" s="44" t="s">
        <v>53</v>
      </c>
      <c r="AT1" s="44" t="s">
        <v>54</v>
      </c>
      <c r="AU1" s="44" t="s">
        <v>55</v>
      </c>
      <c r="AV1" s="44" t="s">
        <v>56</v>
      </c>
      <c r="AW1" s="44" t="s">
        <v>57</v>
      </c>
    </row>
    <row r="2" spans="1:49" x14ac:dyDescent="0.2">
      <c r="A2" s="45">
        <v>888184</v>
      </c>
      <c r="B2" s="45">
        <v>10</v>
      </c>
      <c r="C2" s="45"/>
      <c r="D2" s="45" t="s">
        <v>573</v>
      </c>
      <c r="E2" s="46">
        <v>42342</v>
      </c>
      <c r="F2" s="45"/>
      <c r="G2" s="45">
        <v>10</v>
      </c>
      <c r="H2" s="46">
        <v>39205</v>
      </c>
      <c r="I2" s="46">
        <v>39209</v>
      </c>
      <c r="J2" s="45">
        <v>1201519</v>
      </c>
      <c r="K2" s="45" t="s">
        <v>668</v>
      </c>
      <c r="L2" s="45">
        <v>1323187</v>
      </c>
      <c r="M2" s="45" t="s">
        <v>669</v>
      </c>
      <c r="N2" s="45">
        <v>1201519</v>
      </c>
      <c r="O2" s="45" t="s">
        <v>668</v>
      </c>
      <c r="P2" s="45" t="s">
        <v>1320</v>
      </c>
      <c r="Q2" s="45"/>
      <c r="R2" s="45"/>
      <c r="S2" s="45">
        <v>591562110</v>
      </c>
      <c r="T2" s="45" t="s">
        <v>1321</v>
      </c>
      <c r="U2" s="45" t="s">
        <v>1322</v>
      </c>
      <c r="V2" s="45" t="s">
        <v>1323</v>
      </c>
      <c r="W2" s="45">
        <v>4</v>
      </c>
      <c r="X2" s="45"/>
      <c r="Y2" s="45">
        <v>0</v>
      </c>
      <c r="Z2" s="45">
        <v>48</v>
      </c>
      <c r="AA2" s="45" t="s">
        <v>1324</v>
      </c>
      <c r="AB2" s="45">
        <v>48</v>
      </c>
      <c r="AC2" s="45" t="s">
        <v>1325</v>
      </c>
      <c r="AD2" s="45">
        <v>9.9700000000000006</v>
      </c>
      <c r="AE2" s="45" t="s">
        <v>182</v>
      </c>
      <c r="AF2" s="45">
        <v>0</v>
      </c>
      <c r="AG2" s="45">
        <v>478.56</v>
      </c>
      <c r="AH2" s="45" t="s">
        <v>182</v>
      </c>
      <c r="AI2" s="45" t="s">
        <v>181</v>
      </c>
      <c r="AJ2" s="45" t="s">
        <v>1326</v>
      </c>
      <c r="AK2" s="45"/>
      <c r="AL2" s="45" t="s">
        <v>120</v>
      </c>
      <c r="AM2" s="45"/>
      <c r="AN2" s="45"/>
      <c r="AO2" s="45"/>
      <c r="AP2" s="45"/>
      <c r="AQ2" s="45"/>
      <c r="AR2" s="45"/>
      <c r="AS2" s="45"/>
      <c r="AT2" s="45"/>
      <c r="AU2" s="45">
        <v>1231261112</v>
      </c>
      <c r="AV2" s="45"/>
      <c r="AW2" s="45"/>
    </row>
    <row r="3" spans="1:49" x14ac:dyDescent="0.2">
      <c r="A3" s="47">
        <v>893501</v>
      </c>
      <c r="B3" s="47">
        <v>10</v>
      </c>
      <c r="C3" s="47"/>
      <c r="D3" s="47" t="s">
        <v>573</v>
      </c>
      <c r="E3" s="48">
        <v>42360</v>
      </c>
      <c r="F3" s="47"/>
      <c r="G3" s="47">
        <v>10</v>
      </c>
      <c r="H3" s="48">
        <v>39213</v>
      </c>
      <c r="I3" s="48">
        <v>39216</v>
      </c>
      <c r="J3" s="47">
        <v>1338966</v>
      </c>
      <c r="K3" s="47" t="s">
        <v>1327</v>
      </c>
      <c r="L3" s="47">
        <v>1309943</v>
      </c>
      <c r="M3" s="47" t="s">
        <v>1327</v>
      </c>
      <c r="N3" s="47">
        <v>1338966</v>
      </c>
      <c r="O3" s="47" t="s">
        <v>1327</v>
      </c>
      <c r="P3" s="47" t="s">
        <v>1328</v>
      </c>
      <c r="Q3" s="47"/>
      <c r="R3" s="47"/>
      <c r="S3" s="47">
        <v>472023516</v>
      </c>
      <c r="T3" s="47" t="s">
        <v>1329</v>
      </c>
      <c r="U3" s="47" t="s">
        <v>1322</v>
      </c>
      <c r="V3" s="47" t="s">
        <v>1330</v>
      </c>
      <c r="W3" s="47" t="s">
        <v>1331</v>
      </c>
      <c r="X3" s="47"/>
      <c r="Y3" s="47">
        <v>0</v>
      </c>
      <c r="Z3" s="47">
        <v>60</v>
      </c>
      <c r="AA3" s="47" t="s">
        <v>1332</v>
      </c>
      <c r="AB3" s="47">
        <v>12</v>
      </c>
      <c r="AC3" s="47" t="s">
        <v>1333</v>
      </c>
      <c r="AD3" s="47">
        <v>10.41</v>
      </c>
      <c r="AE3" s="47" t="s">
        <v>182</v>
      </c>
      <c r="AF3" s="47">
        <v>0</v>
      </c>
      <c r="AG3" s="47">
        <v>624.6</v>
      </c>
      <c r="AH3" s="47" t="s">
        <v>182</v>
      </c>
      <c r="AI3" s="47" t="s">
        <v>181</v>
      </c>
      <c r="AJ3" s="47" t="s">
        <v>102</v>
      </c>
      <c r="AK3" s="47"/>
      <c r="AL3" s="47" t="s">
        <v>120</v>
      </c>
      <c r="AM3" s="47"/>
      <c r="AN3" s="47"/>
      <c r="AO3" s="47"/>
      <c r="AP3" s="47"/>
      <c r="AQ3" s="47"/>
      <c r="AR3" s="47"/>
      <c r="AS3" s="47"/>
      <c r="AT3" s="47"/>
      <c r="AU3" s="47"/>
      <c r="AV3" s="47"/>
      <c r="AW3" s="47"/>
    </row>
    <row r="4" spans="1:49" x14ac:dyDescent="0.2">
      <c r="A4" s="47">
        <v>10020017</v>
      </c>
      <c r="B4" s="47">
        <v>1110</v>
      </c>
      <c r="C4" s="47" t="s">
        <v>26</v>
      </c>
      <c r="D4" s="47" t="s">
        <v>78</v>
      </c>
      <c r="E4" s="48">
        <v>42339</v>
      </c>
      <c r="F4" s="47">
        <v>93607312</v>
      </c>
      <c r="G4" s="47">
        <v>1110</v>
      </c>
      <c r="H4" s="48">
        <v>42333</v>
      </c>
      <c r="I4" s="47"/>
      <c r="J4" s="47">
        <v>1201047</v>
      </c>
      <c r="K4" s="47" t="s">
        <v>79</v>
      </c>
      <c r="L4" s="47">
        <v>1340974</v>
      </c>
      <c r="M4" s="47" t="s">
        <v>93</v>
      </c>
      <c r="N4" s="47">
        <v>1171089</v>
      </c>
      <c r="O4" s="47" t="s">
        <v>75</v>
      </c>
      <c r="P4" s="47">
        <v>87102984</v>
      </c>
      <c r="Q4" s="47"/>
      <c r="R4" s="47"/>
      <c r="S4" s="47">
        <v>456221230</v>
      </c>
      <c r="T4" s="47" t="s">
        <v>1334</v>
      </c>
      <c r="U4" s="47" t="s">
        <v>1335</v>
      </c>
      <c r="V4" s="47" t="s">
        <v>1336</v>
      </c>
      <c r="W4" s="47" t="s">
        <v>1331</v>
      </c>
      <c r="X4" s="47"/>
      <c r="Y4" s="47">
        <v>576</v>
      </c>
      <c r="Z4" s="47">
        <v>1</v>
      </c>
      <c r="AA4" s="47" t="s">
        <v>1332</v>
      </c>
      <c r="AB4" s="47">
        <v>144</v>
      </c>
      <c r="AC4" s="47" t="s">
        <v>1333</v>
      </c>
      <c r="AD4" s="47">
        <v>272.23</v>
      </c>
      <c r="AE4" s="47" t="s">
        <v>182</v>
      </c>
      <c r="AF4" s="49">
        <v>156804.48000000001</v>
      </c>
      <c r="AG4" s="47">
        <v>272.23</v>
      </c>
      <c r="AH4" s="47" t="s">
        <v>182</v>
      </c>
      <c r="AI4" s="47" t="s">
        <v>181</v>
      </c>
      <c r="AJ4" s="47" t="s">
        <v>279</v>
      </c>
      <c r="AK4" s="47"/>
      <c r="AL4" s="47" t="s">
        <v>63</v>
      </c>
      <c r="AM4" s="47" t="s">
        <v>105</v>
      </c>
      <c r="AN4" s="47" t="s">
        <v>82</v>
      </c>
      <c r="AO4" s="48">
        <v>42359</v>
      </c>
      <c r="AP4" s="47" t="s">
        <v>64</v>
      </c>
      <c r="AQ4" s="48">
        <v>42339</v>
      </c>
      <c r="AR4" s="47"/>
      <c r="AS4" s="47"/>
      <c r="AT4" s="47"/>
      <c r="AU4" s="47" t="s">
        <v>1337</v>
      </c>
      <c r="AV4" s="47" t="s">
        <v>89</v>
      </c>
      <c r="AW4" s="47" t="s">
        <v>1338</v>
      </c>
    </row>
    <row r="5" spans="1:49" x14ac:dyDescent="0.2">
      <c r="A5" s="47">
        <v>10020018</v>
      </c>
      <c r="B5" s="47">
        <v>830</v>
      </c>
      <c r="C5" s="47" t="s">
        <v>26</v>
      </c>
      <c r="D5" s="47" t="s">
        <v>78</v>
      </c>
      <c r="E5" s="48">
        <v>42339</v>
      </c>
      <c r="F5" s="47">
        <v>93607321</v>
      </c>
      <c r="G5" s="47">
        <v>830</v>
      </c>
      <c r="H5" s="48">
        <v>42333</v>
      </c>
      <c r="I5" s="47"/>
      <c r="J5" s="47">
        <v>1201047</v>
      </c>
      <c r="K5" s="47" t="s">
        <v>79</v>
      </c>
      <c r="L5" s="47">
        <v>1340974</v>
      </c>
      <c r="M5" s="47" t="s">
        <v>93</v>
      </c>
      <c r="N5" s="47">
        <v>1171089</v>
      </c>
      <c r="O5" s="47" t="s">
        <v>75</v>
      </c>
      <c r="P5" s="47">
        <v>87102984</v>
      </c>
      <c r="Q5" s="47"/>
      <c r="R5" s="47"/>
      <c r="S5" s="47">
        <v>430047207</v>
      </c>
      <c r="T5" s="47" t="s">
        <v>1339</v>
      </c>
      <c r="U5" s="47" t="s">
        <v>1340</v>
      </c>
      <c r="V5" s="47" t="s">
        <v>1341</v>
      </c>
      <c r="W5" s="47" t="s">
        <v>1331</v>
      </c>
      <c r="X5" s="47">
        <v>629030</v>
      </c>
      <c r="Y5" s="47">
        <v>48</v>
      </c>
      <c r="Z5" s="47">
        <v>48</v>
      </c>
      <c r="AA5" s="47" t="s">
        <v>1332</v>
      </c>
      <c r="AB5" s="47">
        <v>48</v>
      </c>
      <c r="AC5" s="47" t="s">
        <v>1333</v>
      </c>
      <c r="AD5" s="47">
        <v>743.41</v>
      </c>
      <c r="AE5" s="47" t="s">
        <v>182</v>
      </c>
      <c r="AF5" s="49">
        <v>35683.68</v>
      </c>
      <c r="AG5" s="49">
        <v>35683.68</v>
      </c>
      <c r="AH5" s="47" t="s">
        <v>182</v>
      </c>
      <c r="AI5" s="47" t="s">
        <v>181</v>
      </c>
      <c r="AJ5" s="47" t="s">
        <v>279</v>
      </c>
      <c r="AK5" s="47"/>
      <c r="AL5" s="47" t="s">
        <v>69</v>
      </c>
      <c r="AM5" s="47" t="s">
        <v>94</v>
      </c>
      <c r="AN5" s="47" t="s">
        <v>95</v>
      </c>
      <c r="AO5" s="48">
        <v>42340</v>
      </c>
      <c r="AP5" s="47" t="s">
        <v>83</v>
      </c>
      <c r="AQ5" s="48">
        <v>42346</v>
      </c>
      <c r="AR5" s="47" t="s">
        <v>100</v>
      </c>
      <c r="AS5" s="47">
        <v>62050470</v>
      </c>
      <c r="AT5" s="48">
        <v>42368</v>
      </c>
      <c r="AU5" s="47" t="s">
        <v>1337</v>
      </c>
      <c r="AV5" s="47" t="s">
        <v>96</v>
      </c>
      <c r="AW5" s="47" t="s">
        <v>1342</v>
      </c>
    </row>
    <row r="6" spans="1:49" x14ac:dyDescent="0.2">
      <c r="A6" s="47">
        <v>10020019</v>
      </c>
      <c r="B6" s="47">
        <v>930</v>
      </c>
      <c r="C6" s="47" t="s">
        <v>26</v>
      </c>
      <c r="D6" s="47" t="s">
        <v>573</v>
      </c>
      <c r="E6" s="48">
        <v>42339</v>
      </c>
      <c r="F6" s="47">
        <v>93604076</v>
      </c>
      <c r="G6" s="47">
        <v>930</v>
      </c>
      <c r="H6" s="48">
        <v>42331</v>
      </c>
      <c r="I6" s="47"/>
      <c r="J6" s="47">
        <v>1201047</v>
      </c>
      <c r="K6" s="47" t="s">
        <v>79</v>
      </c>
      <c r="L6" s="47">
        <v>1038994</v>
      </c>
      <c r="M6" s="47" t="s">
        <v>80</v>
      </c>
      <c r="N6" s="47">
        <v>1171089</v>
      </c>
      <c r="O6" s="47" t="s">
        <v>75</v>
      </c>
      <c r="P6" s="47">
        <v>40444059</v>
      </c>
      <c r="Q6" s="47"/>
      <c r="R6" s="47"/>
      <c r="S6" s="47">
        <v>52544062928</v>
      </c>
      <c r="T6" s="47" t="s">
        <v>1343</v>
      </c>
      <c r="U6" s="47" t="s">
        <v>1344</v>
      </c>
      <c r="V6" s="47" t="s">
        <v>1345</v>
      </c>
      <c r="W6" s="47" t="s">
        <v>1331</v>
      </c>
      <c r="X6" s="47" t="s">
        <v>1346</v>
      </c>
      <c r="Y6" s="47">
        <v>120</v>
      </c>
      <c r="Z6" s="47">
        <v>12</v>
      </c>
      <c r="AA6" s="47" t="s">
        <v>1332</v>
      </c>
      <c r="AB6" s="47">
        <v>12</v>
      </c>
      <c r="AC6" s="47" t="s">
        <v>1333</v>
      </c>
      <c r="AD6" s="47">
        <v>149.31</v>
      </c>
      <c r="AE6" s="47" t="s">
        <v>182</v>
      </c>
      <c r="AF6" s="49">
        <v>17917.2</v>
      </c>
      <c r="AG6" s="49">
        <v>1791.72</v>
      </c>
      <c r="AH6" s="47" t="s">
        <v>182</v>
      </c>
      <c r="AI6" s="47" t="s">
        <v>181</v>
      </c>
      <c r="AJ6" s="47" t="s">
        <v>86</v>
      </c>
      <c r="AK6" s="47"/>
      <c r="AL6" s="47" t="s">
        <v>63</v>
      </c>
      <c r="AM6" s="47"/>
      <c r="AN6" s="47"/>
      <c r="AO6" s="47"/>
      <c r="AP6" s="47" t="s">
        <v>64</v>
      </c>
      <c r="AQ6" s="48">
        <v>42339</v>
      </c>
      <c r="AR6" s="47"/>
      <c r="AS6" s="47"/>
      <c r="AT6" s="47"/>
      <c r="AU6" s="47" t="s">
        <v>1300</v>
      </c>
      <c r="AV6" s="47"/>
      <c r="AW6" s="47"/>
    </row>
    <row r="7" spans="1:49" x14ac:dyDescent="0.2">
      <c r="A7" s="47">
        <v>10020020</v>
      </c>
      <c r="B7" s="47">
        <v>10</v>
      </c>
      <c r="C7" s="47" t="s">
        <v>26</v>
      </c>
      <c r="D7" s="47" t="s">
        <v>573</v>
      </c>
      <c r="E7" s="48">
        <v>42339</v>
      </c>
      <c r="F7" s="47">
        <v>93586218</v>
      </c>
      <c r="G7" s="47">
        <v>10</v>
      </c>
      <c r="H7" s="48">
        <v>42314</v>
      </c>
      <c r="I7" s="47"/>
      <c r="J7" s="47">
        <v>1201315</v>
      </c>
      <c r="K7" s="47" t="s">
        <v>256</v>
      </c>
      <c r="L7" s="47">
        <v>1321854</v>
      </c>
      <c r="M7" s="47" t="s">
        <v>256</v>
      </c>
      <c r="N7" s="47">
        <v>1201315</v>
      </c>
      <c r="O7" s="47" t="s">
        <v>256</v>
      </c>
      <c r="P7" s="47">
        <v>5656469</v>
      </c>
      <c r="Q7" s="47"/>
      <c r="R7" s="47"/>
      <c r="S7" s="47">
        <v>591228560</v>
      </c>
      <c r="T7" s="47" t="s">
        <v>1347</v>
      </c>
      <c r="U7" s="47" t="s">
        <v>1322</v>
      </c>
      <c r="V7" s="47" t="s">
        <v>1348</v>
      </c>
      <c r="W7" s="47" t="s">
        <v>1331</v>
      </c>
      <c r="X7" s="47">
        <v>1115600033</v>
      </c>
      <c r="Y7" s="47">
        <v>12</v>
      </c>
      <c r="Z7" s="47">
        <v>3</v>
      </c>
      <c r="AA7" s="47" t="s">
        <v>1332</v>
      </c>
      <c r="AB7" s="47">
        <v>12</v>
      </c>
      <c r="AC7" s="47" t="s">
        <v>1333</v>
      </c>
      <c r="AD7" s="47">
        <v>333.27</v>
      </c>
      <c r="AE7" s="47" t="s">
        <v>182</v>
      </c>
      <c r="AF7" s="49">
        <v>3999.23</v>
      </c>
      <c r="AG7" s="47">
        <v>999.81</v>
      </c>
      <c r="AH7" s="47" t="s">
        <v>182</v>
      </c>
      <c r="AI7" s="47" t="s">
        <v>181</v>
      </c>
      <c r="AJ7" s="47" t="s">
        <v>97</v>
      </c>
      <c r="AK7" s="47"/>
      <c r="AL7" s="47" t="s">
        <v>63</v>
      </c>
      <c r="AM7" s="47"/>
      <c r="AN7" s="47"/>
      <c r="AO7" s="47"/>
      <c r="AP7" s="47" t="s">
        <v>64</v>
      </c>
      <c r="AQ7" s="48">
        <v>42339</v>
      </c>
      <c r="AR7" s="47"/>
      <c r="AS7" s="47"/>
      <c r="AT7" s="47"/>
      <c r="AU7" s="47">
        <v>87944972686475</v>
      </c>
      <c r="AV7" s="47"/>
      <c r="AW7" s="47"/>
    </row>
    <row r="8" spans="1:49" x14ac:dyDescent="0.2">
      <c r="A8" s="47">
        <v>10020021</v>
      </c>
      <c r="B8" s="47">
        <v>20</v>
      </c>
      <c r="C8" s="47" t="s">
        <v>18</v>
      </c>
      <c r="D8" s="47" t="s">
        <v>78</v>
      </c>
      <c r="E8" s="48">
        <v>42339</v>
      </c>
      <c r="F8" s="47">
        <v>93600821</v>
      </c>
      <c r="G8" s="47">
        <v>20</v>
      </c>
      <c r="H8" s="48">
        <v>42327</v>
      </c>
      <c r="I8" s="48">
        <v>42338</v>
      </c>
      <c r="J8" s="47">
        <v>1201354</v>
      </c>
      <c r="K8" s="47" t="s">
        <v>778</v>
      </c>
      <c r="L8" s="47">
        <v>1061270</v>
      </c>
      <c r="M8" s="47" t="s">
        <v>779</v>
      </c>
      <c r="N8" s="47">
        <v>1171836</v>
      </c>
      <c r="O8" s="47" t="s">
        <v>780</v>
      </c>
      <c r="P8" s="47" t="s">
        <v>1349</v>
      </c>
      <c r="Q8" s="47"/>
      <c r="R8" s="47"/>
      <c r="S8" s="47">
        <v>16252060144</v>
      </c>
      <c r="T8" s="47" t="s">
        <v>1350</v>
      </c>
      <c r="U8" s="47" t="s">
        <v>1322</v>
      </c>
      <c r="V8" s="47" t="s">
        <v>1351</v>
      </c>
      <c r="W8" s="47" t="s">
        <v>1331</v>
      </c>
      <c r="X8" s="47"/>
      <c r="Y8" s="47">
        <v>56700</v>
      </c>
      <c r="Z8" s="47">
        <v>20</v>
      </c>
      <c r="AA8" s="47" t="s">
        <v>1332</v>
      </c>
      <c r="AB8" s="47">
        <v>312</v>
      </c>
      <c r="AC8" s="47" t="s">
        <v>1333</v>
      </c>
      <c r="AD8" s="47">
        <v>1.1599999999999999</v>
      </c>
      <c r="AE8" s="47" t="s">
        <v>182</v>
      </c>
      <c r="AF8" s="49">
        <v>65772</v>
      </c>
      <c r="AG8" s="47">
        <v>23.2</v>
      </c>
      <c r="AH8" s="47" t="s">
        <v>182</v>
      </c>
      <c r="AI8" s="47" t="s">
        <v>181</v>
      </c>
      <c r="AJ8" s="47" t="s">
        <v>67</v>
      </c>
      <c r="AK8" s="47"/>
      <c r="AL8" s="47" t="s">
        <v>63</v>
      </c>
      <c r="AM8" s="47" t="s">
        <v>70</v>
      </c>
      <c r="AN8" s="47" t="s">
        <v>76</v>
      </c>
      <c r="AO8" s="48">
        <v>42341</v>
      </c>
      <c r="AP8" s="47" t="s">
        <v>64</v>
      </c>
      <c r="AQ8" s="48">
        <v>42339</v>
      </c>
      <c r="AR8" s="47"/>
      <c r="AS8" s="47"/>
      <c r="AT8" s="47"/>
      <c r="AU8" s="47">
        <v>3511809442</v>
      </c>
      <c r="AV8" s="47" t="s">
        <v>77</v>
      </c>
      <c r="AW8" s="47" t="s">
        <v>1352</v>
      </c>
    </row>
    <row r="9" spans="1:49" x14ac:dyDescent="0.2">
      <c r="A9" s="47">
        <v>10020022</v>
      </c>
      <c r="B9" s="47">
        <v>1570</v>
      </c>
      <c r="C9" s="47" t="s">
        <v>26</v>
      </c>
      <c r="D9" s="47" t="s">
        <v>573</v>
      </c>
      <c r="E9" s="48">
        <v>42339</v>
      </c>
      <c r="F9" s="47">
        <v>93599587</v>
      </c>
      <c r="G9" s="47">
        <v>1570</v>
      </c>
      <c r="H9" s="48">
        <v>42326</v>
      </c>
      <c r="I9" s="47"/>
      <c r="J9" s="47">
        <v>1201047</v>
      </c>
      <c r="K9" s="47" t="s">
        <v>79</v>
      </c>
      <c r="L9" s="47">
        <v>1311011</v>
      </c>
      <c r="M9" s="47" t="s">
        <v>85</v>
      </c>
      <c r="N9" s="47">
        <v>1171089</v>
      </c>
      <c r="O9" s="47" t="s">
        <v>75</v>
      </c>
      <c r="P9" s="47">
        <v>19629161</v>
      </c>
      <c r="Q9" s="47"/>
      <c r="R9" s="47"/>
      <c r="S9" s="47">
        <v>591578201</v>
      </c>
      <c r="T9" s="47" t="s">
        <v>1353</v>
      </c>
      <c r="U9" s="47" t="s">
        <v>1322</v>
      </c>
      <c r="V9" s="47" t="s">
        <v>1354</v>
      </c>
      <c r="W9" s="47" t="s">
        <v>1331</v>
      </c>
      <c r="X9" s="47" t="s">
        <v>1355</v>
      </c>
      <c r="Y9" s="47">
        <v>384</v>
      </c>
      <c r="Z9" s="47">
        <v>96</v>
      </c>
      <c r="AA9" s="47" t="s">
        <v>1332</v>
      </c>
      <c r="AB9" s="47">
        <v>48</v>
      </c>
      <c r="AC9" s="47" t="s">
        <v>1333</v>
      </c>
      <c r="AD9" s="47">
        <v>44.72</v>
      </c>
      <c r="AE9" s="47" t="s">
        <v>182</v>
      </c>
      <c r="AF9" s="49">
        <v>17172.48</v>
      </c>
      <c r="AG9" s="49">
        <v>4293.12</v>
      </c>
      <c r="AH9" s="47" t="s">
        <v>182</v>
      </c>
      <c r="AI9" s="47" t="s">
        <v>181</v>
      </c>
      <c r="AJ9" s="47" t="s">
        <v>86</v>
      </c>
      <c r="AK9" s="47"/>
      <c r="AL9" s="47" t="s">
        <v>63</v>
      </c>
      <c r="AM9" s="47" t="s">
        <v>81</v>
      </c>
      <c r="AN9" s="47" t="s">
        <v>88</v>
      </c>
      <c r="AO9" s="48">
        <v>42359</v>
      </c>
      <c r="AP9" s="47" t="s">
        <v>64</v>
      </c>
      <c r="AQ9" s="48">
        <v>42339</v>
      </c>
      <c r="AR9" s="47"/>
      <c r="AS9" s="47"/>
      <c r="AT9" s="47"/>
      <c r="AU9" s="47" t="s">
        <v>1356</v>
      </c>
      <c r="AV9" s="47" t="s">
        <v>89</v>
      </c>
      <c r="AW9" s="47" t="s">
        <v>193</v>
      </c>
    </row>
    <row r="10" spans="1:49" x14ac:dyDescent="0.2">
      <c r="A10" s="47">
        <v>10020023</v>
      </c>
      <c r="B10" s="47">
        <v>2490</v>
      </c>
      <c r="C10" s="47" t="s">
        <v>26</v>
      </c>
      <c r="D10" s="47" t="s">
        <v>78</v>
      </c>
      <c r="E10" s="48">
        <v>42339</v>
      </c>
      <c r="F10" s="47">
        <v>93604055</v>
      </c>
      <c r="G10" s="47">
        <v>2490</v>
      </c>
      <c r="H10" s="48">
        <v>42331</v>
      </c>
      <c r="I10" s="47"/>
      <c r="J10" s="47">
        <v>1201047</v>
      </c>
      <c r="K10" s="47" t="s">
        <v>79</v>
      </c>
      <c r="L10" s="47">
        <v>1049975</v>
      </c>
      <c r="M10" s="47" t="s">
        <v>247</v>
      </c>
      <c r="N10" s="47">
        <v>1171089</v>
      </c>
      <c r="O10" s="47" t="s">
        <v>75</v>
      </c>
      <c r="P10" s="47">
        <v>44301981</v>
      </c>
      <c r="Q10" s="47"/>
      <c r="R10" s="47"/>
      <c r="S10" s="47">
        <v>591381760</v>
      </c>
      <c r="T10" s="47" t="s">
        <v>1357</v>
      </c>
      <c r="U10" s="47" t="s">
        <v>1322</v>
      </c>
      <c r="V10" s="47" t="s">
        <v>1358</v>
      </c>
      <c r="W10" s="47" t="s">
        <v>1331</v>
      </c>
      <c r="X10" s="47"/>
      <c r="Y10" s="47">
        <v>192</v>
      </c>
      <c r="Z10" s="47">
        <v>12</v>
      </c>
      <c r="AA10" s="47" t="s">
        <v>1332</v>
      </c>
      <c r="AB10" s="47">
        <v>12</v>
      </c>
      <c r="AC10" s="47" t="s">
        <v>1333</v>
      </c>
      <c r="AD10" s="47">
        <v>24</v>
      </c>
      <c r="AE10" s="47" t="s">
        <v>182</v>
      </c>
      <c r="AF10" s="49">
        <v>4608</v>
      </c>
      <c r="AG10" s="47">
        <v>288</v>
      </c>
      <c r="AH10" s="47" t="s">
        <v>182</v>
      </c>
      <c r="AI10" s="47" t="s">
        <v>181</v>
      </c>
      <c r="AJ10" s="47" t="s">
        <v>91</v>
      </c>
      <c r="AK10" s="47"/>
      <c r="AL10" s="47" t="s">
        <v>69</v>
      </c>
      <c r="AM10" s="47" t="s">
        <v>94</v>
      </c>
      <c r="AN10" s="47" t="s">
        <v>95</v>
      </c>
      <c r="AO10" s="48">
        <v>42348</v>
      </c>
      <c r="AP10" s="47" t="s">
        <v>64</v>
      </c>
      <c r="AQ10" s="48">
        <v>42339</v>
      </c>
      <c r="AR10" s="47" t="s">
        <v>100</v>
      </c>
      <c r="AS10" s="47">
        <v>62050472</v>
      </c>
      <c r="AT10" s="48">
        <v>42368</v>
      </c>
      <c r="AU10" s="47" t="s">
        <v>1359</v>
      </c>
      <c r="AV10" s="47" t="s">
        <v>96</v>
      </c>
      <c r="AW10" s="47" t="s">
        <v>1360</v>
      </c>
    </row>
    <row r="11" spans="1:49" x14ac:dyDescent="0.2">
      <c r="A11" s="47">
        <v>10020024</v>
      </c>
      <c r="B11" s="47">
        <v>2430</v>
      </c>
      <c r="C11" s="47" t="s">
        <v>26</v>
      </c>
      <c r="D11" s="47" t="s">
        <v>573</v>
      </c>
      <c r="E11" s="48">
        <v>42339</v>
      </c>
      <c r="F11" s="47">
        <v>93599582</v>
      </c>
      <c r="G11" s="47">
        <v>2430</v>
      </c>
      <c r="H11" s="48">
        <v>42326</v>
      </c>
      <c r="I11" s="47"/>
      <c r="J11" s="47">
        <v>1201047</v>
      </c>
      <c r="K11" s="47" t="s">
        <v>79</v>
      </c>
      <c r="L11" s="47">
        <v>1022214</v>
      </c>
      <c r="M11" s="47" t="s">
        <v>80</v>
      </c>
      <c r="N11" s="47">
        <v>1171089</v>
      </c>
      <c r="O11" s="47" t="s">
        <v>75</v>
      </c>
      <c r="P11" s="47">
        <v>4745778</v>
      </c>
      <c r="Q11" s="47"/>
      <c r="R11" s="47"/>
      <c r="S11" s="47">
        <v>62037086220</v>
      </c>
      <c r="T11" s="47" t="s">
        <v>1361</v>
      </c>
      <c r="U11" s="47" t="s">
        <v>1322</v>
      </c>
      <c r="V11" s="47" t="s">
        <v>1362</v>
      </c>
      <c r="W11" s="47" t="s">
        <v>1331</v>
      </c>
      <c r="X11" s="47"/>
      <c r="Y11" s="47">
        <v>240</v>
      </c>
      <c r="Z11" s="47">
        <v>5</v>
      </c>
      <c r="AA11" s="47" t="s">
        <v>1332</v>
      </c>
      <c r="AB11" s="47">
        <v>5</v>
      </c>
      <c r="AC11" s="47" t="s">
        <v>1333</v>
      </c>
      <c r="AD11" s="47">
        <v>440</v>
      </c>
      <c r="AE11" s="47" t="s">
        <v>182</v>
      </c>
      <c r="AF11" s="49">
        <v>105600</v>
      </c>
      <c r="AG11" s="49">
        <v>2200</v>
      </c>
      <c r="AH11" s="47" t="s">
        <v>182</v>
      </c>
      <c r="AI11" s="47" t="s">
        <v>181</v>
      </c>
      <c r="AJ11" s="47" t="s">
        <v>91</v>
      </c>
      <c r="AK11" s="47"/>
      <c r="AL11" s="47" t="s">
        <v>63</v>
      </c>
      <c r="AM11" s="47" t="s">
        <v>94</v>
      </c>
      <c r="AN11" s="47" t="s">
        <v>82</v>
      </c>
      <c r="AO11" s="48">
        <v>42356</v>
      </c>
      <c r="AP11" s="47" t="s">
        <v>64</v>
      </c>
      <c r="AQ11" s="48">
        <v>42339</v>
      </c>
      <c r="AR11" s="47"/>
      <c r="AS11" s="47"/>
      <c r="AT11" s="47"/>
      <c r="AU11" s="47" t="s">
        <v>1363</v>
      </c>
      <c r="AV11" s="47" t="s">
        <v>96</v>
      </c>
      <c r="AW11" s="47" t="s">
        <v>1364</v>
      </c>
    </row>
    <row r="12" spans="1:49" x14ac:dyDescent="0.2">
      <c r="A12" s="47">
        <v>10020024</v>
      </c>
      <c r="B12" s="47">
        <v>2440</v>
      </c>
      <c r="C12" s="47" t="s">
        <v>26</v>
      </c>
      <c r="D12" s="47" t="s">
        <v>573</v>
      </c>
      <c r="E12" s="48">
        <v>42339</v>
      </c>
      <c r="F12" s="47">
        <v>93599582</v>
      </c>
      <c r="G12" s="47">
        <v>2440</v>
      </c>
      <c r="H12" s="48">
        <v>42326</v>
      </c>
      <c r="I12" s="47"/>
      <c r="J12" s="47">
        <v>1201047</v>
      </c>
      <c r="K12" s="47" t="s">
        <v>79</v>
      </c>
      <c r="L12" s="47">
        <v>1022214</v>
      </c>
      <c r="M12" s="47" t="s">
        <v>80</v>
      </c>
      <c r="N12" s="47">
        <v>1171089</v>
      </c>
      <c r="O12" s="47" t="s">
        <v>75</v>
      </c>
      <c r="P12" s="47">
        <v>4745778</v>
      </c>
      <c r="Q12" s="47"/>
      <c r="R12" s="47"/>
      <c r="S12" s="47">
        <v>62037086320</v>
      </c>
      <c r="T12" s="47" t="s">
        <v>1365</v>
      </c>
      <c r="U12" s="47" t="s">
        <v>1322</v>
      </c>
      <c r="V12" s="47" t="s">
        <v>1362</v>
      </c>
      <c r="W12" s="47" t="s">
        <v>1331</v>
      </c>
      <c r="X12" s="47"/>
      <c r="Y12" s="47">
        <v>185</v>
      </c>
      <c r="Z12" s="47">
        <v>5</v>
      </c>
      <c r="AA12" s="47" t="s">
        <v>1332</v>
      </c>
      <c r="AB12" s="47">
        <v>5</v>
      </c>
      <c r="AC12" s="47" t="s">
        <v>1333</v>
      </c>
      <c r="AD12" s="47">
        <v>550</v>
      </c>
      <c r="AE12" s="47" t="s">
        <v>182</v>
      </c>
      <c r="AF12" s="49">
        <v>101750</v>
      </c>
      <c r="AG12" s="49">
        <v>2750</v>
      </c>
      <c r="AH12" s="47" t="s">
        <v>182</v>
      </c>
      <c r="AI12" s="47" t="s">
        <v>181</v>
      </c>
      <c r="AJ12" s="47" t="s">
        <v>91</v>
      </c>
      <c r="AK12" s="47"/>
      <c r="AL12" s="47" t="s">
        <v>63</v>
      </c>
      <c r="AM12" s="47" t="s">
        <v>94</v>
      </c>
      <c r="AN12" s="47" t="s">
        <v>82</v>
      </c>
      <c r="AO12" s="48">
        <v>42356</v>
      </c>
      <c r="AP12" s="47" t="s">
        <v>64</v>
      </c>
      <c r="AQ12" s="48">
        <v>42339</v>
      </c>
      <c r="AR12" s="47"/>
      <c r="AS12" s="47"/>
      <c r="AT12" s="47"/>
      <c r="AU12" s="47" t="s">
        <v>1363</v>
      </c>
      <c r="AV12" s="47" t="s">
        <v>96</v>
      </c>
      <c r="AW12" s="47" t="s">
        <v>1364</v>
      </c>
    </row>
    <row r="13" spans="1:49" x14ac:dyDescent="0.2">
      <c r="A13" s="47">
        <v>10020025</v>
      </c>
      <c r="B13" s="47">
        <v>80</v>
      </c>
      <c r="C13" s="47" t="s">
        <v>26</v>
      </c>
      <c r="D13" s="47" t="s">
        <v>78</v>
      </c>
      <c r="E13" s="48">
        <v>42339</v>
      </c>
      <c r="F13" s="47">
        <v>93604068</v>
      </c>
      <c r="G13" s="47">
        <v>80</v>
      </c>
      <c r="H13" s="48">
        <v>42331</v>
      </c>
      <c r="I13" s="47"/>
      <c r="J13" s="47">
        <v>1201047</v>
      </c>
      <c r="K13" s="47" t="s">
        <v>79</v>
      </c>
      <c r="L13" s="47">
        <v>1058305</v>
      </c>
      <c r="M13" s="47" t="s">
        <v>99</v>
      </c>
      <c r="N13" s="47">
        <v>1171089</v>
      </c>
      <c r="O13" s="47" t="s">
        <v>75</v>
      </c>
      <c r="P13" s="47">
        <v>52937506</v>
      </c>
      <c r="Q13" s="47"/>
      <c r="R13" s="47"/>
      <c r="S13" s="47">
        <v>228266550</v>
      </c>
      <c r="T13" s="47" t="s">
        <v>1366</v>
      </c>
      <c r="U13" s="47" t="s">
        <v>1322</v>
      </c>
      <c r="V13" s="47" t="s">
        <v>1367</v>
      </c>
      <c r="W13" s="47" t="s">
        <v>1331</v>
      </c>
      <c r="X13" s="47" t="s">
        <v>1368</v>
      </c>
      <c r="Y13" s="47">
        <v>258</v>
      </c>
      <c r="Z13" s="47">
        <v>1</v>
      </c>
      <c r="AA13" s="47" t="s">
        <v>1369</v>
      </c>
      <c r="AB13" s="47">
        <v>6</v>
      </c>
      <c r="AC13" s="47" t="s">
        <v>1370</v>
      </c>
      <c r="AD13" s="47">
        <v>30</v>
      </c>
      <c r="AE13" s="47" t="s">
        <v>182</v>
      </c>
      <c r="AF13" s="49">
        <v>7740</v>
      </c>
      <c r="AG13" s="47">
        <v>180</v>
      </c>
      <c r="AH13" s="47" t="s">
        <v>182</v>
      </c>
      <c r="AI13" s="47" t="s">
        <v>181</v>
      </c>
      <c r="AJ13" s="47" t="s">
        <v>91</v>
      </c>
      <c r="AK13" s="47"/>
      <c r="AL13" s="47" t="s">
        <v>69</v>
      </c>
      <c r="AM13" s="47" t="s">
        <v>94</v>
      </c>
      <c r="AN13" s="47" t="s">
        <v>95</v>
      </c>
      <c r="AO13" s="48">
        <v>42340</v>
      </c>
      <c r="AP13" s="47" t="s">
        <v>64</v>
      </c>
      <c r="AQ13" s="48">
        <v>42339</v>
      </c>
      <c r="AR13" s="47" t="s">
        <v>100</v>
      </c>
      <c r="AS13" s="47">
        <v>62050475</v>
      </c>
      <c r="AT13" s="48">
        <v>42368</v>
      </c>
      <c r="AU13" s="47" t="s">
        <v>1371</v>
      </c>
      <c r="AV13" s="47" t="s">
        <v>96</v>
      </c>
      <c r="AW13" s="47" t="s">
        <v>1372</v>
      </c>
    </row>
    <row r="14" spans="1:49" x14ac:dyDescent="0.2">
      <c r="A14" s="47">
        <v>10020026</v>
      </c>
      <c r="B14" s="47">
        <v>40</v>
      </c>
      <c r="C14" s="47" t="s">
        <v>18</v>
      </c>
      <c r="D14" s="47" t="s">
        <v>78</v>
      </c>
      <c r="E14" s="48">
        <v>42339</v>
      </c>
      <c r="F14" s="47">
        <v>93605919</v>
      </c>
      <c r="G14" s="47">
        <v>40</v>
      </c>
      <c r="H14" s="48">
        <v>42332</v>
      </c>
      <c r="I14" s="48">
        <v>42338</v>
      </c>
      <c r="J14" s="47">
        <v>1022013</v>
      </c>
      <c r="K14" s="47" t="s">
        <v>114</v>
      </c>
      <c r="L14" s="47">
        <v>1335507</v>
      </c>
      <c r="M14" s="47" t="s">
        <v>114</v>
      </c>
      <c r="N14" s="47">
        <v>1022013</v>
      </c>
      <c r="O14" s="47" t="s">
        <v>114</v>
      </c>
      <c r="P14" s="47">
        <v>76379</v>
      </c>
      <c r="Q14" s="47"/>
      <c r="R14" s="47"/>
      <c r="S14" s="47">
        <v>591381730</v>
      </c>
      <c r="T14" s="47" t="s">
        <v>1373</v>
      </c>
      <c r="U14" s="47" t="s">
        <v>1322</v>
      </c>
      <c r="V14" s="47" t="s">
        <v>1358</v>
      </c>
      <c r="W14" s="47" t="s">
        <v>1331</v>
      </c>
      <c r="X14" s="47" t="s">
        <v>1374</v>
      </c>
      <c r="Y14" s="47">
        <v>960</v>
      </c>
      <c r="Z14" s="47">
        <v>57</v>
      </c>
      <c r="AA14" s="47" t="s">
        <v>1332</v>
      </c>
      <c r="AB14" s="47">
        <v>24</v>
      </c>
      <c r="AC14" s="47" t="s">
        <v>1333</v>
      </c>
      <c r="AD14" s="47">
        <v>3.83</v>
      </c>
      <c r="AE14" s="47" t="s">
        <v>182</v>
      </c>
      <c r="AF14" s="49">
        <v>3676.8</v>
      </c>
      <c r="AG14" s="47">
        <v>218.31</v>
      </c>
      <c r="AH14" s="47" t="s">
        <v>182</v>
      </c>
      <c r="AI14" s="47" t="s">
        <v>181</v>
      </c>
      <c r="AJ14" s="47" t="s">
        <v>67</v>
      </c>
      <c r="AK14" s="47"/>
      <c r="AL14" s="47" t="s">
        <v>63</v>
      </c>
      <c r="AM14" s="47" t="s">
        <v>70</v>
      </c>
      <c r="AN14" s="47" t="s">
        <v>76</v>
      </c>
      <c r="AO14" s="48">
        <v>42341</v>
      </c>
      <c r="AP14" s="47" t="s">
        <v>64</v>
      </c>
      <c r="AQ14" s="48">
        <v>42339</v>
      </c>
      <c r="AR14" s="47"/>
      <c r="AS14" s="47"/>
      <c r="AT14" s="47"/>
      <c r="AU14" s="47">
        <v>3511807110</v>
      </c>
      <c r="AV14" s="47" t="s">
        <v>77</v>
      </c>
      <c r="AW14" s="47" t="s">
        <v>1375</v>
      </c>
    </row>
    <row r="15" spans="1:49" x14ac:dyDescent="0.2">
      <c r="A15" s="47">
        <v>10020027</v>
      </c>
      <c r="B15" s="47">
        <v>310</v>
      </c>
      <c r="C15" s="47" t="s">
        <v>18</v>
      </c>
      <c r="D15" s="47" t="s">
        <v>78</v>
      </c>
      <c r="E15" s="48">
        <v>42340</v>
      </c>
      <c r="F15" s="47">
        <v>93610165</v>
      </c>
      <c r="G15" s="47">
        <v>310</v>
      </c>
      <c r="H15" s="48">
        <v>42338</v>
      </c>
      <c r="I15" s="47"/>
      <c r="J15" s="47">
        <v>1201120</v>
      </c>
      <c r="K15" s="47" t="s">
        <v>117</v>
      </c>
      <c r="L15" s="47">
        <v>1307782</v>
      </c>
      <c r="M15" s="47" t="s">
        <v>119</v>
      </c>
      <c r="N15" s="47">
        <v>1171090</v>
      </c>
      <c r="O15" s="47" t="s">
        <v>118</v>
      </c>
      <c r="P15" s="47" t="s">
        <v>1376</v>
      </c>
      <c r="Q15" s="47"/>
      <c r="R15" s="47"/>
      <c r="S15" s="47">
        <v>456430001</v>
      </c>
      <c r="T15" s="47" t="s">
        <v>1377</v>
      </c>
      <c r="U15" s="47" t="s">
        <v>1340</v>
      </c>
      <c r="V15" s="47" t="s">
        <v>1378</v>
      </c>
      <c r="W15" s="47" t="s">
        <v>1331</v>
      </c>
      <c r="X15" s="47"/>
      <c r="Y15" s="47">
        <v>1152</v>
      </c>
      <c r="Z15" s="47">
        <v>17</v>
      </c>
      <c r="AA15" s="47" t="s">
        <v>1332</v>
      </c>
      <c r="AB15" s="47">
        <v>48</v>
      </c>
      <c r="AC15" s="47" t="s">
        <v>1333</v>
      </c>
      <c r="AD15" s="47">
        <v>60.51</v>
      </c>
      <c r="AE15" s="47" t="s">
        <v>182</v>
      </c>
      <c r="AF15" s="49">
        <v>69707.520000000004</v>
      </c>
      <c r="AG15" s="49">
        <v>1028.67</v>
      </c>
      <c r="AH15" s="47" t="s">
        <v>182</v>
      </c>
      <c r="AI15" s="47" t="s">
        <v>181</v>
      </c>
      <c r="AJ15" s="47" t="s">
        <v>870</v>
      </c>
      <c r="AK15" s="47"/>
      <c r="AL15" s="47" t="s">
        <v>63</v>
      </c>
      <c r="AM15" s="47" t="s">
        <v>70</v>
      </c>
      <c r="AN15" s="47" t="s">
        <v>76</v>
      </c>
      <c r="AO15" s="48">
        <v>42341</v>
      </c>
      <c r="AP15" s="47" t="s">
        <v>64</v>
      </c>
      <c r="AQ15" s="48">
        <v>42340</v>
      </c>
      <c r="AR15" s="47"/>
      <c r="AS15" s="47"/>
      <c r="AT15" s="47"/>
      <c r="AU15" s="47" t="s">
        <v>1379</v>
      </c>
      <c r="AV15" s="47" t="s">
        <v>77</v>
      </c>
      <c r="AW15" s="47" t="s">
        <v>1031</v>
      </c>
    </row>
    <row r="16" spans="1:49" x14ac:dyDescent="0.2">
      <c r="A16" s="47">
        <v>10020029</v>
      </c>
      <c r="B16" s="47">
        <v>1250</v>
      </c>
      <c r="C16" s="47" t="s">
        <v>18</v>
      </c>
      <c r="D16" s="47" t="s">
        <v>78</v>
      </c>
      <c r="E16" s="48">
        <v>42340</v>
      </c>
      <c r="F16" s="47">
        <v>93607389</v>
      </c>
      <c r="G16" s="47">
        <v>1250</v>
      </c>
      <c r="H16" s="48">
        <v>42333</v>
      </c>
      <c r="I16" s="47"/>
      <c r="J16" s="47">
        <v>1201047</v>
      </c>
      <c r="K16" s="47" t="s">
        <v>79</v>
      </c>
      <c r="L16" s="47">
        <v>1340974</v>
      </c>
      <c r="M16" s="47" t="s">
        <v>93</v>
      </c>
      <c r="N16" s="47">
        <v>1171089</v>
      </c>
      <c r="O16" s="47" t="s">
        <v>75</v>
      </c>
      <c r="P16" s="47">
        <v>87102877</v>
      </c>
      <c r="Q16" s="47"/>
      <c r="R16" s="47"/>
      <c r="S16" s="47">
        <v>42865030002</v>
      </c>
      <c r="T16" s="47" t="s">
        <v>1380</v>
      </c>
      <c r="U16" s="47" t="s">
        <v>1381</v>
      </c>
      <c r="V16" s="47" t="s">
        <v>1382</v>
      </c>
      <c r="W16" s="47" t="s">
        <v>1331</v>
      </c>
      <c r="X16" s="47" t="s">
        <v>1383</v>
      </c>
      <c r="Y16" s="47">
        <v>1200</v>
      </c>
      <c r="Z16" s="47">
        <v>1</v>
      </c>
      <c r="AA16" s="47" t="s">
        <v>1332</v>
      </c>
      <c r="AB16" s="47">
        <v>100</v>
      </c>
      <c r="AC16" s="47" t="s">
        <v>1333</v>
      </c>
      <c r="AD16" s="47">
        <v>119.08</v>
      </c>
      <c r="AE16" s="47" t="s">
        <v>182</v>
      </c>
      <c r="AF16" s="49">
        <v>142896</v>
      </c>
      <c r="AG16" s="47">
        <v>119.08</v>
      </c>
      <c r="AH16" s="47" t="s">
        <v>182</v>
      </c>
      <c r="AI16" s="47" t="s">
        <v>181</v>
      </c>
      <c r="AJ16" s="47" t="s">
        <v>102</v>
      </c>
      <c r="AK16" s="47"/>
      <c r="AL16" s="47" t="s">
        <v>69</v>
      </c>
      <c r="AM16" s="47" t="s">
        <v>70</v>
      </c>
      <c r="AN16" s="47" t="s">
        <v>76</v>
      </c>
      <c r="AO16" s="48">
        <v>42341</v>
      </c>
      <c r="AP16" s="47" t="s">
        <v>64</v>
      </c>
      <c r="AQ16" s="48">
        <v>42340</v>
      </c>
      <c r="AR16" s="47" t="s">
        <v>100</v>
      </c>
      <c r="AS16" s="47">
        <v>62049117</v>
      </c>
      <c r="AT16" s="48">
        <v>42361</v>
      </c>
      <c r="AU16" s="47">
        <v>649275140935</v>
      </c>
      <c r="AV16" s="47" t="s">
        <v>77</v>
      </c>
      <c r="AW16" s="47" t="s">
        <v>323</v>
      </c>
    </row>
    <row r="17" spans="1:49" x14ac:dyDescent="0.2">
      <c r="A17" s="47">
        <v>10020030</v>
      </c>
      <c r="B17" s="47">
        <v>840</v>
      </c>
      <c r="C17" s="47" t="s">
        <v>26</v>
      </c>
      <c r="D17" s="47" t="s">
        <v>573</v>
      </c>
      <c r="E17" s="48">
        <v>42340</v>
      </c>
      <c r="F17" s="47">
        <v>93598261</v>
      </c>
      <c r="G17" s="47">
        <v>840</v>
      </c>
      <c r="H17" s="48">
        <v>42325</v>
      </c>
      <c r="I17" s="48">
        <v>42326</v>
      </c>
      <c r="J17" s="47">
        <v>1201047</v>
      </c>
      <c r="K17" s="47" t="s">
        <v>79</v>
      </c>
      <c r="L17" s="47">
        <v>1317086</v>
      </c>
      <c r="M17" s="47" t="s">
        <v>85</v>
      </c>
      <c r="N17" s="47">
        <v>1171089</v>
      </c>
      <c r="O17" s="47" t="s">
        <v>75</v>
      </c>
      <c r="P17" s="47">
        <v>23615084</v>
      </c>
      <c r="Q17" s="47"/>
      <c r="R17" s="47"/>
      <c r="S17" s="47">
        <v>50383028210</v>
      </c>
      <c r="T17" s="47" t="s">
        <v>1384</v>
      </c>
      <c r="U17" s="47" t="s">
        <v>1322</v>
      </c>
      <c r="V17" s="47" t="s">
        <v>1385</v>
      </c>
      <c r="W17" s="47" t="s">
        <v>1331</v>
      </c>
      <c r="X17" s="47">
        <v>347361</v>
      </c>
      <c r="Y17" s="47">
        <v>24</v>
      </c>
      <c r="Z17" s="47">
        <v>24</v>
      </c>
      <c r="AA17" s="47" t="s">
        <v>1332</v>
      </c>
      <c r="AB17" s="47">
        <v>24</v>
      </c>
      <c r="AC17" s="47" t="s">
        <v>1333</v>
      </c>
      <c r="AD17" s="47">
        <v>20</v>
      </c>
      <c r="AE17" s="47" t="s">
        <v>182</v>
      </c>
      <c r="AF17" s="47">
        <v>480</v>
      </c>
      <c r="AG17" s="47">
        <v>480</v>
      </c>
      <c r="AH17" s="47" t="s">
        <v>182</v>
      </c>
      <c r="AI17" s="47" t="s">
        <v>181</v>
      </c>
      <c r="AJ17" s="47" t="s">
        <v>91</v>
      </c>
      <c r="AK17" s="47"/>
      <c r="AL17" s="47" t="s">
        <v>63</v>
      </c>
      <c r="AM17" s="47" t="s">
        <v>81</v>
      </c>
      <c r="AN17" s="47" t="s">
        <v>88</v>
      </c>
      <c r="AO17" s="48">
        <v>42356</v>
      </c>
      <c r="AP17" s="47" t="s">
        <v>166</v>
      </c>
      <c r="AQ17" s="48">
        <v>42373</v>
      </c>
      <c r="AR17" s="47"/>
      <c r="AS17" s="47"/>
      <c r="AT17" s="47"/>
      <c r="AU17" s="47" t="s">
        <v>1386</v>
      </c>
      <c r="AV17" s="47" t="s">
        <v>89</v>
      </c>
      <c r="AW17" s="47" t="s">
        <v>274</v>
      </c>
    </row>
    <row r="18" spans="1:49" x14ac:dyDescent="0.2">
      <c r="A18" s="47">
        <v>10020030</v>
      </c>
      <c r="B18" s="47">
        <v>890</v>
      </c>
      <c r="C18" s="47" t="s">
        <v>26</v>
      </c>
      <c r="D18" s="47" t="s">
        <v>573</v>
      </c>
      <c r="E18" s="48">
        <v>42340</v>
      </c>
      <c r="F18" s="47">
        <v>93598261</v>
      </c>
      <c r="G18" s="47">
        <v>890</v>
      </c>
      <c r="H18" s="48">
        <v>42325</v>
      </c>
      <c r="I18" s="48">
        <v>42326</v>
      </c>
      <c r="J18" s="47">
        <v>1201047</v>
      </c>
      <c r="K18" s="47" t="s">
        <v>79</v>
      </c>
      <c r="L18" s="47">
        <v>1317086</v>
      </c>
      <c r="M18" s="47" t="s">
        <v>85</v>
      </c>
      <c r="N18" s="47">
        <v>1171089</v>
      </c>
      <c r="O18" s="47" t="s">
        <v>75</v>
      </c>
      <c r="P18" s="47">
        <v>23615084</v>
      </c>
      <c r="Q18" s="47"/>
      <c r="R18" s="47"/>
      <c r="S18" s="47">
        <v>228277811</v>
      </c>
      <c r="T18" s="47" t="s">
        <v>1387</v>
      </c>
      <c r="U18" s="47" t="s">
        <v>1322</v>
      </c>
      <c r="V18" s="47" t="s">
        <v>1388</v>
      </c>
      <c r="W18" s="47" t="s">
        <v>1331</v>
      </c>
      <c r="X18" s="47" t="s">
        <v>1389</v>
      </c>
      <c r="Y18" s="47">
        <v>120</v>
      </c>
      <c r="Z18" s="47">
        <v>60</v>
      </c>
      <c r="AA18" s="47" t="s">
        <v>1332</v>
      </c>
      <c r="AB18" s="47">
        <v>24</v>
      </c>
      <c r="AC18" s="47" t="s">
        <v>1333</v>
      </c>
      <c r="AD18" s="47">
        <v>168.19</v>
      </c>
      <c r="AE18" s="47" t="s">
        <v>182</v>
      </c>
      <c r="AF18" s="49">
        <v>20182.8</v>
      </c>
      <c r="AG18" s="49">
        <v>10091.4</v>
      </c>
      <c r="AH18" s="47" t="s">
        <v>182</v>
      </c>
      <c r="AI18" s="47" t="s">
        <v>181</v>
      </c>
      <c r="AJ18" s="47" t="s">
        <v>91</v>
      </c>
      <c r="AK18" s="47"/>
      <c r="AL18" s="47" t="s">
        <v>63</v>
      </c>
      <c r="AM18" s="47" t="s">
        <v>81</v>
      </c>
      <c r="AN18" s="47" t="s">
        <v>88</v>
      </c>
      <c r="AO18" s="48">
        <v>42356</v>
      </c>
      <c r="AP18" s="47" t="s">
        <v>166</v>
      </c>
      <c r="AQ18" s="48">
        <v>42373</v>
      </c>
      <c r="AR18" s="47"/>
      <c r="AS18" s="47"/>
      <c r="AT18" s="47"/>
      <c r="AU18" s="47" t="s">
        <v>1386</v>
      </c>
      <c r="AV18" s="47" t="s">
        <v>89</v>
      </c>
      <c r="AW18" s="47" t="s">
        <v>274</v>
      </c>
    </row>
    <row r="19" spans="1:49" x14ac:dyDescent="0.2">
      <c r="A19" s="47">
        <v>10020031</v>
      </c>
      <c r="B19" s="47">
        <v>710</v>
      </c>
      <c r="C19" s="47" t="s">
        <v>26</v>
      </c>
      <c r="D19" s="47" t="s">
        <v>573</v>
      </c>
      <c r="E19" s="48">
        <v>42340</v>
      </c>
      <c r="F19" s="47">
        <v>93598260</v>
      </c>
      <c r="G19" s="47">
        <v>710</v>
      </c>
      <c r="H19" s="48">
        <v>42325</v>
      </c>
      <c r="I19" s="48">
        <v>42326</v>
      </c>
      <c r="J19" s="47">
        <v>1201047</v>
      </c>
      <c r="K19" s="47" t="s">
        <v>79</v>
      </c>
      <c r="L19" s="47">
        <v>1317086</v>
      </c>
      <c r="M19" s="47" t="s">
        <v>85</v>
      </c>
      <c r="N19" s="47">
        <v>1171089</v>
      </c>
      <c r="O19" s="47" t="s">
        <v>75</v>
      </c>
      <c r="P19" s="47">
        <v>23615084</v>
      </c>
      <c r="Q19" s="47"/>
      <c r="R19" s="47"/>
      <c r="S19" s="47">
        <v>591065801</v>
      </c>
      <c r="T19" s="47" t="s">
        <v>1390</v>
      </c>
      <c r="U19" s="47" t="s">
        <v>1322</v>
      </c>
      <c r="V19" s="47" t="s">
        <v>1391</v>
      </c>
      <c r="W19" s="47" t="s">
        <v>1331</v>
      </c>
      <c r="X19" s="47">
        <v>3134181</v>
      </c>
      <c r="Y19" s="47">
        <v>72</v>
      </c>
      <c r="Z19" s="47">
        <v>24</v>
      </c>
      <c r="AA19" s="47" t="s">
        <v>1332</v>
      </c>
      <c r="AB19" s="47">
        <v>24</v>
      </c>
      <c r="AC19" s="47" t="s">
        <v>1333</v>
      </c>
      <c r="AD19" s="47">
        <v>8.5500000000000007</v>
      </c>
      <c r="AE19" s="47" t="s">
        <v>182</v>
      </c>
      <c r="AF19" s="47">
        <v>615.6</v>
      </c>
      <c r="AG19" s="47">
        <v>205.2</v>
      </c>
      <c r="AH19" s="47" t="s">
        <v>182</v>
      </c>
      <c r="AI19" s="47" t="s">
        <v>181</v>
      </c>
      <c r="AJ19" s="47" t="s">
        <v>91</v>
      </c>
      <c r="AK19" s="47"/>
      <c r="AL19" s="47" t="s">
        <v>63</v>
      </c>
      <c r="AM19" s="47" t="s">
        <v>81</v>
      </c>
      <c r="AN19" s="47" t="s">
        <v>88</v>
      </c>
      <c r="AO19" s="48">
        <v>42356</v>
      </c>
      <c r="AP19" s="47" t="s">
        <v>64</v>
      </c>
      <c r="AQ19" s="48">
        <v>42340</v>
      </c>
      <c r="AR19" s="47"/>
      <c r="AS19" s="47"/>
      <c r="AT19" s="47"/>
      <c r="AU19" s="47" t="s">
        <v>1386</v>
      </c>
      <c r="AV19" s="47" t="s">
        <v>89</v>
      </c>
      <c r="AW19" s="47" t="s">
        <v>274</v>
      </c>
    </row>
    <row r="20" spans="1:49" x14ac:dyDescent="0.2">
      <c r="A20" s="47">
        <v>10020032</v>
      </c>
      <c r="B20" s="47">
        <v>10</v>
      </c>
      <c r="C20" s="47" t="s">
        <v>26</v>
      </c>
      <c r="D20" s="47" t="s">
        <v>78</v>
      </c>
      <c r="E20" s="48">
        <v>42340</v>
      </c>
      <c r="F20" s="47">
        <v>93599681</v>
      </c>
      <c r="G20" s="47">
        <v>10</v>
      </c>
      <c r="H20" s="48">
        <v>42326</v>
      </c>
      <c r="I20" s="47"/>
      <c r="J20" s="47">
        <v>1201047</v>
      </c>
      <c r="K20" s="47" t="s">
        <v>79</v>
      </c>
      <c r="L20" s="47">
        <v>1002905</v>
      </c>
      <c r="M20" s="47" t="s">
        <v>80</v>
      </c>
      <c r="N20" s="47">
        <v>1171089</v>
      </c>
      <c r="O20" s="47" t="s">
        <v>75</v>
      </c>
      <c r="P20" s="47">
        <v>97208</v>
      </c>
      <c r="Q20" s="47"/>
      <c r="R20" s="47"/>
      <c r="S20" s="47">
        <v>591321060</v>
      </c>
      <c r="T20" s="47" t="s">
        <v>1392</v>
      </c>
      <c r="U20" s="47" t="s">
        <v>1322</v>
      </c>
      <c r="V20" s="47" t="s">
        <v>1393</v>
      </c>
      <c r="W20" s="47" t="s">
        <v>1331</v>
      </c>
      <c r="X20" s="47" t="s">
        <v>1394</v>
      </c>
      <c r="Y20" s="47">
        <v>48</v>
      </c>
      <c r="Z20" s="47">
        <v>48</v>
      </c>
      <c r="AA20" s="47" t="s">
        <v>1324</v>
      </c>
      <c r="AB20" s="47">
        <v>24</v>
      </c>
      <c r="AC20" s="47" t="s">
        <v>1325</v>
      </c>
      <c r="AD20" s="47">
        <v>204.02</v>
      </c>
      <c r="AE20" s="47" t="s">
        <v>182</v>
      </c>
      <c r="AF20" s="49">
        <v>9792.9699999999993</v>
      </c>
      <c r="AG20" s="49">
        <v>9792.9699999999993</v>
      </c>
      <c r="AH20" s="47" t="s">
        <v>182</v>
      </c>
      <c r="AI20" s="47" t="s">
        <v>181</v>
      </c>
      <c r="AJ20" s="47" t="s">
        <v>102</v>
      </c>
      <c r="AK20" s="47"/>
      <c r="AL20" s="47" t="s">
        <v>63</v>
      </c>
      <c r="AM20" s="47"/>
      <c r="AN20" s="47"/>
      <c r="AO20" s="47"/>
      <c r="AP20" s="47" t="s">
        <v>64</v>
      </c>
      <c r="AQ20" s="48">
        <v>42340</v>
      </c>
      <c r="AR20" s="47"/>
      <c r="AS20" s="47"/>
      <c r="AT20" s="47"/>
      <c r="AU20" s="47">
        <v>649275127802</v>
      </c>
      <c r="AV20" s="47"/>
      <c r="AW20" s="47"/>
    </row>
    <row r="21" spans="1:49" x14ac:dyDescent="0.2">
      <c r="A21" s="47">
        <v>10020033</v>
      </c>
      <c r="B21" s="47">
        <v>3400</v>
      </c>
      <c r="C21" s="47" t="s">
        <v>26</v>
      </c>
      <c r="D21" s="47" t="s">
        <v>573</v>
      </c>
      <c r="E21" s="48">
        <v>42341</v>
      </c>
      <c r="F21" s="47">
        <v>93600663</v>
      </c>
      <c r="G21" s="47">
        <v>3400</v>
      </c>
      <c r="H21" s="48">
        <v>42327</v>
      </c>
      <c r="I21" s="47"/>
      <c r="J21" s="47">
        <v>1201047</v>
      </c>
      <c r="K21" s="47" t="s">
        <v>79</v>
      </c>
      <c r="L21" s="47">
        <v>1309880</v>
      </c>
      <c r="M21" s="47" t="s">
        <v>108</v>
      </c>
      <c r="N21" s="47">
        <v>1171089</v>
      </c>
      <c r="O21" s="47" t="s">
        <v>75</v>
      </c>
      <c r="P21" s="47">
        <v>18753960</v>
      </c>
      <c r="Q21" s="47"/>
      <c r="R21" s="47"/>
      <c r="S21" s="47">
        <v>62037072001</v>
      </c>
      <c r="T21" s="47" t="s">
        <v>1395</v>
      </c>
      <c r="U21" s="47" t="s">
        <v>1322</v>
      </c>
      <c r="V21" s="47" t="s">
        <v>1396</v>
      </c>
      <c r="W21" s="47" t="s">
        <v>1331</v>
      </c>
      <c r="X21" s="47" t="s">
        <v>1397</v>
      </c>
      <c r="Y21" s="47">
        <v>1632</v>
      </c>
      <c r="Z21" s="47">
        <v>1632</v>
      </c>
      <c r="AA21" s="47" t="s">
        <v>1332</v>
      </c>
      <c r="AB21" s="47">
        <v>48</v>
      </c>
      <c r="AC21" s="47" t="s">
        <v>1333</v>
      </c>
      <c r="AD21" s="47">
        <v>50.19</v>
      </c>
      <c r="AE21" s="47" t="s">
        <v>182</v>
      </c>
      <c r="AF21" s="49">
        <v>81910.080000000002</v>
      </c>
      <c r="AG21" s="49">
        <v>81910.080000000002</v>
      </c>
      <c r="AH21" s="47" t="s">
        <v>182</v>
      </c>
      <c r="AI21" s="47" t="s">
        <v>181</v>
      </c>
      <c r="AJ21" s="47" t="s">
        <v>91</v>
      </c>
      <c r="AK21" s="47"/>
      <c r="AL21" s="47" t="s">
        <v>63</v>
      </c>
      <c r="AM21" s="47" t="s">
        <v>81</v>
      </c>
      <c r="AN21" s="47" t="s">
        <v>88</v>
      </c>
      <c r="AO21" s="48">
        <v>42374</v>
      </c>
      <c r="AP21" s="47"/>
      <c r="AQ21" s="47"/>
      <c r="AR21" s="47"/>
      <c r="AS21" s="47"/>
      <c r="AT21" s="47"/>
      <c r="AU21" s="47" t="s">
        <v>1398</v>
      </c>
      <c r="AV21" s="47" t="s">
        <v>89</v>
      </c>
      <c r="AW21" s="47" t="s">
        <v>1399</v>
      </c>
    </row>
    <row r="22" spans="1:49" x14ac:dyDescent="0.2">
      <c r="A22" s="47">
        <v>10020037</v>
      </c>
      <c r="B22" s="47">
        <v>270</v>
      </c>
      <c r="C22" s="47" t="s">
        <v>26</v>
      </c>
      <c r="D22" s="47" t="s">
        <v>78</v>
      </c>
      <c r="E22" s="48">
        <v>42341</v>
      </c>
      <c r="F22" s="47">
        <v>93604201</v>
      </c>
      <c r="G22" s="47">
        <v>270</v>
      </c>
      <c r="H22" s="48">
        <v>42331</v>
      </c>
      <c r="I22" s="48">
        <v>42339</v>
      </c>
      <c r="J22" s="47">
        <v>1201156</v>
      </c>
      <c r="K22" s="47" t="s">
        <v>131</v>
      </c>
      <c r="L22" s="47">
        <v>1325957</v>
      </c>
      <c r="M22" s="47" t="s">
        <v>133</v>
      </c>
      <c r="N22" s="47">
        <v>1201156</v>
      </c>
      <c r="O22" s="47" t="s">
        <v>131</v>
      </c>
      <c r="P22" s="47">
        <v>286201</v>
      </c>
      <c r="Q22" s="47"/>
      <c r="R22" s="47"/>
      <c r="S22" s="47">
        <v>16252060144</v>
      </c>
      <c r="T22" s="47" t="s">
        <v>1350</v>
      </c>
      <c r="U22" s="47" t="s">
        <v>1322</v>
      </c>
      <c r="V22" s="47" t="s">
        <v>1351</v>
      </c>
      <c r="W22" s="47" t="s">
        <v>1331</v>
      </c>
      <c r="X22" s="47"/>
      <c r="Y22" s="47">
        <v>10200</v>
      </c>
      <c r="Z22" s="47">
        <v>216</v>
      </c>
      <c r="AA22" s="47" t="s">
        <v>1332</v>
      </c>
      <c r="AB22" s="47">
        <v>312</v>
      </c>
      <c r="AC22" s="47" t="s">
        <v>1333</v>
      </c>
      <c r="AD22" s="47">
        <v>0.69</v>
      </c>
      <c r="AE22" s="47" t="s">
        <v>182</v>
      </c>
      <c r="AF22" s="49">
        <v>7038</v>
      </c>
      <c r="AG22" s="47">
        <v>149.04</v>
      </c>
      <c r="AH22" s="47" t="s">
        <v>182</v>
      </c>
      <c r="AI22" s="47" t="s">
        <v>181</v>
      </c>
      <c r="AJ22" s="47" t="s">
        <v>61</v>
      </c>
      <c r="AK22" s="47"/>
      <c r="AL22" s="47" t="s">
        <v>63</v>
      </c>
      <c r="AM22" s="47" t="s">
        <v>81</v>
      </c>
      <c r="AN22" s="47" t="s">
        <v>88</v>
      </c>
      <c r="AO22" s="48">
        <v>42359</v>
      </c>
      <c r="AP22" s="47" t="s">
        <v>64</v>
      </c>
      <c r="AQ22" s="48">
        <v>42341</v>
      </c>
      <c r="AR22" s="47"/>
      <c r="AS22" s="47"/>
      <c r="AT22" s="47"/>
      <c r="AU22" s="47">
        <v>327765338</v>
      </c>
      <c r="AV22" s="47" t="s">
        <v>89</v>
      </c>
      <c r="AW22" s="47" t="s">
        <v>274</v>
      </c>
    </row>
    <row r="23" spans="1:49" x14ac:dyDescent="0.2">
      <c r="A23" s="47">
        <v>10020038</v>
      </c>
      <c r="B23" s="47">
        <v>2170</v>
      </c>
      <c r="C23" s="47" t="s">
        <v>18</v>
      </c>
      <c r="D23" s="47" t="s">
        <v>573</v>
      </c>
      <c r="E23" s="48">
        <v>42342</v>
      </c>
      <c r="F23" s="47">
        <v>93612133</v>
      </c>
      <c r="G23" s="47">
        <v>2170</v>
      </c>
      <c r="H23" s="48">
        <v>42339</v>
      </c>
      <c r="I23" s="47"/>
      <c r="J23" s="47">
        <v>1201120</v>
      </c>
      <c r="K23" s="47" t="s">
        <v>117</v>
      </c>
      <c r="L23" s="47">
        <v>1307782</v>
      </c>
      <c r="M23" s="47" t="s">
        <v>119</v>
      </c>
      <c r="N23" s="47">
        <v>1171090</v>
      </c>
      <c r="O23" s="47" t="s">
        <v>118</v>
      </c>
      <c r="P23" s="47" t="s">
        <v>1127</v>
      </c>
      <c r="Q23" s="47"/>
      <c r="R23" s="47"/>
      <c r="S23" s="47">
        <v>52544024728</v>
      </c>
      <c r="T23" s="47" t="s">
        <v>1402</v>
      </c>
      <c r="U23" s="47" t="s">
        <v>1344</v>
      </c>
      <c r="V23" s="47" t="s">
        <v>1403</v>
      </c>
      <c r="W23" s="47" t="s">
        <v>1331</v>
      </c>
      <c r="X23" s="47" t="s">
        <v>1404</v>
      </c>
      <c r="Y23" s="47">
        <v>120</v>
      </c>
      <c r="Z23" s="47">
        <v>4</v>
      </c>
      <c r="AA23" s="47" t="s">
        <v>1332</v>
      </c>
      <c r="AB23" s="47">
        <v>24</v>
      </c>
      <c r="AC23" s="47" t="s">
        <v>1333</v>
      </c>
      <c r="AD23" s="47">
        <v>130.34</v>
      </c>
      <c r="AE23" s="47" t="s">
        <v>182</v>
      </c>
      <c r="AF23" s="49">
        <v>15640.8</v>
      </c>
      <c r="AG23" s="47">
        <v>521.36</v>
      </c>
      <c r="AH23" s="47" t="s">
        <v>182</v>
      </c>
      <c r="AI23" s="47" t="s">
        <v>181</v>
      </c>
      <c r="AJ23" s="47" t="s">
        <v>97</v>
      </c>
      <c r="AK23" s="47"/>
      <c r="AL23" s="47" t="s">
        <v>63</v>
      </c>
      <c r="AM23" s="47" t="s">
        <v>70</v>
      </c>
      <c r="AN23" s="47" t="s">
        <v>76</v>
      </c>
      <c r="AO23" s="48">
        <v>42348</v>
      </c>
      <c r="AP23" s="47" t="s">
        <v>64</v>
      </c>
      <c r="AQ23" s="48">
        <v>42342</v>
      </c>
      <c r="AR23" s="47"/>
      <c r="AS23" s="47"/>
      <c r="AT23" s="47"/>
      <c r="AU23" s="47">
        <v>87944972751937</v>
      </c>
      <c r="AV23" s="47" t="s">
        <v>77</v>
      </c>
      <c r="AW23" s="47" t="s">
        <v>717</v>
      </c>
    </row>
    <row r="24" spans="1:49" x14ac:dyDescent="0.2">
      <c r="A24" s="47">
        <v>10020039</v>
      </c>
      <c r="B24" s="47">
        <v>10</v>
      </c>
      <c r="C24" s="47" t="s">
        <v>26</v>
      </c>
      <c r="D24" s="47" t="s">
        <v>573</v>
      </c>
      <c r="E24" s="48">
        <v>42342</v>
      </c>
      <c r="F24" s="47">
        <v>93605938</v>
      </c>
      <c r="G24" s="47">
        <v>10</v>
      </c>
      <c r="H24" s="48">
        <v>42332</v>
      </c>
      <c r="I24" s="47"/>
      <c r="J24" s="47">
        <v>1201047</v>
      </c>
      <c r="K24" s="47" t="s">
        <v>79</v>
      </c>
      <c r="L24" s="47">
        <v>1049975</v>
      </c>
      <c r="M24" s="47" t="s">
        <v>247</v>
      </c>
      <c r="N24" s="47">
        <v>1171089</v>
      </c>
      <c r="O24" s="47" t="s">
        <v>75</v>
      </c>
      <c r="P24" s="47">
        <v>44301985</v>
      </c>
      <c r="Q24" s="47"/>
      <c r="R24" s="47"/>
      <c r="S24" s="47">
        <v>591264001</v>
      </c>
      <c r="T24" s="47" t="s">
        <v>1405</v>
      </c>
      <c r="U24" s="47" t="s">
        <v>1322</v>
      </c>
      <c r="V24" s="47" t="s">
        <v>1406</v>
      </c>
      <c r="W24" s="47" t="s">
        <v>1331</v>
      </c>
      <c r="X24" s="47">
        <v>337063</v>
      </c>
      <c r="Y24" s="47">
        <v>192</v>
      </c>
      <c r="Z24" s="47">
        <v>12</v>
      </c>
      <c r="AA24" s="47" t="s">
        <v>1332</v>
      </c>
      <c r="AB24" s="47">
        <v>12</v>
      </c>
      <c r="AC24" s="47" t="s">
        <v>1333</v>
      </c>
      <c r="AD24" s="47">
        <v>244.71</v>
      </c>
      <c r="AE24" s="47" t="s">
        <v>182</v>
      </c>
      <c r="AF24" s="49">
        <v>46984.32</v>
      </c>
      <c r="AG24" s="49">
        <v>2936.52</v>
      </c>
      <c r="AH24" s="47" t="s">
        <v>182</v>
      </c>
      <c r="AI24" s="47" t="s">
        <v>181</v>
      </c>
      <c r="AJ24" s="47" t="s">
        <v>97</v>
      </c>
      <c r="AK24" s="47"/>
      <c r="AL24" s="47" t="s">
        <v>69</v>
      </c>
      <c r="AM24" s="47" t="s">
        <v>94</v>
      </c>
      <c r="AN24" s="47" t="s">
        <v>95</v>
      </c>
      <c r="AO24" s="48">
        <v>42348</v>
      </c>
      <c r="AP24" s="47" t="s">
        <v>64</v>
      </c>
      <c r="AQ24" s="48">
        <v>42342</v>
      </c>
      <c r="AR24" s="47" t="s">
        <v>100</v>
      </c>
      <c r="AS24" s="47">
        <v>62050477</v>
      </c>
      <c r="AT24" s="48">
        <v>42368</v>
      </c>
      <c r="AU24" s="47">
        <v>87944972735296</v>
      </c>
      <c r="AV24" s="47" t="s">
        <v>96</v>
      </c>
      <c r="AW24" s="47" t="s">
        <v>1407</v>
      </c>
    </row>
    <row r="25" spans="1:49" x14ac:dyDescent="0.2">
      <c r="A25" s="47">
        <v>10020040</v>
      </c>
      <c r="B25" s="47">
        <v>30</v>
      </c>
      <c r="C25" s="47" t="s">
        <v>17</v>
      </c>
      <c r="D25" s="47" t="s">
        <v>252</v>
      </c>
      <c r="E25" s="48">
        <v>42342</v>
      </c>
      <c r="F25" s="47">
        <v>93533145</v>
      </c>
      <c r="G25" s="47">
        <v>30</v>
      </c>
      <c r="H25" s="48">
        <v>42270</v>
      </c>
      <c r="I25" s="47"/>
      <c r="J25" s="47">
        <v>1201057</v>
      </c>
      <c r="K25" s="47" t="s">
        <v>643</v>
      </c>
      <c r="L25" s="47">
        <v>1325925</v>
      </c>
      <c r="M25" s="47" t="s">
        <v>643</v>
      </c>
      <c r="N25" s="47">
        <v>1201057</v>
      </c>
      <c r="O25" s="47" t="s">
        <v>643</v>
      </c>
      <c r="P25" s="47">
        <v>176748</v>
      </c>
      <c r="Q25" s="47"/>
      <c r="R25" s="47"/>
      <c r="S25" s="47">
        <v>591369430</v>
      </c>
      <c r="T25" s="47" t="s">
        <v>1408</v>
      </c>
      <c r="U25" s="47" t="s">
        <v>1322</v>
      </c>
      <c r="V25" s="47" t="s">
        <v>1409</v>
      </c>
      <c r="W25" s="47" t="s">
        <v>1331</v>
      </c>
      <c r="X25" s="47" t="s">
        <v>1410</v>
      </c>
      <c r="Y25" s="47">
        <v>24</v>
      </c>
      <c r="Z25" s="47">
        <v>2</v>
      </c>
      <c r="AA25" s="47" t="s">
        <v>1324</v>
      </c>
      <c r="AB25" s="47">
        <v>48</v>
      </c>
      <c r="AC25" s="47" t="s">
        <v>1325</v>
      </c>
      <c r="AD25" s="47">
        <v>607.52</v>
      </c>
      <c r="AE25" s="47" t="s">
        <v>182</v>
      </c>
      <c r="AF25" s="49">
        <v>14580.48</v>
      </c>
      <c r="AG25" s="49">
        <v>1215.04</v>
      </c>
      <c r="AH25" s="47" t="s">
        <v>182</v>
      </c>
      <c r="AI25" s="47" t="s">
        <v>181</v>
      </c>
      <c r="AJ25" s="47" t="s">
        <v>102</v>
      </c>
      <c r="AK25" s="47"/>
      <c r="AL25" s="47" t="s">
        <v>63</v>
      </c>
      <c r="AM25" s="47"/>
      <c r="AN25" s="47"/>
      <c r="AO25" s="47"/>
      <c r="AP25" s="47" t="s">
        <v>64</v>
      </c>
      <c r="AQ25" s="48">
        <v>42342</v>
      </c>
      <c r="AR25" s="47"/>
      <c r="AS25" s="47"/>
      <c r="AT25" s="47"/>
      <c r="AU25" s="47">
        <v>649275042729</v>
      </c>
      <c r="AV25" s="47"/>
      <c r="AW25" s="47"/>
    </row>
    <row r="26" spans="1:49" x14ac:dyDescent="0.2">
      <c r="A26" s="47">
        <v>10020041</v>
      </c>
      <c r="B26" s="47">
        <v>10</v>
      </c>
      <c r="C26" s="47" t="s">
        <v>18</v>
      </c>
      <c r="D26" s="47" t="s">
        <v>78</v>
      </c>
      <c r="E26" s="48">
        <v>42342</v>
      </c>
      <c r="F26" s="47">
        <v>93612492</v>
      </c>
      <c r="G26" s="47">
        <v>10</v>
      </c>
      <c r="H26" s="48">
        <v>42339</v>
      </c>
      <c r="I26" s="48">
        <v>42340</v>
      </c>
      <c r="J26" s="47">
        <v>1201766</v>
      </c>
      <c r="K26" s="47" t="s">
        <v>143</v>
      </c>
      <c r="L26" s="47">
        <v>1157939</v>
      </c>
      <c r="M26" s="47" t="s">
        <v>143</v>
      </c>
      <c r="N26" s="47">
        <v>1201766</v>
      </c>
      <c r="O26" s="47" t="s">
        <v>143</v>
      </c>
      <c r="P26" s="47">
        <v>62514</v>
      </c>
      <c r="Q26" s="47"/>
      <c r="R26" s="47"/>
      <c r="S26" s="47">
        <v>591379760</v>
      </c>
      <c r="T26" s="47" t="s">
        <v>1411</v>
      </c>
      <c r="U26" s="47" t="s">
        <v>1322</v>
      </c>
      <c r="V26" s="47" t="s">
        <v>1412</v>
      </c>
      <c r="W26" s="47" t="s">
        <v>1331</v>
      </c>
      <c r="X26" s="47"/>
      <c r="Y26" s="47">
        <v>2220</v>
      </c>
      <c r="Z26" s="47">
        <v>5</v>
      </c>
      <c r="AA26" s="47" t="s">
        <v>1332</v>
      </c>
      <c r="AB26" s="47">
        <v>12</v>
      </c>
      <c r="AC26" s="47" t="s">
        <v>1333</v>
      </c>
      <c r="AD26" s="47">
        <v>5.86</v>
      </c>
      <c r="AE26" s="47" t="s">
        <v>182</v>
      </c>
      <c r="AF26" s="49">
        <v>13009.2</v>
      </c>
      <c r="AG26" s="47">
        <v>29.3</v>
      </c>
      <c r="AH26" s="47" t="s">
        <v>182</v>
      </c>
      <c r="AI26" s="47" t="s">
        <v>181</v>
      </c>
      <c r="AJ26" s="47" t="s">
        <v>67</v>
      </c>
      <c r="AK26" s="47"/>
      <c r="AL26" s="47" t="s">
        <v>63</v>
      </c>
      <c r="AM26" s="47" t="s">
        <v>70</v>
      </c>
      <c r="AN26" s="47" t="s">
        <v>76</v>
      </c>
      <c r="AO26" s="48">
        <v>42348</v>
      </c>
      <c r="AP26" s="47" t="s">
        <v>64</v>
      </c>
      <c r="AQ26" s="48">
        <v>42342</v>
      </c>
      <c r="AR26" s="47"/>
      <c r="AS26" s="47"/>
      <c r="AT26" s="47"/>
      <c r="AU26" s="47">
        <v>3511805290</v>
      </c>
      <c r="AV26" s="47" t="s">
        <v>77</v>
      </c>
      <c r="AW26" s="47" t="s">
        <v>187</v>
      </c>
    </row>
    <row r="27" spans="1:49" x14ac:dyDescent="0.2">
      <c r="A27" s="47">
        <v>10020042</v>
      </c>
      <c r="B27" s="47">
        <v>660</v>
      </c>
      <c r="C27" s="47" t="s">
        <v>26</v>
      </c>
      <c r="D27" s="47" t="s">
        <v>78</v>
      </c>
      <c r="E27" s="48">
        <v>42342</v>
      </c>
      <c r="F27" s="47">
        <v>93523077</v>
      </c>
      <c r="G27" s="47">
        <v>660</v>
      </c>
      <c r="H27" s="48">
        <v>42262</v>
      </c>
      <c r="I27" s="48">
        <v>42269</v>
      </c>
      <c r="J27" s="47">
        <v>1201316</v>
      </c>
      <c r="K27" s="47" t="s">
        <v>519</v>
      </c>
      <c r="L27" s="47">
        <v>1027443</v>
      </c>
      <c r="M27" s="47" t="s">
        <v>520</v>
      </c>
      <c r="N27" s="47">
        <v>1171973</v>
      </c>
      <c r="O27" s="47" t="s">
        <v>521</v>
      </c>
      <c r="P27" s="47" t="s">
        <v>1413</v>
      </c>
      <c r="Q27" s="47"/>
      <c r="R27" s="47"/>
      <c r="S27" s="47">
        <v>591557101</v>
      </c>
      <c r="T27" s="47" t="s">
        <v>1414</v>
      </c>
      <c r="U27" s="47" t="s">
        <v>1322</v>
      </c>
      <c r="V27" s="47" t="s">
        <v>1415</v>
      </c>
      <c r="W27" s="47" t="s">
        <v>1331</v>
      </c>
      <c r="X27" s="47"/>
      <c r="Y27" s="47">
        <v>48</v>
      </c>
      <c r="Z27" s="47">
        <v>32</v>
      </c>
      <c r="AA27" s="47" t="s">
        <v>1332</v>
      </c>
      <c r="AB27" s="47">
        <v>48</v>
      </c>
      <c r="AC27" s="47" t="s">
        <v>1333</v>
      </c>
      <c r="AD27" s="47">
        <v>12.2</v>
      </c>
      <c r="AE27" s="47" t="s">
        <v>182</v>
      </c>
      <c r="AF27" s="47">
        <v>585.6</v>
      </c>
      <c r="AG27" s="47">
        <v>390.4</v>
      </c>
      <c r="AH27" s="47" t="s">
        <v>182</v>
      </c>
      <c r="AI27" s="47" t="s">
        <v>181</v>
      </c>
      <c r="AJ27" s="47" t="s">
        <v>67</v>
      </c>
      <c r="AK27" s="47"/>
      <c r="AL27" s="47" t="s">
        <v>63</v>
      </c>
      <c r="AM27" s="47" t="s">
        <v>81</v>
      </c>
      <c r="AN27" s="47" t="s">
        <v>88</v>
      </c>
      <c r="AO27" s="48">
        <v>42352</v>
      </c>
      <c r="AP27" s="47" t="s">
        <v>64</v>
      </c>
      <c r="AQ27" s="48">
        <v>42342</v>
      </c>
      <c r="AR27" s="47"/>
      <c r="AS27" s="47"/>
      <c r="AT27" s="47"/>
      <c r="AU27" s="47">
        <v>3527008402</v>
      </c>
      <c r="AV27" s="47" t="s">
        <v>89</v>
      </c>
      <c r="AW27" s="47" t="s">
        <v>1416</v>
      </c>
    </row>
    <row r="28" spans="1:49" x14ac:dyDescent="0.2">
      <c r="A28" s="47">
        <v>10020043</v>
      </c>
      <c r="B28" s="47">
        <v>120</v>
      </c>
      <c r="C28" s="47" t="s">
        <v>26</v>
      </c>
      <c r="D28" s="47" t="s">
        <v>573</v>
      </c>
      <c r="E28" s="48">
        <v>42345</v>
      </c>
      <c r="F28" s="47">
        <v>93600872</v>
      </c>
      <c r="G28" s="47">
        <v>120</v>
      </c>
      <c r="H28" s="48">
        <v>42327</v>
      </c>
      <c r="I28" s="48">
        <v>42328</v>
      </c>
      <c r="J28" s="47">
        <v>1201483</v>
      </c>
      <c r="K28" s="47" t="s">
        <v>147</v>
      </c>
      <c r="L28" s="47">
        <v>1001169</v>
      </c>
      <c r="M28" s="47" t="s">
        <v>148</v>
      </c>
      <c r="N28" s="47">
        <v>1201483</v>
      </c>
      <c r="O28" s="47" t="s">
        <v>147</v>
      </c>
      <c r="P28" s="47">
        <v>94891</v>
      </c>
      <c r="Q28" s="47"/>
      <c r="R28" s="47"/>
      <c r="S28" s="47">
        <v>456342833</v>
      </c>
      <c r="T28" s="47" t="s">
        <v>1417</v>
      </c>
      <c r="U28" s="47" t="s">
        <v>1335</v>
      </c>
      <c r="V28" s="47" t="s">
        <v>1418</v>
      </c>
      <c r="W28" s="47" t="s">
        <v>1331</v>
      </c>
      <c r="X28" s="47">
        <v>1149156</v>
      </c>
      <c r="Y28" s="47">
        <v>18</v>
      </c>
      <c r="Z28" s="47">
        <v>3</v>
      </c>
      <c r="AA28" s="47" t="s">
        <v>1332</v>
      </c>
      <c r="AB28" s="47">
        <v>144</v>
      </c>
      <c r="AC28" s="47" t="s">
        <v>1333</v>
      </c>
      <c r="AD28" s="47">
        <v>322.11</v>
      </c>
      <c r="AE28" s="47" t="s">
        <v>182</v>
      </c>
      <c r="AF28" s="49">
        <v>5797.98</v>
      </c>
      <c r="AG28" s="47">
        <v>966.33</v>
      </c>
      <c r="AH28" s="47" t="s">
        <v>182</v>
      </c>
      <c r="AI28" s="47" t="s">
        <v>181</v>
      </c>
      <c r="AJ28" s="47" t="s">
        <v>67</v>
      </c>
      <c r="AK28" s="47"/>
      <c r="AL28" s="47" t="s">
        <v>63</v>
      </c>
      <c r="AM28" s="47" t="s">
        <v>94</v>
      </c>
      <c r="AN28" s="47" t="s">
        <v>95</v>
      </c>
      <c r="AO28" s="48">
        <v>42356</v>
      </c>
      <c r="AP28" s="47" t="s">
        <v>64</v>
      </c>
      <c r="AQ28" s="48">
        <v>42345</v>
      </c>
      <c r="AR28" s="47"/>
      <c r="AS28" s="47"/>
      <c r="AT28" s="47"/>
      <c r="AU28" s="47">
        <v>3511809394</v>
      </c>
      <c r="AV28" s="47" t="s">
        <v>96</v>
      </c>
      <c r="AW28" s="47" t="s">
        <v>1419</v>
      </c>
    </row>
    <row r="29" spans="1:49" x14ac:dyDescent="0.2">
      <c r="A29" s="47">
        <v>10020044</v>
      </c>
      <c r="B29" s="47">
        <v>2100</v>
      </c>
      <c r="C29" s="47" t="s">
        <v>18</v>
      </c>
      <c r="D29" s="47" t="s">
        <v>78</v>
      </c>
      <c r="E29" s="48">
        <v>42345</v>
      </c>
      <c r="F29" s="47">
        <v>93614001</v>
      </c>
      <c r="G29" s="47">
        <v>2100</v>
      </c>
      <c r="H29" s="48">
        <v>42340</v>
      </c>
      <c r="I29" s="47"/>
      <c r="J29" s="47">
        <v>1201120</v>
      </c>
      <c r="K29" s="47" t="s">
        <v>117</v>
      </c>
      <c r="L29" s="47">
        <v>1307782</v>
      </c>
      <c r="M29" s="47" t="s">
        <v>119</v>
      </c>
      <c r="N29" s="47">
        <v>1171090</v>
      </c>
      <c r="O29" s="47" t="s">
        <v>118</v>
      </c>
      <c r="P29" s="47" t="s">
        <v>1260</v>
      </c>
      <c r="Q29" s="47"/>
      <c r="R29" s="47"/>
      <c r="S29" s="47">
        <v>52544024728</v>
      </c>
      <c r="T29" s="47" t="s">
        <v>1402</v>
      </c>
      <c r="U29" s="47" t="s">
        <v>1344</v>
      </c>
      <c r="V29" s="47" t="s">
        <v>1403</v>
      </c>
      <c r="W29" s="47" t="s">
        <v>1331</v>
      </c>
      <c r="X29" s="47" t="s">
        <v>1420</v>
      </c>
      <c r="Y29" s="47">
        <v>120</v>
      </c>
      <c r="Z29" s="47">
        <v>6</v>
      </c>
      <c r="AA29" s="47" t="s">
        <v>1332</v>
      </c>
      <c r="AB29" s="47">
        <v>24</v>
      </c>
      <c r="AC29" s="47" t="s">
        <v>1333</v>
      </c>
      <c r="AD29" s="47">
        <v>130.34</v>
      </c>
      <c r="AE29" s="47" t="s">
        <v>182</v>
      </c>
      <c r="AF29" s="49">
        <v>15640.8</v>
      </c>
      <c r="AG29" s="47">
        <v>782.04</v>
      </c>
      <c r="AH29" s="47" t="s">
        <v>182</v>
      </c>
      <c r="AI29" s="47" t="s">
        <v>181</v>
      </c>
      <c r="AJ29" s="47" t="s">
        <v>97</v>
      </c>
      <c r="AK29" s="47"/>
      <c r="AL29" s="47" t="s">
        <v>63</v>
      </c>
      <c r="AM29" s="47" t="s">
        <v>70</v>
      </c>
      <c r="AN29" s="47" t="s">
        <v>76</v>
      </c>
      <c r="AO29" s="48">
        <v>42348</v>
      </c>
      <c r="AP29" s="47" t="s">
        <v>64</v>
      </c>
      <c r="AQ29" s="48">
        <v>42345</v>
      </c>
      <c r="AR29" s="47"/>
      <c r="AS29" s="47"/>
      <c r="AT29" s="47"/>
      <c r="AU29" s="47">
        <v>87944972755331</v>
      </c>
      <c r="AV29" s="47" t="s">
        <v>77</v>
      </c>
      <c r="AW29" s="47" t="s">
        <v>386</v>
      </c>
    </row>
    <row r="30" spans="1:49" x14ac:dyDescent="0.2">
      <c r="A30" s="47">
        <v>10020045</v>
      </c>
      <c r="B30" s="47">
        <v>2010</v>
      </c>
      <c r="C30" s="47" t="s">
        <v>18</v>
      </c>
      <c r="D30" s="47" t="s">
        <v>573</v>
      </c>
      <c r="E30" s="48">
        <v>42345</v>
      </c>
      <c r="F30" s="47">
        <v>93617638</v>
      </c>
      <c r="G30" s="47">
        <v>2010</v>
      </c>
      <c r="H30" s="48">
        <v>42342</v>
      </c>
      <c r="I30" s="48">
        <v>42343</v>
      </c>
      <c r="J30" s="47">
        <v>1201120</v>
      </c>
      <c r="K30" s="47" t="s">
        <v>117</v>
      </c>
      <c r="L30" s="47">
        <v>1307782</v>
      </c>
      <c r="M30" s="47" t="s">
        <v>119</v>
      </c>
      <c r="N30" s="47">
        <v>1171090</v>
      </c>
      <c r="O30" s="47" t="s">
        <v>118</v>
      </c>
      <c r="P30" s="47" t="s">
        <v>1421</v>
      </c>
      <c r="Q30" s="47"/>
      <c r="R30" s="47"/>
      <c r="S30" s="47">
        <v>52544023328</v>
      </c>
      <c r="T30" s="47" t="s">
        <v>1422</v>
      </c>
      <c r="U30" s="47" t="s">
        <v>1344</v>
      </c>
      <c r="V30" s="47" t="s">
        <v>1423</v>
      </c>
      <c r="W30" s="47" t="s">
        <v>1331</v>
      </c>
      <c r="X30" s="47" t="s">
        <v>1424</v>
      </c>
      <c r="Y30" s="47">
        <v>288</v>
      </c>
      <c r="Z30" s="47">
        <v>4</v>
      </c>
      <c r="AA30" s="47" t="s">
        <v>1332</v>
      </c>
      <c r="AB30" s="47">
        <v>72</v>
      </c>
      <c r="AC30" s="47" t="s">
        <v>1333</v>
      </c>
      <c r="AD30" s="47">
        <v>128.94999999999999</v>
      </c>
      <c r="AE30" s="47" t="s">
        <v>182</v>
      </c>
      <c r="AF30" s="49">
        <v>37137.599999999999</v>
      </c>
      <c r="AG30" s="47">
        <v>515.79999999999995</v>
      </c>
      <c r="AH30" s="47" t="s">
        <v>182</v>
      </c>
      <c r="AI30" s="47" t="s">
        <v>181</v>
      </c>
      <c r="AJ30" s="47" t="s">
        <v>870</v>
      </c>
      <c r="AK30" s="47"/>
      <c r="AL30" s="47" t="s">
        <v>63</v>
      </c>
      <c r="AM30" s="47" t="s">
        <v>70</v>
      </c>
      <c r="AN30" s="47" t="s">
        <v>76</v>
      </c>
      <c r="AO30" s="48">
        <v>42348</v>
      </c>
      <c r="AP30" s="47" t="s">
        <v>64</v>
      </c>
      <c r="AQ30" s="48">
        <v>42345</v>
      </c>
      <c r="AR30" s="47"/>
      <c r="AS30" s="47"/>
      <c r="AT30" s="47"/>
      <c r="AU30" s="47" t="s">
        <v>1425</v>
      </c>
      <c r="AV30" s="47" t="s">
        <v>77</v>
      </c>
      <c r="AW30" s="47" t="s">
        <v>655</v>
      </c>
    </row>
    <row r="31" spans="1:49" x14ac:dyDescent="0.2">
      <c r="A31" s="47">
        <v>10020046</v>
      </c>
      <c r="B31" s="47">
        <v>530</v>
      </c>
      <c r="C31" s="47" t="s">
        <v>18</v>
      </c>
      <c r="D31" s="47" t="s">
        <v>78</v>
      </c>
      <c r="E31" s="48">
        <v>42345</v>
      </c>
      <c r="F31" s="47">
        <v>93607584</v>
      </c>
      <c r="G31" s="47">
        <v>530</v>
      </c>
      <c r="H31" s="48">
        <v>42333</v>
      </c>
      <c r="I31" s="48">
        <v>42339</v>
      </c>
      <c r="J31" s="47">
        <v>1201540</v>
      </c>
      <c r="K31" s="47" t="s">
        <v>150</v>
      </c>
      <c r="L31" s="47">
        <v>1312297</v>
      </c>
      <c r="M31" s="47" t="s">
        <v>151</v>
      </c>
      <c r="N31" s="47">
        <v>1201540</v>
      </c>
      <c r="O31" s="47" t="s">
        <v>150</v>
      </c>
      <c r="P31" s="47" t="s">
        <v>1426</v>
      </c>
      <c r="Q31" s="47"/>
      <c r="R31" s="47"/>
      <c r="S31" s="47">
        <v>62037083920</v>
      </c>
      <c r="T31" s="47" t="s">
        <v>1427</v>
      </c>
      <c r="U31" s="47" t="s">
        <v>1322</v>
      </c>
      <c r="V31" s="47" t="s">
        <v>1362</v>
      </c>
      <c r="W31" s="47" t="s">
        <v>1331</v>
      </c>
      <c r="X31" s="47" t="s">
        <v>1428</v>
      </c>
      <c r="Y31" s="47">
        <v>11</v>
      </c>
      <c r="Z31" s="47">
        <v>1</v>
      </c>
      <c r="AA31" s="47" t="s">
        <v>1332</v>
      </c>
      <c r="AB31" s="47">
        <v>5</v>
      </c>
      <c r="AC31" s="47" t="s">
        <v>1333</v>
      </c>
      <c r="AD31" s="47">
        <v>28.41</v>
      </c>
      <c r="AE31" s="47" t="s">
        <v>182</v>
      </c>
      <c r="AF31" s="49">
        <v>1562.55</v>
      </c>
      <c r="AG31" s="47">
        <v>28.41</v>
      </c>
      <c r="AH31" s="47" t="s">
        <v>182</v>
      </c>
      <c r="AI31" s="47" t="s">
        <v>181</v>
      </c>
      <c r="AJ31" s="47" t="s">
        <v>67</v>
      </c>
      <c r="AK31" s="47"/>
      <c r="AL31" s="47" t="s">
        <v>63</v>
      </c>
      <c r="AM31" s="47" t="s">
        <v>70</v>
      </c>
      <c r="AN31" s="47" t="s">
        <v>76</v>
      </c>
      <c r="AO31" s="48">
        <v>42348</v>
      </c>
      <c r="AP31" s="47" t="s">
        <v>64</v>
      </c>
      <c r="AQ31" s="48">
        <v>42345</v>
      </c>
      <c r="AR31" s="47"/>
      <c r="AS31" s="47"/>
      <c r="AT31" s="47"/>
      <c r="AU31" s="47">
        <v>3511805452</v>
      </c>
      <c r="AV31" s="47" t="s">
        <v>77</v>
      </c>
      <c r="AW31" s="47" t="s">
        <v>196</v>
      </c>
    </row>
    <row r="32" spans="1:49" x14ac:dyDescent="0.2">
      <c r="A32" s="47">
        <v>10020047</v>
      </c>
      <c r="B32" s="47">
        <v>70</v>
      </c>
      <c r="C32" s="47" t="s">
        <v>18</v>
      </c>
      <c r="D32" s="47" t="s">
        <v>573</v>
      </c>
      <c r="E32" s="48">
        <v>42345</v>
      </c>
      <c r="F32" s="47">
        <v>93617641</v>
      </c>
      <c r="G32" s="47">
        <v>70</v>
      </c>
      <c r="H32" s="48">
        <v>42342</v>
      </c>
      <c r="I32" s="47"/>
      <c r="J32" s="47">
        <v>1201120</v>
      </c>
      <c r="K32" s="47" t="s">
        <v>117</v>
      </c>
      <c r="L32" s="47">
        <v>1307782</v>
      </c>
      <c r="M32" s="47" t="s">
        <v>119</v>
      </c>
      <c r="N32" s="47">
        <v>1171090</v>
      </c>
      <c r="O32" s="47" t="s">
        <v>118</v>
      </c>
      <c r="P32" s="47" t="s">
        <v>1421</v>
      </c>
      <c r="Q32" s="47"/>
      <c r="R32" s="47"/>
      <c r="S32" s="47">
        <v>591381760</v>
      </c>
      <c r="T32" s="47" t="s">
        <v>1357</v>
      </c>
      <c r="U32" s="47" t="s">
        <v>1322</v>
      </c>
      <c r="V32" s="47" t="s">
        <v>1358</v>
      </c>
      <c r="W32" s="47" t="s">
        <v>1331</v>
      </c>
      <c r="X32" s="47"/>
      <c r="Y32" s="47">
        <v>4320</v>
      </c>
      <c r="Z32" s="47">
        <v>60</v>
      </c>
      <c r="AA32" s="47" t="s">
        <v>1332</v>
      </c>
      <c r="AB32" s="47">
        <v>12</v>
      </c>
      <c r="AC32" s="47" t="s">
        <v>1333</v>
      </c>
      <c r="AD32" s="47">
        <v>24</v>
      </c>
      <c r="AE32" s="47" t="s">
        <v>182</v>
      </c>
      <c r="AF32" s="49">
        <v>103680</v>
      </c>
      <c r="AG32" s="49">
        <v>1440</v>
      </c>
      <c r="AH32" s="47" t="s">
        <v>182</v>
      </c>
      <c r="AI32" s="47" t="s">
        <v>181</v>
      </c>
      <c r="AJ32" s="47" t="s">
        <v>91</v>
      </c>
      <c r="AK32" s="47"/>
      <c r="AL32" s="47" t="s">
        <v>63</v>
      </c>
      <c r="AM32" s="47" t="s">
        <v>70</v>
      </c>
      <c r="AN32" s="47" t="s">
        <v>76</v>
      </c>
      <c r="AO32" s="48">
        <v>42348</v>
      </c>
      <c r="AP32" s="47" t="s">
        <v>64</v>
      </c>
      <c r="AQ32" s="48">
        <v>42345</v>
      </c>
      <c r="AR32" s="47"/>
      <c r="AS32" s="47"/>
      <c r="AT32" s="47"/>
      <c r="AU32" s="47" t="s">
        <v>1429</v>
      </c>
      <c r="AV32" s="47" t="s">
        <v>77</v>
      </c>
      <c r="AW32" s="47" t="s">
        <v>1430</v>
      </c>
    </row>
    <row r="33" spans="1:49" x14ac:dyDescent="0.2">
      <c r="A33" s="47">
        <v>10020047</v>
      </c>
      <c r="B33" s="47">
        <v>80</v>
      </c>
      <c r="C33" s="47" t="s">
        <v>18</v>
      </c>
      <c r="D33" s="47" t="s">
        <v>573</v>
      </c>
      <c r="E33" s="48">
        <v>42345</v>
      </c>
      <c r="F33" s="47">
        <v>93617641</v>
      </c>
      <c r="G33" s="47">
        <v>80</v>
      </c>
      <c r="H33" s="48">
        <v>42342</v>
      </c>
      <c r="I33" s="47"/>
      <c r="J33" s="47">
        <v>1201120</v>
      </c>
      <c r="K33" s="47" t="s">
        <v>117</v>
      </c>
      <c r="L33" s="47">
        <v>1307782</v>
      </c>
      <c r="M33" s="47" t="s">
        <v>119</v>
      </c>
      <c r="N33" s="47">
        <v>1171090</v>
      </c>
      <c r="O33" s="47" t="s">
        <v>118</v>
      </c>
      <c r="P33" s="47" t="s">
        <v>1421</v>
      </c>
      <c r="Q33" s="47"/>
      <c r="R33" s="47"/>
      <c r="S33" s="47">
        <v>591381730</v>
      </c>
      <c r="T33" s="47" t="s">
        <v>1373</v>
      </c>
      <c r="U33" s="47" t="s">
        <v>1322</v>
      </c>
      <c r="V33" s="47" t="s">
        <v>1358</v>
      </c>
      <c r="W33" s="47" t="s">
        <v>1331</v>
      </c>
      <c r="X33" s="47"/>
      <c r="Y33" s="47">
        <v>9600</v>
      </c>
      <c r="Z33" s="47">
        <v>24</v>
      </c>
      <c r="AA33" s="47" t="s">
        <v>1332</v>
      </c>
      <c r="AB33" s="47">
        <v>24</v>
      </c>
      <c r="AC33" s="47" t="s">
        <v>1333</v>
      </c>
      <c r="AD33" s="47">
        <v>12</v>
      </c>
      <c r="AE33" s="47" t="s">
        <v>182</v>
      </c>
      <c r="AF33" s="49">
        <v>115200</v>
      </c>
      <c r="AG33" s="47">
        <v>288</v>
      </c>
      <c r="AH33" s="47" t="s">
        <v>182</v>
      </c>
      <c r="AI33" s="47" t="s">
        <v>181</v>
      </c>
      <c r="AJ33" s="47" t="s">
        <v>91</v>
      </c>
      <c r="AK33" s="47"/>
      <c r="AL33" s="47" t="s">
        <v>63</v>
      </c>
      <c r="AM33" s="47" t="s">
        <v>70</v>
      </c>
      <c r="AN33" s="47" t="s">
        <v>76</v>
      </c>
      <c r="AO33" s="48">
        <v>42348</v>
      </c>
      <c r="AP33" s="47" t="s">
        <v>64</v>
      </c>
      <c r="AQ33" s="48">
        <v>42345</v>
      </c>
      <c r="AR33" s="47"/>
      <c r="AS33" s="47"/>
      <c r="AT33" s="47"/>
      <c r="AU33" s="47" t="s">
        <v>1429</v>
      </c>
      <c r="AV33" s="47" t="s">
        <v>77</v>
      </c>
      <c r="AW33" s="47" t="s">
        <v>1430</v>
      </c>
    </row>
    <row r="34" spans="1:49" x14ac:dyDescent="0.2">
      <c r="A34" s="47">
        <v>10020048</v>
      </c>
      <c r="B34" s="47">
        <v>1120</v>
      </c>
      <c r="C34" s="47" t="s">
        <v>26</v>
      </c>
      <c r="D34" s="47" t="s">
        <v>78</v>
      </c>
      <c r="E34" s="48">
        <v>42345</v>
      </c>
      <c r="F34" s="47">
        <v>93611993</v>
      </c>
      <c r="G34" s="47">
        <v>1120</v>
      </c>
      <c r="H34" s="48">
        <v>42339</v>
      </c>
      <c r="I34" s="48">
        <v>42341</v>
      </c>
      <c r="J34" s="47">
        <v>1201047</v>
      </c>
      <c r="K34" s="47" t="s">
        <v>79</v>
      </c>
      <c r="L34" s="47">
        <v>1049975</v>
      </c>
      <c r="M34" s="47" t="s">
        <v>247</v>
      </c>
      <c r="N34" s="47">
        <v>1171089</v>
      </c>
      <c r="O34" s="47" t="s">
        <v>75</v>
      </c>
      <c r="P34" s="47">
        <v>44301981</v>
      </c>
      <c r="Q34" s="47"/>
      <c r="R34" s="47"/>
      <c r="S34" s="47">
        <v>52544024728</v>
      </c>
      <c r="T34" s="47" t="s">
        <v>1402</v>
      </c>
      <c r="U34" s="47" t="s">
        <v>1344</v>
      </c>
      <c r="V34" s="47" t="s">
        <v>1403</v>
      </c>
      <c r="W34" s="47" t="s">
        <v>1331</v>
      </c>
      <c r="X34" s="47"/>
      <c r="Y34" s="47">
        <v>552</v>
      </c>
      <c r="Z34" s="47">
        <v>24</v>
      </c>
      <c r="AA34" s="47" t="s">
        <v>1332</v>
      </c>
      <c r="AB34" s="47">
        <v>24</v>
      </c>
      <c r="AC34" s="47" t="s">
        <v>1333</v>
      </c>
      <c r="AD34" s="47">
        <v>130.34</v>
      </c>
      <c r="AE34" s="47" t="s">
        <v>182</v>
      </c>
      <c r="AF34" s="49">
        <v>71947.679999999993</v>
      </c>
      <c r="AG34" s="49">
        <v>3128.16</v>
      </c>
      <c r="AH34" s="47" t="s">
        <v>182</v>
      </c>
      <c r="AI34" s="47" t="s">
        <v>181</v>
      </c>
      <c r="AJ34" s="47" t="s">
        <v>67</v>
      </c>
      <c r="AK34" s="47"/>
      <c r="AL34" s="47" t="s">
        <v>63</v>
      </c>
      <c r="AM34" s="47"/>
      <c r="AN34" s="47"/>
      <c r="AO34" s="47"/>
      <c r="AP34" s="47" t="s">
        <v>64</v>
      </c>
      <c r="AQ34" s="48">
        <v>42345</v>
      </c>
      <c r="AR34" s="47"/>
      <c r="AS34" s="47"/>
      <c r="AT34" s="47"/>
      <c r="AU34" s="47">
        <v>3511805345</v>
      </c>
      <c r="AV34" s="47"/>
      <c r="AW34" s="47"/>
    </row>
    <row r="35" spans="1:49" x14ac:dyDescent="0.2">
      <c r="A35" s="47">
        <v>10020049</v>
      </c>
      <c r="B35" s="47">
        <v>760</v>
      </c>
      <c r="C35" s="47" t="s">
        <v>26</v>
      </c>
      <c r="D35" s="47" t="s">
        <v>573</v>
      </c>
      <c r="E35" s="48">
        <v>42345</v>
      </c>
      <c r="F35" s="47">
        <v>93611927</v>
      </c>
      <c r="G35" s="47">
        <v>760</v>
      </c>
      <c r="H35" s="48">
        <v>42339</v>
      </c>
      <c r="I35" s="47"/>
      <c r="J35" s="47">
        <v>1201047</v>
      </c>
      <c r="K35" s="47" t="s">
        <v>79</v>
      </c>
      <c r="L35" s="47">
        <v>1042228</v>
      </c>
      <c r="M35" s="47" t="s">
        <v>80</v>
      </c>
      <c r="N35" s="47">
        <v>1171089</v>
      </c>
      <c r="O35" s="47" t="s">
        <v>75</v>
      </c>
      <c r="P35" s="47">
        <v>37956186</v>
      </c>
      <c r="Q35" s="47"/>
      <c r="R35" s="47"/>
      <c r="S35" s="47">
        <v>52544024728</v>
      </c>
      <c r="T35" s="47" t="s">
        <v>1402</v>
      </c>
      <c r="U35" s="47" t="s">
        <v>1344</v>
      </c>
      <c r="V35" s="47" t="s">
        <v>1403</v>
      </c>
      <c r="W35" s="47" t="s">
        <v>1331</v>
      </c>
      <c r="X35" s="47" t="s">
        <v>1404</v>
      </c>
      <c r="Y35" s="47">
        <v>3</v>
      </c>
      <c r="Z35" s="47">
        <v>3</v>
      </c>
      <c r="AA35" s="47" t="s">
        <v>1332</v>
      </c>
      <c r="AB35" s="47">
        <v>24</v>
      </c>
      <c r="AC35" s="47" t="s">
        <v>1333</v>
      </c>
      <c r="AD35" s="47">
        <v>130.34</v>
      </c>
      <c r="AE35" s="47" t="s">
        <v>182</v>
      </c>
      <c r="AF35" s="47">
        <v>391.02</v>
      </c>
      <c r="AG35" s="47">
        <v>391.02</v>
      </c>
      <c r="AH35" s="47" t="s">
        <v>182</v>
      </c>
      <c r="AI35" s="47" t="s">
        <v>181</v>
      </c>
      <c r="AJ35" s="47" t="s">
        <v>97</v>
      </c>
      <c r="AK35" s="47"/>
      <c r="AL35" s="47" t="s">
        <v>63</v>
      </c>
      <c r="AM35" s="47" t="s">
        <v>81</v>
      </c>
      <c r="AN35" s="47" t="s">
        <v>88</v>
      </c>
      <c r="AO35" s="48">
        <v>42359</v>
      </c>
      <c r="AP35" s="47" t="s">
        <v>64</v>
      </c>
      <c r="AQ35" s="48">
        <v>42345</v>
      </c>
      <c r="AR35" s="47"/>
      <c r="AS35" s="47"/>
      <c r="AT35" s="47"/>
      <c r="AU35" s="47">
        <v>87944972747978</v>
      </c>
      <c r="AV35" s="47" t="s">
        <v>89</v>
      </c>
      <c r="AW35" s="47" t="s">
        <v>1431</v>
      </c>
    </row>
    <row r="36" spans="1:49" x14ac:dyDescent="0.2">
      <c r="A36" s="47">
        <v>10020050</v>
      </c>
      <c r="B36" s="47">
        <v>50</v>
      </c>
      <c r="C36" s="47" t="s">
        <v>18</v>
      </c>
      <c r="D36" s="47" t="s">
        <v>78</v>
      </c>
      <c r="E36" s="48">
        <v>42345</v>
      </c>
      <c r="F36" s="47">
        <v>93568824</v>
      </c>
      <c r="G36" s="47">
        <v>50</v>
      </c>
      <c r="H36" s="48">
        <v>42300</v>
      </c>
      <c r="I36" s="48">
        <v>42305</v>
      </c>
      <c r="J36" s="47">
        <v>1201494</v>
      </c>
      <c r="K36" s="47" t="s">
        <v>161</v>
      </c>
      <c r="L36" s="47">
        <v>1060523</v>
      </c>
      <c r="M36" s="47" t="s">
        <v>427</v>
      </c>
      <c r="N36" s="47">
        <v>1172005</v>
      </c>
      <c r="O36" s="47" t="s">
        <v>161</v>
      </c>
      <c r="P36" s="47">
        <v>41898</v>
      </c>
      <c r="Q36" s="47"/>
      <c r="R36" s="47"/>
      <c r="S36" s="47">
        <v>472012645</v>
      </c>
      <c r="T36" s="47" t="s">
        <v>1432</v>
      </c>
      <c r="U36" s="47" t="s">
        <v>1322</v>
      </c>
      <c r="V36" s="47" t="s">
        <v>1433</v>
      </c>
      <c r="W36" s="47" t="s">
        <v>1331</v>
      </c>
      <c r="X36" s="47"/>
      <c r="Y36" s="47">
        <v>48</v>
      </c>
      <c r="Z36" s="47">
        <v>24</v>
      </c>
      <c r="AA36" s="47" t="s">
        <v>1332</v>
      </c>
      <c r="AB36" s="47">
        <v>24</v>
      </c>
      <c r="AC36" s="47" t="s">
        <v>1333</v>
      </c>
      <c r="AD36" s="47">
        <v>37.11</v>
      </c>
      <c r="AE36" s="47" t="s">
        <v>182</v>
      </c>
      <c r="AF36" s="49">
        <v>1781.28</v>
      </c>
      <c r="AG36" s="47">
        <v>890.64</v>
      </c>
      <c r="AH36" s="47" t="s">
        <v>182</v>
      </c>
      <c r="AI36" s="47" t="s">
        <v>181</v>
      </c>
      <c r="AJ36" s="47" t="s">
        <v>67</v>
      </c>
      <c r="AK36" s="47"/>
      <c r="AL36" s="47" t="s">
        <v>63</v>
      </c>
      <c r="AM36" s="47" t="s">
        <v>70</v>
      </c>
      <c r="AN36" s="47" t="s">
        <v>76</v>
      </c>
      <c r="AO36" s="48">
        <v>42348</v>
      </c>
      <c r="AP36" s="47" t="s">
        <v>64</v>
      </c>
      <c r="AQ36" s="48">
        <v>42345</v>
      </c>
      <c r="AR36" s="47"/>
      <c r="AS36" s="47"/>
      <c r="AT36" s="47"/>
      <c r="AU36" s="47">
        <v>3527002393</v>
      </c>
      <c r="AV36" s="47" t="s">
        <v>77</v>
      </c>
      <c r="AW36" s="47" t="s">
        <v>1434</v>
      </c>
    </row>
    <row r="37" spans="1:49" x14ac:dyDescent="0.2">
      <c r="A37" s="47">
        <v>10020050</v>
      </c>
      <c r="B37" s="47">
        <v>60</v>
      </c>
      <c r="C37" s="47" t="s">
        <v>18</v>
      </c>
      <c r="D37" s="47" t="s">
        <v>78</v>
      </c>
      <c r="E37" s="48">
        <v>42345</v>
      </c>
      <c r="F37" s="47">
        <v>93568824</v>
      </c>
      <c r="G37" s="47">
        <v>60</v>
      </c>
      <c r="H37" s="48">
        <v>42300</v>
      </c>
      <c r="I37" s="48">
        <v>42305</v>
      </c>
      <c r="J37" s="47">
        <v>1201494</v>
      </c>
      <c r="K37" s="47" t="s">
        <v>161</v>
      </c>
      <c r="L37" s="47">
        <v>1060523</v>
      </c>
      <c r="M37" s="47" t="s">
        <v>427</v>
      </c>
      <c r="N37" s="47">
        <v>1172005</v>
      </c>
      <c r="O37" s="47" t="s">
        <v>161</v>
      </c>
      <c r="P37" s="47">
        <v>41898</v>
      </c>
      <c r="Q37" s="47"/>
      <c r="R37" s="47"/>
      <c r="S37" s="47">
        <v>472015015</v>
      </c>
      <c r="T37" s="47" t="s">
        <v>1435</v>
      </c>
      <c r="U37" s="47" t="s">
        <v>1322</v>
      </c>
      <c r="V37" s="47" t="s">
        <v>1436</v>
      </c>
      <c r="W37" s="47" t="s">
        <v>1331</v>
      </c>
      <c r="X37" s="47">
        <v>67700002</v>
      </c>
      <c r="Y37" s="47">
        <v>108</v>
      </c>
      <c r="Z37" s="47">
        <v>6</v>
      </c>
      <c r="AA37" s="47" t="s">
        <v>1332</v>
      </c>
      <c r="AB37" s="47">
        <v>36</v>
      </c>
      <c r="AC37" s="47" t="s">
        <v>1333</v>
      </c>
      <c r="AD37" s="47">
        <v>28.85</v>
      </c>
      <c r="AE37" s="47" t="s">
        <v>182</v>
      </c>
      <c r="AF37" s="49">
        <v>3115.8</v>
      </c>
      <c r="AG37" s="47">
        <v>173.1</v>
      </c>
      <c r="AH37" s="47" t="s">
        <v>182</v>
      </c>
      <c r="AI37" s="47" t="s">
        <v>181</v>
      </c>
      <c r="AJ37" s="47" t="s">
        <v>67</v>
      </c>
      <c r="AK37" s="47"/>
      <c r="AL37" s="47" t="s">
        <v>63</v>
      </c>
      <c r="AM37" s="47" t="s">
        <v>70</v>
      </c>
      <c r="AN37" s="47" t="s">
        <v>76</v>
      </c>
      <c r="AO37" s="48">
        <v>42348</v>
      </c>
      <c r="AP37" s="47" t="s">
        <v>64</v>
      </c>
      <c r="AQ37" s="48">
        <v>42345</v>
      </c>
      <c r="AR37" s="47"/>
      <c r="AS37" s="47"/>
      <c r="AT37" s="47"/>
      <c r="AU37" s="47">
        <v>3527002393</v>
      </c>
      <c r="AV37" s="47" t="s">
        <v>77</v>
      </c>
      <c r="AW37" s="47" t="s">
        <v>1434</v>
      </c>
    </row>
    <row r="38" spans="1:49" x14ac:dyDescent="0.2">
      <c r="A38" s="47">
        <v>10020050</v>
      </c>
      <c r="B38" s="47">
        <v>190</v>
      </c>
      <c r="C38" s="47" t="s">
        <v>18</v>
      </c>
      <c r="D38" s="47" t="s">
        <v>78</v>
      </c>
      <c r="E38" s="48">
        <v>42345</v>
      </c>
      <c r="F38" s="47">
        <v>93568824</v>
      </c>
      <c r="G38" s="47">
        <v>190</v>
      </c>
      <c r="H38" s="48">
        <v>42300</v>
      </c>
      <c r="I38" s="48">
        <v>42305</v>
      </c>
      <c r="J38" s="47">
        <v>1201494</v>
      </c>
      <c r="K38" s="47" t="s">
        <v>161</v>
      </c>
      <c r="L38" s="47">
        <v>1060523</v>
      </c>
      <c r="M38" s="47" t="s">
        <v>427</v>
      </c>
      <c r="N38" s="47">
        <v>1172005</v>
      </c>
      <c r="O38" s="47" t="s">
        <v>161</v>
      </c>
      <c r="P38" s="47">
        <v>41898</v>
      </c>
      <c r="Q38" s="47"/>
      <c r="R38" s="47"/>
      <c r="S38" s="47">
        <v>591403974</v>
      </c>
      <c r="T38" s="47" t="s">
        <v>1437</v>
      </c>
      <c r="U38" s="47" t="s">
        <v>1322</v>
      </c>
      <c r="V38" s="47" t="s">
        <v>1438</v>
      </c>
      <c r="W38" s="47" t="s">
        <v>1331</v>
      </c>
      <c r="X38" s="47">
        <v>124535</v>
      </c>
      <c r="Y38" s="47">
        <v>24</v>
      </c>
      <c r="Z38" s="47">
        <v>3</v>
      </c>
      <c r="AA38" s="47" t="s">
        <v>1332</v>
      </c>
      <c r="AB38" s="47">
        <v>24</v>
      </c>
      <c r="AC38" s="47" t="s">
        <v>1333</v>
      </c>
      <c r="AD38" s="47">
        <v>293.02999999999997</v>
      </c>
      <c r="AE38" s="47" t="s">
        <v>182</v>
      </c>
      <c r="AF38" s="49">
        <v>7032.72</v>
      </c>
      <c r="AG38" s="47">
        <v>879.09</v>
      </c>
      <c r="AH38" s="47" t="s">
        <v>182</v>
      </c>
      <c r="AI38" s="47" t="s">
        <v>181</v>
      </c>
      <c r="AJ38" s="47" t="s">
        <v>67</v>
      </c>
      <c r="AK38" s="47"/>
      <c r="AL38" s="47" t="s">
        <v>63</v>
      </c>
      <c r="AM38" s="47" t="s">
        <v>70</v>
      </c>
      <c r="AN38" s="47" t="s">
        <v>76</v>
      </c>
      <c r="AO38" s="48">
        <v>42348</v>
      </c>
      <c r="AP38" s="47" t="s">
        <v>64</v>
      </c>
      <c r="AQ38" s="48">
        <v>42345</v>
      </c>
      <c r="AR38" s="47"/>
      <c r="AS38" s="47"/>
      <c r="AT38" s="47"/>
      <c r="AU38" s="47">
        <v>3527002393</v>
      </c>
      <c r="AV38" s="47" t="s">
        <v>77</v>
      </c>
      <c r="AW38" s="47" t="s">
        <v>1434</v>
      </c>
    </row>
    <row r="39" spans="1:49" x14ac:dyDescent="0.2">
      <c r="A39" s="47">
        <v>10020050</v>
      </c>
      <c r="B39" s="47">
        <v>430</v>
      </c>
      <c r="C39" s="47" t="s">
        <v>18</v>
      </c>
      <c r="D39" s="47" t="s">
        <v>78</v>
      </c>
      <c r="E39" s="48">
        <v>42345</v>
      </c>
      <c r="F39" s="47">
        <v>93568824</v>
      </c>
      <c r="G39" s="47">
        <v>430</v>
      </c>
      <c r="H39" s="48">
        <v>42300</v>
      </c>
      <c r="I39" s="48">
        <v>42305</v>
      </c>
      <c r="J39" s="47">
        <v>1201494</v>
      </c>
      <c r="K39" s="47" t="s">
        <v>161</v>
      </c>
      <c r="L39" s="47">
        <v>1060523</v>
      </c>
      <c r="M39" s="47" t="s">
        <v>427</v>
      </c>
      <c r="N39" s="47">
        <v>1172005</v>
      </c>
      <c r="O39" s="47" t="s">
        <v>161</v>
      </c>
      <c r="P39" s="47">
        <v>41898</v>
      </c>
      <c r="Q39" s="47"/>
      <c r="R39" s="47"/>
      <c r="S39" s="47">
        <v>472016615</v>
      </c>
      <c r="T39" s="47" t="s">
        <v>1439</v>
      </c>
      <c r="U39" s="47" t="s">
        <v>1322</v>
      </c>
      <c r="V39" s="47" t="s">
        <v>1440</v>
      </c>
      <c r="W39" s="47" t="s">
        <v>1331</v>
      </c>
      <c r="X39" s="47" t="s">
        <v>1441</v>
      </c>
      <c r="Y39" s="47">
        <v>72</v>
      </c>
      <c r="Z39" s="47">
        <v>7</v>
      </c>
      <c r="AA39" s="47" t="s">
        <v>1332</v>
      </c>
      <c r="AB39" s="47">
        <v>72</v>
      </c>
      <c r="AC39" s="47" t="s">
        <v>1333</v>
      </c>
      <c r="AD39" s="47">
        <v>2.9</v>
      </c>
      <c r="AE39" s="47" t="s">
        <v>182</v>
      </c>
      <c r="AF39" s="47">
        <v>208.8</v>
      </c>
      <c r="AG39" s="47">
        <v>20.3</v>
      </c>
      <c r="AH39" s="47" t="s">
        <v>182</v>
      </c>
      <c r="AI39" s="47" t="s">
        <v>181</v>
      </c>
      <c r="AJ39" s="47" t="s">
        <v>67</v>
      </c>
      <c r="AK39" s="47"/>
      <c r="AL39" s="47" t="s">
        <v>63</v>
      </c>
      <c r="AM39" s="47" t="s">
        <v>70</v>
      </c>
      <c r="AN39" s="47" t="s">
        <v>76</v>
      </c>
      <c r="AO39" s="48">
        <v>42348</v>
      </c>
      <c r="AP39" s="47" t="s">
        <v>64</v>
      </c>
      <c r="AQ39" s="48">
        <v>42345</v>
      </c>
      <c r="AR39" s="47"/>
      <c r="AS39" s="47"/>
      <c r="AT39" s="47"/>
      <c r="AU39" s="47">
        <v>3527002393</v>
      </c>
      <c r="AV39" s="47" t="s">
        <v>77</v>
      </c>
      <c r="AW39" s="47" t="s">
        <v>1434</v>
      </c>
    </row>
    <row r="40" spans="1:49" x14ac:dyDescent="0.2">
      <c r="A40" s="47">
        <v>10020051</v>
      </c>
      <c r="B40" s="47">
        <v>10</v>
      </c>
      <c r="C40" s="47" t="s">
        <v>18</v>
      </c>
      <c r="D40" s="47" t="s">
        <v>252</v>
      </c>
      <c r="E40" s="48">
        <v>42345</v>
      </c>
      <c r="F40" s="47">
        <v>93606405</v>
      </c>
      <c r="G40" s="47">
        <v>10</v>
      </c>
      <c r="H40" s="48">
        <v>42332</v>
      </c>
      <c r="I40" s="48">
        <v>42338</v>
      </c>
      <c r="J40" s="47">
        <v>1324774</v>
      </c>
      <c r="K40" s="47" t="s">
        <v>389</v>
      </c>
      <c r="L40" s="47">
        <v>1317726</v>
      </c>
      <c r="M40" s="47" t="s">
        <v>389</v>
      </c>
      <c r="N40" s="47">
        <v>1324774</v>
      </c>
      <c r="O40" s="47" t="s">
        <v>389</v>
      </c>
      <c r="P40" s="47">
        <v>150000155407</v>
      </c>
      <c r="Q40" s="47"/>
      <c r="R40" s="47"/>
      <c r="S40" s="47">
        <v>591352530</v>
      </c>
      <c r="T40" s="47" t="s">
        <v>1442</v>
      </c>
      <c r="U40" s="47" t="s">
        <v>1322</v>
      </c>
      <c r="V40" s="47" t="s">
        <v>1443</v>
      </c>
      <c r="W40" s="47" t="s">
        <v>1331</v>
      </c>
      <c r="X40" s="47"/>
      <c r="Y40" s="47">
        <v>360</v>
      </c>
      <c r="Z40" s="47">
        <v>24</v>
      </c>
      <c r="AA40" s="47" t="s">
        <v>1332</v>
      </c>
      <c r="AB40" s="47">
        <v>12</v>
      </c>
      <c r="AC40" s="47" t="s">
        <v>1333</v>
      </c>
      <c r="AD40" s="47">
        <v>87</v>
      </c>
      <c r="AE40" s="47" t="s">
        <v>182</v>
      </c>
      <c r="AF40" s="49">
        <v>31320</v>
      </c>
      <c r="AG40" s="49">
        <v>2088</v>
      </c>
      <c r="AH40" s="47" t="s">
        <v>182</v>
      </c>
      <c r="AI40" s="47" t="s">
        <v>181</v>
      </c>
      <c r="AJ40" s="47" t="s">
        <v>67</v>
      </c>
      <c r="AK40" s="47"/>
      <c r="AL40" s="47" t="s">
        <v>63</v>
      </c>
      <c r="AM40" s="47" t="s">
        <v>70</v>
      </c>
      <c r="AN40" s="47" t="s">
        <v>76</v>
      </c>
      <c r="AO40" s="48">
        <v>42348</v>
      </c>
      <c r="AP40" s="47" t="s">
        <v>64</v>
      </c>
      <c r="AQ40" s="48">
        <v>42345</v>
      </c>
      <c r="AR40" s="47"/>
      <c r="AS40" s="47"/>
      <c r="AT40" s="47"/>
      <c r="AU40" s="47">
        <v>3511807121</v>
      </c>
      <c r="AV40" s="47" t="s">
        <v>77</v>
      </c>
      <c r="AW40" s="47" t="s">
        <v>1444</v>
      </c>
    </row>
    <row r="41" spans="1:49" x14ac:dyDescent="0.2">
      <c r="A41" s="47">
        <v>10020052</v>
      </c>
      <c r="B41" s="47">
        <v>30</v>
      </c>
      <c r="C41" s="47" t="s">
        <v>18</v>
      </c>
      <c r="D41" s="47" t="s">
        <v>78</v>
      </c>
      <c r="E41" s="48">
        <v>42345</v>
      </c>
      <c r="F41" s="47">
        <v>93594868</v>
      </c>
      <c r="G41" s="47">
        <v>30</v>
      </c>
      <c r="H41" s="48">
        <v>42321</v>
      </c>
      <c r="I41" s="47"/>
      <c r="J41" s="47">
        <v>1201120</v>
      </c>
      <c r="K41" s="47" t="s">
        <v>117</v>
      </c>
      <c r="L41" s="47">
        <v>1307782</v>
      </c>
      <c r="M41" s="47" t="s">
        <v>119</v>
      </c>
      <c r="N41" s="47">
        <v>1171090</v>
      </c>
      <c r="O41" s="47" t="s">
        <v>118</v>
      </c>
      <c r="P41" s="47" t="s">
        <v>1445</v>
      </c>
      <c r="Q41" s="47"/>
      <c r="R41" s="47"/>
      <c r="S41" s="47">
        <v>430078327</v>
      </c>
      <c r="T41" s="47" t="s">
        <v>1446</v>
      </c>
      <c r="U41" s="47" t="s">
        <v>1381</v>
      </c>
      <c r="V41" s="47" t="s">
        <v>1447</v>
      </c>
      <c r="W41" s="47" t="s">
        <v>1331</v>
      </c>
      <c r="X41" s="47"/>
      <c r="Y41" s="47">
        <v>1548</v>
      </c>
      <c r="Z41" s="47">
        <v>5</v>
      </c>
      <c r="AA41" s="47" t="s">
        <v>1332</v>
      </c>
      <c r="AB41" s="47">
        <v>12</v>
      </c>
      <c r="AC41" s="47" t="s">
        <v>1333</v>
      </c>
      <c r="AD41" s="49">
        <v>1178.3499999999999</v>
      </c>
      <c r="AE41" s="47" t="s">
        <v>182</v>
      </c>
      <c r="AF41" s="49">
        <v>1824085.8</v>
      </c>
      <c r="AG41" s="49">
        <v>5891.75</v>
      </c>
      <c r="AH41" s="47" t="s">
        <v>182</v>
      </c>
      <c r="AI41" s="47" t="s">
        <v>181</v>
      </c>
      <c r="AJ41" s="47" t="s">
        <v>91</v>
      </c>
      <c r="AK41" s="47"/>
      <c r="AL41" s="47" t="s">
        <v>63</v>
      </c>
      <c r="AM41" s="47" t="s">
        <v>70</v>
      </c>
      <c r="AN41" s="47" t="s">
        <v>76</v>
      </c>
      <c r="AO41" s="48">
        <v>42348</v>
      </c>
      <c r="AP41" s="47" t="s">
        <v>64</v>
      </c>
      <c r="AQ41" s="48">
        <v>42345</v>
      </c>
      <c r="AR41" s="47"/>
      <c r="AS41" s="47"/>
      <c r="AT41" s="47"/>
      <c r="AU41" s="47" t="s">
        <v>1448</v>
      </c>
      <c r="AV41" s="47" t="s">
        <v>77</v>
      </c>
      <c r="AW41" s="47" t="s">
        <v>345</v>
      </c>
    </row>
    <row r="42" spans="1:49" x14ac:dyDescent="0.2">
      <c r="A42" s="47">
        <v>10020052</v>
      </c>
      <c r="B42" s="47">
        <v>40</v>
      </c>
      <c r="C42" s="47" t="s">
        <v>18</v>
      </c>
      <c r="D42" s="47" t="s">
        <v>78</v>
      </c>
      <c r="E42" s="48">
        <v>42345</v>
      </c>
      <c r="F42" s="47">
        <v>93594868</v>
      </c>
      <c r="G42" s="47">
        <v>40</v>
      </c>
      <c r="H42" s="48">
        <v>42321</v>
      </c>
      <c r="I42" s="47"/>
      <c r="J42" s="47">
        <v>1201120</v>
      </c>
      <c r="K42" s="47" t="s">
        <v>117</v>
      </c>
      <c r="L42" s="47">
        <v>1307782</v>
      </c>
      <c r="M42" s="47" t="s">
        <v>119</v>
      </c>
      <c r="N42" s="47">
        <v>1171090</v>
      </c>
      <c r="O42" s="47" t="s">
        <v>118</v>
      </c>
      <c r="P42" s="47" t="s">
        <v>1445</v>
      </c>
      <c r="Q42" s="47"/>
      <c r="R42" s="47"/>
      <c r="S42" s="47">
        <v>430054050</v>
      </c>
      <c r="T42" s="47" t="s">
        <v>1449</v>
      </c>
      <c r="U42" s="47" t="s">
        <v>1450</v>
      </c>
      <c r="V42" s="47" t="s">
        <v>1451</v>
      </c>
      <c r="W42" s="47" t="s">
        <v>1331</v>
      </c>
      <c r="X42" s="47"/>
      <c r="Y42" s="47">
        <v>4032</v>
      </c>
      <c r="Z42" s="47">
        <v>2</v>
      </c>
      <c r="AA42" s="47" t="s">
        <v>1332</v>
      </c>
      <c r="AB42" s="47">
        <v>72</v>
      </c>
      <c r="AC42" s="47" t="s">
        <v>1333</v>
      </c>
      <c r="AD42" s="47">
        <v>645.45000000000005</v>
      </c>
      <c r="AE42" s="47" t="s">
        <v>182</v>
      </c>
      <c r="AF42" s="49">
        <v>2602454.4</v>
      </c>
      <c r="AG42" s="49">
        <v>1290.9000000000001</v>
      </c>
      <c r="AH42" s="47" t="s">
        <v>182</v>
      </c>
      <c r="AI42" s="47" t="s">
        <v>181</v>
      </c>
      <c r="AJ42" s="47" t="s">
        <v>91</v>
      </c>
      <c r="AK42" s="47"/>
      <c r="AL42" s="47" t="s">
        <v>63</v>
      </c>
      <c r="AM42" s="47" t="s">
        <v>70</v>
      </c>
      <c r="AN42" s="47" t="s">
        <v>76</v>
      </c>
      <c r="AO42" s="48">
        <v>42348</v>
      </c>
      <c r="AP42" s="47" t="s">
        <v>64</v>
      </c>
      <c r="AQ42" s="48">
        <v>42345</v>
      </c>
      <c r="AR42" s="47"/>
      <c r="AS42" s="47"/>
      <c r="AT42" s="47"/>
      <c r="AU42" s="47" t="s">
        <v>1448</v>
      </c>
      <c r="AV42" s="47" t="s">
        <v>77</v>
      </c>
      <c r="AW42" s="47" t="s">
        <v>345</v>
      </c>
    </row>
    <row r="43" spans="1:49" x14ac:dyDescent="0.2">
      <c r="A43" s="47">
        <v>10020053</v>
      </c>
      <c r="B43" s="47">
        <v>20</v>
      </c>
      <c r="C43" s="47" t="s">
        <v>18</v>
      </c>
      <c r="D43" s="47" t="s">
        <v>573</v>
      </c>
      <c r="E43" s="48">
        <v>42345</v>
      </c>
      <c r="F43" s="47">
        <v>93614305</v>
      </c>
      <c r="G43" s="47">
        <v>20</v>
      </c>
      <c r="H43" s="48">
        <v>42340</v>
      </c>
      <c r="I43" s="47"/>
      <c r="J43" s="47">
        <v>1201674</v>
      </c>
      <c r="K43" s="47" t="s">
        <v>371</v>
      </c>
      <c r="L43" s="47">
        <v>1201674</v>
      </c>
      <c r="M43" s="47" t="s">
        <v>371</v>
      </c>
      <c r="N43" s="47">
        <v>1201674</v>
      </c>
      <c r="O43" s="47" t="s">
        <v>371</v>
      </c>
      <c r="P43" s="47">
        <v>477729</v>
      </c>
      <c r="Q43" s="47"/>
      <c r="R43" s="47"/>
      <c r="S43" s="47">
        <v>456074413</v>
      </c>
      <c r="T43" s="47" t="s">
        <v>1452</v>
      </c>
      <c r="U43" s="47" t="s">
        <v>1340</v>
      </c>
      <c r="V43" s="47" t="s">
        <v>1453</v>
      </c>
      <c r="W43" s="47" t="s">
        <v>1331</v>
      </c>
      <c r="X43" s="47">
        <v>669401</v>
      </c>
      <c r="Y43" s="47">
        <v>6</v>
      </c>
      <c r="Z43" s="47">
        <v>1</v>
      </c>
      <c r="AA43" s="47" t="s">
        <v>1332</v>
      </c>
      <c r="AB43" s="47">
        <v>12</v>
      </c>
      <c r="AC43" s="47" t="s">
        <v>1333</v>
      </c>
      <c r="AD43" s="47">
        <v>44.52</v>
      </c>
      <c r="AE43" s="47" t="s">
        <v>182</v>
      </c>
      <c r="AF43" s="47">
        <v>267.12</v>
      </c>
      <c r="AG43" s="47">
        <v>44.52</v>
      </c>
      <c r="AH43" s="47" t="s">
        <v>182</v>
      </c>
      <c r="AI43" s="47" t="s">
        <v>181</v>
      </c>
      <c r="AJ43" s="47" t="s">
        <v>102</v>
      </c>
      <c r="AK43" s="47"/>
      <c r="AL43" s="47" t="s">
        <v>63</v>
      </c>
      <c r="AM43" s="47" t="s">
        <v>70</v>
      </c>
      <c r="AN43" s="47" t="s">
        <v>76</v>
      </c>
      <c r="AO43" s="48">
        <v>42348</v>
      </c>
      <c r="AP43" s="47" t="s">
        <v>64</v>
      </c>
      <c r="AQ43" s="48">
        <v>42345</v>
      </c>
      <c r="AR43" s="47"/>
      <c r="AS43" s="47"/>
      <c r="AT43" s="47"/>
      <c r="AU43" s="47">
        <v>649275148075</v>
      </c>
      <c r="AV43" s="47" t="s">
        <v>77</v>
      </c>
      <c r="AW43" s="47" t="s">
        <v>323</v>
      </c>
    </row>
    <row r="44" spans="1:49" x14ac:dyDescent="0.2">
      <c r="A44" s="47">
        <v>10020054</v>
      </c>
      <c r="B44" s="47">
        <v>40</v>
      </c>
      <c r="C44" s="47" t="s">
        <v>26</v>
      </c>
      <c r="D44" s="47" t="s">
        <v>573</v>
      </c>
      <c r="E44" s="48">
        <v>42345</v>
      </c>
      <c r="F44" s="47">
        <v>93616237</v>
      </c>
      <c r="G44" s="47">
        <v>40</v>
      </c>
      <c r="H44" s="48">
        <v>42341</v>
      </c>
      <c r="I44" s="47"/>
      <c r="J44" s="47">
        <v>1201675</v>
      </c>
      <c r="K44" s="47" t="s">
        <v>165</v>
      </c>
      <c r="L44" s="47">
        <v>1201675</v>
      </c>
      <c r="M44" s="47" t="s">
        <v>165</v>
      </c>
      <c r="N44" s="47">
        <v>1172015</v>
      </c>
      <c r="O44" s="47" t="s">
        <v>165</v>
      </c>
      <c r="P44" s="47" t="s">
        <v>1454</v>
      </c>
      <c r="Q44" s="47"/>
      <c r="R44" s="47"/>
      <c r="S44" s="47">
        <v>456120130</v>
      </c>
      <c r="T44" s="47" t="s">
        <v>1455</v>
      </c>
      <c r="U44" s="47" t="s">
        <v>1381</v>
      </c>
      <c r="V44" s="47" t="s">
        <v>1456</v>
      </c>
      <c r="W44" s="47" t="s">
        <v>1331</v>
      </c>
      <c r="X44" s="47" t="s">
        <v>1457</v>
      </c>
      <c r="Y44" s="47">
        <v>276</v>
      </c>
      <c r="Z44" s="47">
        <v>12</v>
      </c>
      <c r="AA44" s="47" t="s">
        <v>1332</v>
      </c>
      <c r="AB44" s="47">
        <v>144</v>
      </c>
      <c r="AC44" s="47" t="s">
        <v>1333</v>
      </c>
      <c r="AD44" s="47">
        <v>304.54000000000002</v>
      </c>
      <c r="AE44" s="47" t="s">
        <v>182</v>
      </c>
      <c r="AF44" s="49">
        <v>84053.04</v>
      </c>
      <c r="AG44" s="49">
        <v>3654.48</v>
      </c>
      <c r="AH44" s="47" t="s">
        <v>182</v>
      </c>
      <c r="AI44" s="47" t="s">
        <v>181</v>
      </c>
      <c r="AJ44" s="47" t="s">
        <v>102</v>
      </c>
      <c r="AK44" s="47"/>
      <c r="AL44" s="47" t="s">
        <v>63</v>
      </c>
      <c r="AM44" s="47" t="s">
        <v>94</v>
      </c>
      <c r="AN44" s="47" t="s">
        <v>95</v>
      </c>
      <c r="AO44" s="48">
        <v>42348</v>
      </c>
      <c r="AP44" s="47" t="s">
        <v>64</v>
      </c>
      <c r="AQ44" s="48">
        <v>42345</v>
      </c>
      <c r="AR44" s="47"/>
      <c r="AS44" s="47"/>
      <c r="AT44" s="47"/>
      <c r="AU44" s="47">
        <v>649275151174</v>
      </c>
      <c r="AV44" s="47" t="s">
        <v>96</v>
      </c>
      <c r="AW44" s="47" t="s">
        <v>1458</v>
      </c>
    </row>
    <row r="45" spans="1:49" x14ac:dyDescent="0.2">
      <c r="A45" s="47">
        <v>10020058</v>
      </c>
      <c r="B45" s="47">
        <v>1230</v>
      </c>
      <c r="C45" s="47" t="s">
        <v>26</v>
      </c>
      <c r="D45" s="47" t="s">
        <v>78</v>
      </c>
      <c r="E45" s="48">
        <v>42345</v>
      </c>
      <c r="F45" s="47">
        <v>93615714</v>
      </c>
      <c r="G45" s="47">
        <v>1230</v>
      </c>
      <c r="H45" s="48">
        <v>42341</v>
      </c>
      <c r="I45" s="47"/>
      <c r="J45" s="47">
        <v>1201047</v>
      </c>
      <c r="K45" s="47" t="s">
        <v>79</v>
      </c>
      <c r="L45" s="47">
        <v>1051671</v>
      </c>
      <c r="M45" s="47" t="s">
        <v>80</v>
      </c>
      <c r="N45" s="47">
        <v>1171089</v>
      </c>
      <c r="O45" s="47" t="s">
        <v>75</v>
      </c>
      <c r="P45" s="47">
        <v>49766523</v>
      </c>
      <c r="Q45" s="47"/>
      <c r="R45" s="47"/>
      <c r="S45" s="47">
        <v>52544024828</v>
      </c>
      <c r="T45" s="47" t="s">
        <v>1460</v>
      </c>
      <c r="U45" s="47" t="s">
        <v>1344</v>
      </c>
      <c r="V45" s="47" t="s">
        <v>1461</v>
      </c>
      <c r="W45" s="47" t="s">
        <v>1331</v>
      </c>
      <c r="X45" s="47"/>
      <c r="Y45" s="47">
        <v>384</v>
      </c>
      <c r="Z45" s="47">
        <v>336</v>
      </c>
      <c r="AA45" s="47" t="s">
        <v>1332</v>
      </c>
      <c r="AB45" s="47">
        <v>24</v>
      </c>
      <c r="AC45" s="47" t="s">
        <v>1333</v>
      </c>
      <c r="AD45" s="47">
        <v>147.38999999999999</v>
      </c>
      <c r="AE45" s="47" t="s">
        <v>182</v>
      </c>
      <c r="AF45" s="49">
        <v>56597.760000000002</v>
      </c>
      <c r="AG45" s="49">
        <v>49523.040000000001</v>
      </c>
      <c r="AH45" s="47" t="s">
        <v>182</v>
      </c>
      <c r="AI45" s="47" t="s">
        <v>181</v>
      </c>
      <c r="AJ45" s="47" t="s">
        <v>91</v>
      </c>
      <c r="AK45" s="47"/>
      <c r="AL45" s="47" t="s">
        <v>63</v>
      </c>
      <c r="AM45" s="47"/>
      <c r="AN45" s="47"/>
      <c r="AO45" s="47"/>
      <c r="AP45" s="47"/>
      <c r="AQ45" s="47"/>
      <c r="AR45" s="47"/>
      <c r="AS45" s="47"/>
      <c r="AT45" s="47"/>
      <c r="AU45" s="47" t="s">
        <v>1462</v>
      </c>
      <c r="AV45" s="47"/>
      <c r="AW45" s="47"/>
    </row>
    <row r="46" spans="1:49" x14ac:dyDescent="0.2">
      <c r="A46" s="47">
        <v>10020060</v>
      </c>
      <c r="B46" s="47">
        <v>10</v>
      </c>
      <c r="C46" s="47" t="s">
        <v>22</v>
      </c>
      <c r="D46" s="47" t="s">
        <v>78</v>
      </c>
      <c r="E46" s="48">
        <v>42345</v>
      </c>
      <c r="F46" s="47"/>
      <c r="G46" s="47">
        <v>10</v>
      </c>
      <c r="H46" s="47"/>
      <c r="I46" s="47"/>
      <c r="J46" s="47">
        <v>1201047</v>
      </c>
      <c r="K46" s="47" t="s">
        <v>79</v>
      </c>
      <c r="L46" s="47">
        <v>1051671</v>
      </c>
      <c r="M46" s="47" t="s">
        <v>80</v>
      </c>
      <c r="N46" s="47">
        <v>1171089</v>
      </c>
      <c r="O46" s="47" t="s">
        <v>75</v>
      </c>
      <c r="P46" s="47">
        <v>49766523</v>
      </c>
      <c r="Q46" s="47"/>
      <c r="R46" s="47"/>
      <c r="S46" s="47">
        <v>62037057701</v>
      </c>
      <c r="T46" s="47" t="s">
        <v>1463</v>
      </c>
      <c r="U46" s="47" t="s">
        <v>1322</v>
      </c>
      <c r="V46" s="47" t="s">
        <v>1464</v>
      </c>
      <c r="W46" s="47" t="s">
        <v>1331</v>
      </c>
      <c r="X46" s="47"/>
      <c r="Y46" s="47">
        <v>0</v>
      </c>
      <c r="Z46" s="47">
        <v>1152</v>
      </c>
      <c r="AA46" s="47" t="s">
        <v>1324</v>
      </c>
      <c r="AB46" s="47">
        <v>48</v>
      </c>
      <c r="AC46" s="47" t="s">
        <v>1325</v>
      </c>
      <c r="AD46" s="47">
        <v>0</v>
      </c>
      <c r="AE46" s="47" t="s">
        <v>182</v>
      </c>
      <c r="AF46" s="47">
        <v>0</v>
      </c>
      <c r="AG46" s="47">
        <v>0</v>
      </c>
      <c r="AH46" s="47" t="s">
        <v>182</v>
      </c>
      <c r="AI46" s="47" t="s">
        <v>181</v>
      </c>
      <c r="AJ46" s="47"/>
      <c r="AK46" s="47"/>
      <c r="AL46" s="47" t="s">
        <v>63</v>
      </c>
      <c r="AM46" s="47" t="s">
        <v>94</v>
      </c>
      <c r="AN46" s="47" t="s">
        <v>82</v>
      </c>
      <c r="AO46" s="48">
        <v>42352</v>
      </c>
      <c r="AP46" s="47" t="s">
        <v>64</v>
      </c>
      <c r="AQ46" s="48">
        <v>42345</v>
      </c>
      <c r="AR46" s="47"/>
      <c r="AS46" s="47"/>
      <c r="AT46" s="47"/>
      <c r="AU46" s="47"/>
      <c r="AV46" s="47" t="s">
        <v>142</v>
      </c>
      <c r="AW46" s="47" t="s">
        <v>1465</v>
      </c>
    </row>
    <row r="47" spans="1:49" x14ac:dyDescent="0.2">
      <c r="A47" s="47">
        <v>10020066</v>
      </c>
      <c r="B47" s="47">
        <v>990</v>
      </c>
      <c r="C47" s="47" t="s">
        <v>26</v>
      </c>
      <c r="D47" s="47" t="s">
        <v>78</v>
      </c>
      <c r="E47" s="48">
        <v>42345</v>
      </c>
      <c r="F47" s="47">
        <v>93589811</v>
      </c>
      <c r="G47" s="47">
        <v>990</v>
      </c>
      <c r="H47" s="48">
        <v>42318</v>
      </c>
      <c r="I47" s="47"/>
      <c r="J47" s="47">
        <v>1201047</v>
      </c>
      <c r="K47" s="47" t="s">
        <v>79</v>
      </c>
      <c r="L47" s="47">
        <v>1003713</v>
      </c>
      <c r="M47" s="47" t="s">
        <v>80</v>
      </c>
      <c r="N47" s="47">
        <v>1171089</v>
      </c>
      <c r="O47" s="47" t="s">
        <v>75</v>
      </c>
      <c r="P47" s="47">
        <v>32763172</v>
      </c>
      <c r="Q47" s="47"/>
      <c r="R47" s="47"/>
      <c r="S47" s="47">
        <v>472080302</v>
      </c>
      <c r="T47" s="47" t="s">
        <v>1466</v>
      </c>
      <c r="U47" s="47" t="s">
        <v>1322</v>
      </c>
      <c r="V47" s="47" t="s">
        <v>1467</v>
      </c>
      <c r="W47" s="47" t="s">
        <v>1331</v>
      </c>
      <c r="X47" s="47" t="s">
        <v>1468</v>
      </c>
      <c r="Y47" s="47">
        <v>24</v>
      </c>
      <c r="Z47" s="47">
        <v>24</v>
      </c>
      <c r="AA47" s="47" t="s">
        <v>1332</v>
      </c>
      <c r="AB47" s="47">
        <v>24</v>
      </c>
      <c r="AC47" s="47" t="s">
        <v>1333</v>
      </c>
      <c r="AD47" s="47">
        <v>236.88</v>
      </c>
      <c r="AE47" s="47" t="s">
        <v>182</v>
      </c>
      <c r="AF47" s="49">
        <v>5685.12</v>
      </c>
      <c r="AG47" s="49">
        <v>5685.12</v>
      </c>
      <c r="AH47" s="47" t="s">
        <v>182</v>
      </c>
      <c r="AI47" s="47" t="s">
        <v>181</v>
      </c>
      <c r="AJ47" s="47" t="s">
        <v>91</v>
      </c>
      <c r="AK47" s="47"/>
      <c r="AL47" s="47" t="s">
        <v>69</v>
      </c>
      <c r="AM47" s="47" t="s">
        <v>94</v>
      </c>
      <c r="AN47" s="47" t="s">
        <v>95</v>
      </c>
      <c r="AO47" s="48">
        <v>42356</v>
      </c>
      <c r="AP47" s="47" t="s">
        <v>64</v>
      </c>
      <c r="AQ47" s="48">
        <v>42345</v>
      </c>
      <c r="AR47" s="47" t="s">
        <v>100</v>
      </c>
      <c r="AS47" s="47">
        <v>62050479</v>
      </c>
      <c r="AT47" s="48">
        <v>42368</v>
      </c>
      <c r="AU47" s="47" t="s">
        <v>1278</v>
      </c>
      <c r="AV47" s="47" t="s">
        <v>96</v>
      </c>
      <c r="AW47" s="47" t="s">
        <v>1469</v>
      </c>
    </row>
    <row r="48" spans="1:49" x14ac:dyDescent="0.2">
      <c r="A48" s="47">
        <v>10020067</v>
      </c>
      <c r="B48" s="47">
        <v>310</v>
      </c>
      <c r="C48" s="47" t="s">
        <v>18</v>
      </c>
      <c r="D48" s="47" t="s">
        <v>78</v>
      </c>
      <c r="E48" s="48">
        <v>42345</v>
      </c>
      <c r="F48" s="47">
        <v>93614101</v>
      </c>
      <c r="G48" s="47">
        <v>310</v>
      </c>
      <c r="H48" s="48">
        <v>42340</v>
      </c>
      <c r="I48" s="48">
        <v>42345</v>
      </c>
      <c r="J48" s="47">
        <v>1201315</v>
      </c>
      <c r="K48" s="47" t="s">
        <v>256</v>
      </c>
      <c r="L48" s="47">
        <v>1319929</v>
      </c>
      <c r="M48" s="47" t="s">
        <v>558</v>
      </c>
      <c r="N48" s="47">
        <v>1201315</v>
      </c>
      <c r="O48" s="47" t="s">
        <v>256</v>
      </c>
      <c r="P48" s="47">
        <v>5674619</v>
      </c>
      <c r="Q48" s="47"/>
      <c r="R48" s="47"/>
      <c r="S48" s="47">
        <v>591379760</v>
      </c>
      <c r="T48" s="47" t="s">
        <v>1411</v>
      </c>
      <c r="U48" s="47" t="s">
        <v>1322</v>
      </c>
      <c r="V48" s="47" t="s">
        <v>1412</v>
      </c>
      <c r="W48" s="47" t="s">
        <v>1331</v>
      </c>
      <c r="X48" s="47"/>
      <c r="Y48" s="47">
        <v>240</v>
      </c>
      <c r="Z48" s="47">
        <v>1</v>
      </c>
      <c r="AA48" s="47" t="s">
        <v>1369</v>
      </c>
      <c r="AB48" s="47">
        <v>12</v>
      </c>
      <c r="AC48" s="47" t="s">
        <v>1370</v>
      </c>
      <c r="AD48" s="47">
        <v>9.6</v>
      </c>
      <c r="AE48" s="47" t="s">
        <v>182</v>
      </c>
      <c r="AF48" s="49">
        <v>2304</v>
      </c>
      <c r="AG48" s="47">
        <v>115.2</v>
      </c>
      <c r="AH48" s="47" t="s">
        <v>182</v>
      </c>
      <c r="AI48" s="47" t="s">
        <v>181</v>
      </c>
      <c r="AJ48" s="47" t="s">
        <v>67</v>
      </c>
      <c r="AK48" s="47"/>
      <c r="AL48" s="47" t="s">
        <v>69</v>
      </c>
      <c r="AM48" s="47" t="s">
        <v>70</v>
      </c>
      <c r="AN48" s="47" t="s">
        <v>76</v>
      </c>
      <c r="AO48" s="48">
        <v>42348</v>
      </c>
      <c r="AP48" s="47" t="s">
        <v>64</v>
      </c>
      <c r="AQ48" s="48">
        <v>42345</v>
      </c>
      <c r="AR48" s="47" t="s">
        <v>100</v>
      </c>
      <c r="AS48" s="47">
        <v>62050325</v>
      </c>
      <c r="AT48" s="48">
        <v>42366</v>
      </c>
      <c r="AU48" s="47">
        <v>3511806336</v>
      </c>
      <c r="AV48" s="47" t="s">
        <v>77</v>
      </c>
      <c r="AW48" s="47" t="s">
        <v>418</v>
      </c>
    </row>
    <row r="49" spans="1:49" x14ac:dyDescent="0.2">
      <c r="A49" s="47">
        <v>10020074</v>
      </c>
      <c r="B49" s="47">
        <v>1220</v>
      </c>
      <c r="C49" s="47" t="s">
        <v>18</v>
      </c>
      <c r="D49" s="47" t="s">
        <v>573</v>
      </c>
      <c r="E49" s="48">
        <v>42346</v>
      </c>
      <c r="F49" s="47">
        <v>93615834</v>
      </c>
      <c r="G49" s="47">
        <v>1220</v>
      </c>
      <c r="H49" s="48">
        <v>42341</v>
      </c>
      <c r="I49" s="47"/>
      <c r="J49" s="47">
        <v>1201120</v>
      </c>
      <c r="K49" s="47" t="s">
        <v>117</v>
      </c>
      <c r="L49" s="47">
        <v>1307782</v>
      </c>
      <c r="M49" s="47" t="s">
        <v>119</v>
      </c>
      <c r="N49" s="47">
        <v>1171090</v>
      </c>
      <c r="O49" s="47" t="s">
        <v>118</v>
      </c>
      <c r="P49" s="47" t="s">
        <v>1260</v>
      </c>
      <c r="Q49" s="47"/>
      <c r="R49" s="47"/>
      <c r="S49" s="47">
        <v>60758018805</v>
      </c>
      <c r="T49" s="47" t="s">
        <v>1471</v>
      </c>
      <c r="U49" s="47" t="s">
        <v>1322</v>
      </c>
      <c r="V49" s="47" t="s">
        <v>1472</v>
      </c>
      <c r="W49" s="47" t="s">
        <v>1331</v>
      </c>
      <c r="X49" s="47">
        <v>90430</v>
      </c>
      <c r="Y49" s="47">
        <v>648</v>
      </c>
      <c r="Z49" s="47">
        <v>3</v>
      </c>
      <c r="AA49" s="47" t="s">
        <v>1332</v>
      </c>
      <c r="AB49" s="47">
        <v>72</v>
      </c>
      <c r="AC49" s="47" t="s">
        <v>1333</v>
      </c>
      <c r="AD49" s="47">
        <v>3.96</v>
      </c>
      <c r="AE49" s="47" t="s">
        <v>182</v>
      </c>
      <c r="AF49" s="49">
        <v>2566.08</v>
      </c>
      <c r="AG49" s="47">
        <v>11.88</v>
      </c>
      <c r="AH49" s="47" t="s">
        <v>182</v>
      </c>
      <c r="AI49" s="47" t="s">
        <v>181</v>
      </c>
      <c r="AJ49" s="47" t="s">
        <v>97</v>
      </c>
      <c r="AK49" s="47"/>
      <c r="AL49" s="47" t="s">
        <v>63</v>
      </c>
      <c r="AM49" s="47" t="s">
        <v>70</v>
      </c>
      <c r="AN49" s="47" t="s">
        <v>76</v>
      </c>
      <c r="AO49" s="48">
        <v>42348</v>
      </c>
      <c r="AP49" s="47" t="s">
        <v>64</v>
      </c>
      <c r="AQ49" s="48">
        <v>42346</v>
      </c>
      <c r="AR49" s="47"/>
      <c r="AS49" s="47"/>
      <c r="AT49" s="47"/>
      <c r="AU49" s="47">
        <v>87944972760786</v>
      </c>
      <c r="AV49" s="47" t="s">
        <v>77</v>
      </c>
      <c r="AW49" s="47" t="s">
        <v>127</v>
      </c>
    </row>
    <row r="50" spans="1:49" x14ac:dyDescent="0.2">
      <c r="A50" s="47">
        <v>10020077</v>
      </c>
      <c r="B50" s="47">
        <v>2140</v>
      </c>
      <c r="C50" s="47" t="s">
        <v>18</v>
      </c>
      <c r="D50" s="47" t="s">
        <v>573</v>
      </c>
      <c r="E50" s="48">
        <v>42346</v>
      </c>
      <c r="F50" s="47">
        <v>93615825</v>
      </c>
      <c r="G50" s="47">
        <v>2140</v>
      </c>
      <c r="H50" s="48">
        <v>42341</v>
      </c>
      <c r="I50" s="47"/>
      <c r="J50" s="47">
        <v>1201120</v>
      </c>
      <c r="K50" s="47" t="s">
        <v>117</v>
      </c>
      <c r="L50" s="47">
        <v>1307782</v>
      </c>
      <c r="M50" s="47" t="s">
        <v>119</v>
      </c>
      <c r="N50" s="47">
        <v>1171090</v>
      </c>
      <c r="O50" s="47" t="s">
        <v>118</v>
      </c>
      <c r="P50" s="47" t="s">
        <v>1477</v>
      </c>
      <c r="Q50" s="47"/>
      <c r="R50" s="47"/>
      <c r="S50" s="47">
        <v>52544024728</v>
      </c>
      <c r="T50" s="47" t="s">
        <v>1402</v>
      </c>
      <c r="U50" s="47" t="s">
        <v>1344</v>
      </c>
      <c r="V50" s="47" t="s">
        <v>1403</v>
      </c>
      <c r="W50" s="47" t="s">
        <v>1331</v>
      </c>
      <c r="X50" s="47"/>
      <c r="Y50" s="47">
        <v>120</v>
      </c>
      <c r="Z50" s="47">
        <v>11</v>
      </c>
      <c r="AA50" s="47" t="s">
        <v>1332</v>
      </c>
      <c r="AB50" s="47">
        <v>24</v>
      </c>
      <c r="AC50" s="47" t="s">
        <v>1333</v>
      </c>
      <c r="AD50" s="47">
        <v>130.34</v>
      </c>
      <c r="AE50" s="47" t="s">
        <v>182</v>
      </c>
      <c r="AF50" s="49">
        <v>15640.8</v>
      </c>
      <c r="AG50" s="49">
        <v>1433.74</v>
      </c>
      <c r="AH50" s="47" t="s">
        <v>182</v>
      </c>
      <c r="AI50" s="47" t="s">
        <v>181</v>
      </c>
      <c r="AJ50" s="47" t="s">
        <v>97</v>
      </c>
      <c r="AK50" s="47"/>
      <c r="AL50" s="47" t="s">
        <v>63</v>
      </c>
      <c r="AM50" s="47" t="s">
        <v>70</v>
      </c>
      <c r="AN50" s="47" t="s">
        <v>76</v>
      </c>
      <c r="AO50" s="48">
        <v>42348</v>
      </c>
      <c r="AP50" s="47" t="s">
        <v>64</v>
      </c>
      <c r="AQ50" s="48">
        <v>42346</v>
      </c>
      <c r="AR50" s="47"/>
      <c r="AS50" s="47"/>
      <c r="AT50" s="47"/>
      <c r="AU50" s="47">
        <v>87944972759247</v>
      </c>
      <c r="AV50" s="47" t="s">
        <v>77</v>
      </c>
      <c r="AW50" s="47" t="s">
        <v>774</v>
      </c>
    </row>
    <row r="51" spans="1:49" x14ac:dyDescent="0.2">
      <c r="A51" s="47">
        <v>10020078</v>
      </c>
      <c r="B51" s="47">
        <v>10</v>
      </c>
      <c r="C51" s="47" t="s">
        <v>18</v>
      </c>
      <c r="D51" s="47" t="s">
        <v>573</v>
      </c>
      <c r="E51" s="48">
        <v>42346</v>
      </c>
      <c r="F51" s="47">
        <v>93610150</v>
      </c>
      <c r="G51" s="47">
        <v>10</v>
      </c>
      <c r="H51" s="48">
        <v>42338</v>
      </c>
      <c r="I51" s="47"/>
      <c r="J51" s="47">
        <v>1201108</v>
      </c>
      <c r="K51" s="47" t="s">
        <v>674</v>
      </c>
      <c r="L51" s="47">
        <v>1201108</v>
      </c>
      <c r="M51" s="47" t="s">
        <v>674</v>
      </c>
      <c r="N51" s="47">
        <v>1201108</v>
      </c>
      <c r="O51" s="47" t="s">
        <v>674</v>
      </c>
      <c r="P51" s="47">
        <v>313927</v>
      </c>
      <c r="Q51" s="47"/>
      <c r="R51" s="47"/>
      <c r="S51" s="47">
        <v>42865030302</v>
      </c>
      <c r="T51" s="47" t="s">
        <v>1478</v>
      </c>
      <c r="U51" s="47" t="s">
        <v>1381</v>
      </c>
      <c r="V51" s="47" t="s">
        <v>1382</v>
      </c>
      <c r="W51" s="47" t="s">
        <v>1331</v>
      </c>
      <c r="X51" s="47" t="s">
        <v>1479</v>
      </c>
      <c r="Y51" s="47">
        <v>2</v>
      </c>
      <c r="Z51" s="47">
        <v>1</v>
      </c>
      <c r="AA51" s="47" t="s">
        <v>1332</v>
      </c>
      <c r="AB51" s="47">
        <v>25</v>
      </c>
      <c r="AC51" s="47" t="s">
        <v>1333</v>
      </c>
      <c r="AD51" s="47">
        <v>461.81</v>
      </c>
      <c r="AE51" s="47" t="s">
        <v>182</v>
      </c>
      <c r="AF51" s="47">
        <v>923.62</v>
      </c>
      <c r="AG51" s="47">
        <v>461.81</v>
      </c>
      <c r="AH51" s="47" t="s">
        <v>182</v>
      </c>
      <c r="AI51" s="47" t="s">
        <v>181</v>
      </c>
      <c r="AJ51" s="47" t="s">
        <v>97</v>
      </c>
      <c r="AK51" s="47"/>
      <c r="AL51" s="47" t="s">
        <v>63</v>
      </c>
      <c r="AM51" s="47" t="s">
        <v>70</v>
      </c>
      <c r="AN51" s="47" t="s">
        <v>76</v>
      </c>
      <c r="AO51" s="48">
        <v>42348</v>
      </c>
      <c r="AP51" s="47" t="s">
        <v>64</v>
      </c>
      <c r="AQ51" s="48">
        <v>42346</v>
      </c>
      <c r="AR51" s="47"/>
      <c r="AS51" s="47"/>
      <c r="AT51" s="47"/>
      <c r="AU51" s="47">
        <v>87944972745714</v>
      </c>
      <c r="AV51" s="47" t="s">
        <v>77</v>
      </c>
      <c r="AW51" s="47" t="s">
        <v>323</v>
      </c>
    </row>
    <row r="52" spans="1:49" x14ac:dyDescent="0.2">
      <c r="A52" s="47">
        <v>10020082</v>
      </c>
      <c r="B52" s="47">
        <v>30</v>
      </c>
      <c r="C52" s="47" t="s">
        <v>26</v>
      </c>
      <c r="D52" s="47" t="s">
        <v>573</v>
      </c>
      <c r="E52" s="48">
        <v>42346</v>
      </c>
      <c r="F52" s="47">
        <v>93604498</v>
      </c>
      <c r="G52" s="47">
        <v>30</v>
      </c>
      <c r="H52" s="48">
        <v>42331</v>
      </c>
      <c r="I52" s="47"/>
      <c r="J52" s="47">
        <v>1318826</v>
      </c>
      <c r="K52" s="47" t="s">
        <v>110</v>
      </c>
      <c r="L52" s="47">
        <v>1131869</v>
      </c>
      <c r="M52" s="47" t="s">
        <v>366</v>
      </c>
      <c r="N52" s="47">
        <v>1318826</v>
      </c>
      <c r="O52" s="47" t="s">
        <v>110</v>
      </c>
      <c r="P52" s="47">
        <v>3018305</v>
      </c>
      <c r="Q52" s="47"/>
      <c r="R52" s="47"/>
      <c r="S52" s="47">
        <v>16252060144</v>
      </c>
      <c r="T52" s="47" t="s">
        <v>1350</v>
      </c>
      <c r="U52" s="47" t="s">
        <v>1322</v>
      </c>
      <c r="V52" s="47" t="s">
        <v>1351</v>
      </c>
      <c r="W52" s="47" t="s">
        <v>1331</v>
      </c>
      <c r="X52" s="47"/>
      <c r="Y52" s="47">
        <v>8100</v>
      </c>
      <c r="Z52" s="47">
        <v>2184</v>
      </c>
      <c r="AA52" s="47" t="s">
        <v>1332</v>
      </c>
      <c r="AB52" s="47">
        <v>312</v>
      </c>
      <c r="AC52" s="47" t="s">
        <v>1333</v>
      </c>
      <c r="AD52" s="47">
        <v>0.53</v>
      </c>
      <c r="AE52" s="47" t="s">
        <v>182</v>
      </c>
      <c r="AF52" s="49">
        <v>4293</v>
      </c>
      <c r="AG52" s="49">
        <v>1157.52</v>
      </c>
      <c r="AH52" s="47" t="s">
        <v>182</v>
      </c>
      <c r="AI52" s="47" t="s">
        <v>181</v>
      </c>
      <c r="AJ52" s="47" t="s">
        <v>86</v>
      </c>
      <c r="AK52" s="47"/>
      <c r="AL52" s="47" t="s">
        <v>63</v>
      </c>
      <c r="AM52" s="47" t="s">
        <v>94</v>
      </c>
      <c r="AN52" s="47" t="s">
        <v>95</v>
      </c>
      <c r="AO52" s="48">
        <v>42352</v>
      </c>
      <c r="AP52" s="47" t="s">
        <v>64</v>
      </c>
      <c r="AQ52" s="48">
        <v>42346</v>
      </c>
      <c r="AR52" s="47"/>
      <c r="AS52" s="47"/>
      <c r="AT52" s="47"/>
      <c r="AU52" s="47" t="s">
        <v>1480</v>
      </c>
      <c r="AV52" s="47" t="s">
        <v>96</v>
      </c>
      <c r="AW52" s="47" t="s">
        <v>1481</v>
      </c>
    </row>
    <row r="53" spans="1:49" x14ac:dyDescent="0.2">
      <c r="A53" s="47">
        <v>10020085</v>
      </c>
      <c r="B53" s="47">
        <v>650</v>
      </c>
      <c r="C53" s="47" t="s">
        <v>18</v>
      </c>
      <c r="D53" s="47" t="s">
        <v>573</v>
      </c>
      <c r="E53" s="48">
        <v>42347</v>
      </c>
      <c r="F53" s="47">
        <v>93612284</v>
      </c>
      <c r="G53" s="47">
        <v>650</v>
      </c>
      <c r="H53" s="48">
        <v>42339</v>
      </c>
      <c r="I53" s="48">
        <v>42340</v>
      </c>
      <c r="J53" s="47">
        <v>1201399</v>
      </c>
      <c r="K53" s="47" t="s">
        <v>144</v>
      </c>
      <c r="L53" s="47">
        <v>1334926</v>
      </c>
      <c r="M53" s="47" t="s">
        <v>145</v>
      </c>
      <c r="N53" s="47">
        <v>1171970</v>
      </c>
      <c r="O53" s="47" t="s">
        <v>144</v>
      </c>
      <c r="P53" s="47">
        <v>8106679944</v>
      </c>
      <c r="Q53" s="47"/>
      <c r="R53" s="47"/>
      <c r="S53" s="47">
        <v>228263111</v>
      </c>
      <c r="T53" s="47" t="s">
        <v>1484</v>
      </c>
      <c r="U53" s="47" t="s">
        <v>1322</v>
      </c>
      <c r="V53" s="47" t="s">
        <v>1485</v>
      </c>
      <c r="W53" s="47" t="s">
        <v>1331</v>
      </c>
      <c r="X53" s="47"/>
      <c r="Y53" s="47">
        <v>684</v>
      </c>
      <c r="Z53" s="47">
        <v>36</v>
      </c>
      <c r="AA53" s="47" t="s">
        <v>1332</v>
      </c>
      <c r="AB53" s="47">
        <v>12</v>
      </c>
      <c r="AC53" s="47" t="s">
        <v>1333</v>
      </c>
      <c r="AD53" s="47">
        <v>48.88</v>
      </c>
      <c r="AE53" s="47" t="s">
        <v>182</v>
      </c>
      <c r="AF53" s="49">
        <v>33433.919999999998</v>
      </c>
      <c r="AG53" s="49">
        <v>1759.68</v>
      </c>
      <c r="AH53" s="47" t="s">
        <v>182</v>
      </c>
      <c r="AI53" s="47" t="s">
        <v>181</v>
      </c>
      <c r="AJ53" s="47" t="s">
        <v>91</v>
      </c>
      <c r="AK53" s="47"/>
      <c r="AL53" s="47" t="s">
        <v>63</v>
      </c>
      <c r="AM53" s="47" t="s">
        <v>70</v>
      </c>
      <c r="AN53" s="47" t="s">
        <v>76</v>
      </c>
      <c r="AO53" s="48">
        <v>42348</v>
      </c>
      <c r="AP53" s="47" t="s">
        <v>64</v>
      </c>
      <c r="AQ53" s="48">
        <v>42347</v>
      </c>
      <c r="AR53" s="47"/>
      <c r="AS53" s="47"/>
      <c r="AT53" s="47"/>
      <c r="AU53" s="47" t="s">
        <v>1486</v>
      </c>
      <c r="AV53" s="47" t="s">
        <v>77</v>
      </c>
      <c r="AW53" s="47" t="s">
        <v>1487</v>
      </c>
    </row>
    <row r="54" spans="1:49" x14ac:dyDescent="0.2">
      <c r="A54" s="47">
        <v>10020085</v>
      </c>
      <c r="B54" s="47">
        <v>850</v>
      </c>
      <c r="C54" s="47" t="s">
        <v>18</v>
      </c>
      <c r="D54" s="47" t="s">
        <v>573</v>
      </c>
      <c r="E54" s="48">
        <v>42347</v>
      </c>
      <c r="F54" s="47">
        <v>93612284</v>
      </c>
      <c r="G54" s="47">
        <v>850</v>
      </c>
      <c r="H54" s="48">
        <v>42339</v>
      </c>
      <c r="I54" s="48">
        <v>42340</v>
      </c>
      <c r="J54" s="47">
        <v>1201399</v>
      </c>
      <c r="K54" s="47" t="s">
        <v>144</v>
      </c>
      <c r="L54" s="47">
        <v>1334926</v>
      </c>
      <c r="M54" s="47" t="s">
        <v>145</v>
      </c>
      <c r="N54" s="47">
        <v>1171970</v>
      </c>
      <c r="O54" s="47" t="s">
        <v>144</v>
      </c>
      <c r="P54" s="47">
        <v>8106679944</v>
      </c>
      <c r="Q54" s="47"/>
      <c r="R54" s="47"/>
      <c r="S54" s="47">
        <v>228284903</v>
      </c>
      <c r="T54" s="47" t="s">
        <v>1488</v>
      </c>
      <c r="U54" s="47" t="s">
        <v>1322</v>
      </c>
      <c r="V54" s="47" t="s">
        <v>1489</v>
      </c>
      <c r="W54" s="47" t="s">
        <v>1331</v>
      </c>
      <c r="X54" s="47"/>
      <c r="Y54" s="47">
        <v>312</v>
      </c>
      <c r="Z54" s="47">
        <v>12</v>
      </c>
      <c r="AA54" s="47" t="s">
        <v>1332</v>
      </c>
      <c r="AB54" s="47">
        <v>12</v>
      </c>
      <c r="AC54" s="47" t="s">
        <v>1333</v>
      </c>
      <c r="AD54" s="47">
        <v>242.88</v>
      </c>
      <c r="AE54" s="47" t="s">
        <v>182</v>
      </c>
      <c r="AF54" s="49">
        <v>75778.559999999998</v>
      </c>
      <c r="AG54" s="49">
        <v>2914.56</v>
      </c>
      <c r="AH54" s="47" t="s">
        <v>182</v>
      </c>
      <c r="AI54" s="47" t="s">
        <v>181</v>
      </c>
      <c r="AJ54" s="47" t="s">
        <v>91</v>
      </c>
      <c r="AK54" s="47"/>
      <c r="AL54" s="47" t="s">
        <v>63</v>
      </c>
      <c r="AM54" s="47" t="s">
        <v>70</v>
      </c>
      <c r="AN54" s="47" t="s">
        <v>76</v>
      </c>
      <c r="AO54" s="48">
        <v>42348</v>
      </c>
      <c r="AP54" s="47" t="s">
        <v>64</v>
      </c>
      <c r="AQ54" s="48">
        <v>42347</v>
      </c>
      <c r="AR54" s="47"/>
      <c r="AS54" s="47"/>
      <c r="AT54" s="47"/>
      <c r="AU54" s="47" t="s">
        <v>1486</v>
      </c>
      <c r="AV54" s="47" t="s">
        <v>77</v>
      </c>
      <c r="AW54" s="47" t="s">
        <v>1487</v>
      </c>
    </row>
    <row r="55" spans="1:49" x14ac:dyDescent="0.2">
      <c r="A55" s="47">
        <v>10020086</v>
      </c>
      <c r="B55" s="47">
        <v>590</v>
      </c>
      <c r="C55" s="47" t="s">
        <v>22</v>
      </c>
      <c r="D55" s="47" t="s">
        <v>78</v>
      </c>
      <c r="E55" s="48">
        <v>42347</v>
      </c>
      <c r="F55" s="47">
        <v>93599831</v>
      </c>
      <c r="G55" s="47">
        <v>590</v>
      </c>
      <c r="H55" s="48">
        <v>42326</v>
      </c>
      <c r="I55" s="47"/>
      <c r="J55" s="47">
        <v>1201458</v>
      </c>
      <c r="K55" s="47" t="s">
        <v>594</v>
      </c>
      <c r="L55" s="47">
        <v>1201458</v>
      </c>
      <c r="M55" s="47" t="s">
        <v>594</v>
      </c>
      <c r="N55" s="47">
        <v>1201458</v>
      </c>
      <c r="O55" s="47" t="s">
        <v>594</v>
      </c>
      <c r="P55" s="47">
        <v>276451</v>
      </c>
      <c r="Q55" s="47"/>
      <c r="R55" s="47"/>
      <c r="S55" s="47">
        <v>591246501</v>
      </c>
      <c r="T55" s="47" t="s">
        <v>1490</v>
      </c>
      <c r="U55" s="47" t="s">
        <v>1322</v>
      </c>
      <c r="V55" s="47" t="s">
        <v>1491</v>
      </c>
      <c r="W55" s="47" t="s">
        <v>1331</v>
      </c>
      <c r="X55" s="47" t="s">
        <v>1492</v>
      </c>
      <c r="Y55" s="47">
        <v>48</v>
      </c>
      <c r="Z55" s="47">
        <v>48</v>
      </c>
      <c r="AA55" s="47" t="s">
        <v>1332</v>
      </c>
      <c r="AB55" s="47">
        <v>48</v>
      </c>
      <c r="AC55" s="47" t="s">
        <v>1333</v>
      </c>
      <c r="AD55" s="47">
        <v>548.28</v>
      </c>
      <c r="AE55" s="47" t="s">
        <v>182</v>
      </c>
      <c r="AF55" s="49">
        <v>26317.439999999999</v>
      </c>
      <c r="AG55" s="49">
        <v>26317.439999999999</v>
      </c>
      <c r="AH55" s="47" t="s">
        <v>182</v>
      </c>
      <c r="AI55" s="47" t="s">
        <v>181</v>
      </c>
      <c r="AJ55" s="47" t="s">
        <v>91</v>
      </c>
      <c r="AK55" s="47"/>
      <c r="AL55" s="47" t="s">
        <v>63</v>
      </c>
      <c r="AM55" s="47" t="s">
        <v>94</v>
      </c>
      <c r="AN55" s="47" t="s">
        <v>141</v>
      </c>
      <c r="AO55" s="48">
        <v>42348</v>
      </c>
      <c r="AP55" s="47" t="s">
        <v>64</v>
      </c>
      <c r="AQ55" s="48">
        <v>42347</v>
      </c>
      <c r="AR55" s="47"/>
      <c r="AS55" s="47"/>
      <c r="AT55" s="47"/>
      <c r="AU55" s="47" t="s">
        <v>1493</v>
      </c>
      <c r="AV55" s="47" t="s">
        <v>142</v>
      </c>
      <c r="AW55" s="47" t="s">
        <v>1494</v>
      </c>
    </row>
    <row r="56" spans="1:49" x14ac:dyDescent="0.2">
      <c r="A56" s="47">
        <v>10020087</v>
      </c>
      <c r="B56" s="47">
        <v>40</v>
      </c>
      <c r="C56" s="47" t="s">
        <v>26</v>
      </c>
      <c r="D56" s="47" t="s">
        <v>78</v>
      </c>
      <c r="E56" s="48">
        <v>42347</v>
      </c>
      <c r="F56" s="47">
        <v>93607301</v>
      </c>
      <c r="G56" s="47">
        <v>40</v>
      </c>
      <c r="H56" s="48">
        <v>42333</v>
      </c>
      <c r="I56" s="47"/>
      <c r="J56" s="47">
        <v>1201047</v>
      </c>
      <c r="K56" s="47" t="s">
        <v>79</v>
      </c>
      <c r="L56" s="47">
        <v>1311671</v>
      </c>
      <c r="M56" s="47" t="s">
        <v>90</v>
      </c>
      <c r="N56" s="47">
        <v>1171089</v>
      </c>
      <c r="O56" s="47" t="s">
        <v>75</v>
      </c>
      <c r="P56" s="47">
        <v>21467353</v>
      </c>
      <c r="Q56" s="47"/>
      <c r="R56" s="47"/>
      <c r="S56" s="47">
        <v>58914080044</v>
      </c>
      <c r="T56" s="47" t="s">
        <v>1495</v>
      </c>
      <c r="U56" s="47" t="s">
        <v>1459</v>
      </c>
      <c r="V56" s="47" t="s">
        <v>1496</v>
      </c>
      <c r="W56" s="47" t="s">
        <v>1459</v>
      </c>
      <c r="X56" s="47" t="s">
        <v>1497</v>
      </c>
      <c r="Y56" s="47">
        <v>45</v>
      </c>
      <c r="Z56" s="47">
        <v>45</v>
      </c>
      <c r="AA56" s="47" t="s">
        <v>1332</v>
      </c>
      <c r="AB56" s="47">
        <v>9</v>
      </c>
      <c r="AC56" s="47" t="s">
        <v>1333</v>
      </c>
      <c r="AD56" s="47">
        <v>6.39</v>
      </c>
      <c r="AE56" s="47" t="s">
        <v>182</v>
      </c>
      <c r="AF56" s="47">
        <v>287.55</v>
      </c>
      <c r="AG56" s="47">
        <v>287.55</v>
      </c>
      <c r="AH56" s="47" t="s">
        <v>182</v>
      </c>
      <c r="AI56" s="47" t="s">
        <v>181</v>
      </c>
      <c r="AJ56" s="47" t="s">
        <v>97</v>
      </c>
      <c r="AK56" s="47"/>
      <c r="AL56" s="47" t="s">
        <v>63</v>
      </c>
      <c r="AM56" s="47"/>
      <c r="AN56" s="47"/>
      <c r="AO56" s="47"/>
      <c r="AP56" s="47" t="s">
        <v>64</v>
      </c>
      <c r="AQ56" s="48">
        <v>42347</v>
      </c>
      <c r="AR56" s="47"/>
      <c r="AS56" s="47"/>
      <c r="AT56" s="47"/>
      <c r="AU56" s="47">
        <v>87944972739447</v>
      </c>
      <c r="AV56" s="47"/>
      <c r="AW56" s="47"/>
    </row>
    <row r="57" spans="1:49" x14ac:dyDescent="0.2">
      <c r="A57" s="47">
        <v>10020088</v>
      </c>
      <c r="B57" s="47">
        <v>30</v>
      </c>
      <c r="C57" s="47" t="s">
        <v>22</v>
      </c>
      <c r="D57" s="47" t="s">
        <v>78</v>
      </c>
      <c r="E57" s="48">
        <v>42347</v>
      </c>
      <c r="F57" s="47">
        <v>93607301</v>
      </c>
      <c r="G57" s="47">
        <v>30</v>
      </c>
      <c r="H57" s="48">
        <v>42333</v>
      </c>
      <c r="I57" s="47"/>
      <c r="J57" s="47">
        <v>1201047</v>
      </c>
      <c r="K57" s="47" t="s">
        <v>79</v>
      </c>
      <c r="L57" s="47">
        <v>1311671</v>
      </c>
      <c r="M57" s="47" t="s">
        <v>90</v>
      </c>
      <c r="N57" s="47">
        <v>1171089</v>
      </c>
      <c r="O57" s="47" t="s">
        <v>75</v>
      </c>
      <c r="P57" s="47">
        <v>21467353</v>
      </c>
      <c r="Q57" s="47"/>
      <c r="R57" s="47"/>
      <c r="S57" s="47">
        <v>58914080244</v>
      </c>
      <c r="T57" s="47" t="s">
        <v>1498</v>
      </c>
      <c r="U57" s="47" t="s">
        <v>1459</v>
      </c>
      <c r="V57" s="47" t="s">
        <v>1496</v>
      </c>
      <c r="W57" s="47" t="s">
        <v>1459</v>
      </c>
      <c r="X57" s="47" t="s">
        <v>1499</v>
      </c>
      <c r="Y57" s="47">
        <v>54</v>
      </c>
      <c r="Z57" s="47">
        <v>2</v>
      </c>
      <c r="AA57" s="47" t="s">
        <v>1369</v>
      </c>
      <c r="AB57" s="47">
        <v>9</v>
      </c>
      <c r="AC57" s="47" t="s">
        <v>1370</v>
      </c>
      <c r="AD57" s="47">
        <v>6.39</v>
      </c>
      <c r="AE57" s="47" t="s">
        <v>182</v>
      </c>
      <c r="AF57" s="47">
        <v>345.06</v>
      </c>
      <c r="AG57" s="47">
        <v>115.02</v>
      </c>
      <c r="AH57" s="47" t="s">
        <v>182</v>
      </c>
      <c r="AI57" s="47" t="s">
        <v>181</v>
      </c>
      <c r="AJ57" s="47" t="s">
        <v>97</v>
      </c>
      <c r="AK57" s="47"/>
      <c r="AL57" s="47" t="s">
        <v>69</v>
      </c>
      <c r="AM57" s="47" t="s">
        <v>105</v>
      </c>
      <c r="AN57" s="47" t="s">
        <v>71</v>
      </c>
      <c r="AO57" s="48">
        <v>42356</v>
      </c>
      <c r="AP57" s="47" t="s">
        <v>64</v>
      </c>
      <c r="AQ57" s="48">
        <v>42347</v>
      </c>
      <c r="AR57" s="47" t="s">
        <v>72</v>
      </c>
      <c r="AS57" s="47">
        <v>62049114</v>
      </c>
      <c r="AT57" s="48">
        <v>42361</v>
      </c>
      <c r="AU57" s="47">
        <v>87944972739676</v>
      </c>
      <c r="AV57" s="47" t="s">
        <v>107</v>
      </c>
      <c r="AW57" s="47" t="s">
        <v>1500</v>
      </c>
    </row>
    <row r="58" spans="1:49" x14ac:dyDescent="0.2">
      <c r="A58" s="47">
        <v>10020089</v>
      </c>
      <c r="B58" s="47">
        <v>590</v>
      </c>
      <c r="C58" s="47" t="s">
        <v>18</v>
      </c>
      <c r="D58" s="47" t="s">
        <v>573</v>
      </c>
      <c r="E58" s="48">
        <v>42347</v>
      </c>
      <c r="F58" s="47">
        <v>93619426</v>
      </c>
      <c r="G58" s="47">
        <v>590</v>
      </c>
      <c r="H58" s="48">
        <v>42345</v>
      </c>
      <c r="I58" s="47"/>
      <c r="J58" s="47">
        <v>1201047</v>
      </c>
      <c r="K58" s="47" t="s">
        <v>79</v>
      </c>
      <c r="L58" s="47">
        <v>1064887</v>
      </c>
      <c r="M58" s="47" t="s">
        <v>80</v>
      </c>
      <c r="N58" s="47">
        <v>1171089</v>
      </c>
      <c r="O58" s="47" t="s">
        <v>75</v>
      </c>
      <c r="P58" s="47">
        <v>26987967</v>
      </c>
      <c r="Q58" s="47"/>
      <c r="R58" s="47"/>
      <c r="S58" s="47">
        <v>52544098131</v>
      </c>
      <c r="T58" s="47" t="s">
        <v>1501</v>
      </c>
      <c r="U58" s="47" t="s">
        <v>1344</v>
      </c>
      <c r="V58" s="47" t="s">
        <v>1502</v>
      </c>
      <c r="W58" s="47" t="s">
        <v>1331</v>
      </c>
      <c r="X58" s="47" t="s">
        <v>1503</v>
      </c>
      <c r="Y58" s="47">
        <v>24</v>
      </c>
      <c r="Z58" s="47">
        <v>7</v>
      </c>
      <c r="AA58" s="47" t="s">
        <v>1332</v>
      </c>
      <c r="AB58" s="47">
        <v>24</v>
      </c>
      <c r="AC58" s="47" t="s">
        <v>1333</v>
      </c>
      <c r="AD58" s="47">
        <v>165.63</v>
      </c>
      <c r="AE58" s="47" t="s">
        <v>182</v>
      </c>
      <c r="AF58" s="49">
        <v>3975.12</v>
      </c>
      <c r="AG58" s="49">
        <v>1159.4100000000001</v>
      </c>
      <c r="AH58" s="47" t="s">
        <v>182</v>
      </c>
      <c r="AI58" s="47" t="s">
        <v>181</v>
      </c>
      <c r="AJ58" s="47" t="s">
        <v>102</v>
      </c>
      <c r="AK58" s="47"/>
      <c r="AL58" s="47" t="s">
        <v>69</v>
      </c>
      <c r="AM58" s="47" t="s">
        <v>70</v>
      </c>
      <c r="AN58" s="47" t="s">
        <v>76</v>
      </c>
      <c r="AO58" s="48">
        <v>42356</v>
      </c>
      <c r="AP58" s="47" t="s">
        <v>64</v>
      </c>
      <c r="AQ58" s="48">
        <v>42347</v>
      </c>
      <c r="AR58" s="47" t="s">
        <v>100</v>
      </c>
      <c r="AS58" s="47">
        <v>62050572</v>
      </c>
      <c r="AT58" s="48">
        <v>42368</v>
      </c>
      <c r="AU58" s="47">
        <v>649275158720</v>
      </c>
      <c r="AV58" s="47" t="s">
        <v>77</v>
      </c>
      <c r="AW58" s="47" t="s">
        <v>1504</v>
      </c>
    </row>
    <row r="59" spans="1:49" x14ac:dyDescent="0.2">
      <c r="A59" s="47">
        <v>10020090</v>
      </c>
      <c r="B59" s="47">
        <v>10</v>
      </c>
      <c r="C59" s="47" t="s">
        <v>22</v>
      </c>
      <c r="D59" s="47" t="s">
        <v>78</v>
      </c>
      <c r="E59" s="48">
        <v>42347</v>
      </c>
      <c r="F59" s="47"/>
      <c r="G59" s="47">
        <v>10</v>
      </c>
      <c r="H59" s="47"/>
      <c r="I59" s="47"/>
      <c r="J59" s="47">
        <v>1201215</v>
      </c>
      <c r="K59" s="47" t="s">
        <v>138</v>
      </c>
      <c r="L59" s="47">
        <v>1337405</v>
      </c>
      <c r="M59" s="47" t="s">
        <v>822</v>
      </c>
      <c r="N59" s="47">
        <v>1201215</v>
      </c>
      <c r="O59" s="47" t="s">
        <v>138</v>
      </c>
      <c r="P59" s="47" t="s">
        <v>1505</v>
      </c>
      <c r="Q59" s="47"/>
      <c r="R59" s="47"/>
      <c r="S59" s="47">
        <v>591040710</v>
      </c>
      <c r="T59" s="47" t="s">
        <v>1506</v>
      </c>
      <c r="U59" s="47" t="s">
        <v>1322</v>
      </c>
      <c r="V59" s="47" t="s">
        <v>1507</v>
      </c>
      <c r="W59" s="47" t="s">
        <v>1331</v>
      </c>
      <c r="X59" s="47"/>
      <c r="Y59" s="47">
        <v>0</v>
      </c>
      <c r="Z59" s="47">
        <v>1728</v>
      </c>
      <c r="AA59" s="47" t="s">
        <v>1332</v>
      </c>
      <c r="AB59" s="47">
        <v>48</v>
      </c>
      <c r="AC59" s="47" t="s">
        <v>1333</v>
      </c>
      <c r="AD59" s="47">
        <v>0</v>
      </c>
      <c r="AE59" s="47" t="s">
        <v>182</v>
      </c>
      <c r="AF59" s="47">
        <v>0</v>
      </c>
      <c r="AG59" s="47">
        <v>0</v>
      </c>
      <c r="AH59" s="47" t="s">
        <v>182</v>
      </c>
      <c r="AI59" s="47" t="s">
        <v>181</v>
      </c>
      <c r="AJ59" s="47"/>
      <c r="AK59" s="47"/>
      <c r="AL59" s="47" t="s">
        <v>63</v>
      </c>
      <c r="AM59" s="47"/>
      <c r="AN59" s="47"/>
      <c r="AO59" s="47"/>
      <c r="AP59" s="47" t="s">
        <v>64</v>
      </c>
      <c r="AQ59" s="48">
        <v>42347</v>
      </c>
      <c r="AR59" s="47"/>
      <c r="AS59" s="47"/>
      <c r="AT59" s="47"/>
      <c r="AU59" s="47"/>
      <c r="AV59" s="47"/>
      <c r="AW59" s="47"/>
    </row>
    <row r="60" spans="1:49" x14ac:dyDescent="0.2">
      <c r="A60" s="47">
        <v>10020091</v>
      </c>
      <c r="B60" s="47">
        <v>30</v>
      </c>
      <c r="C60" s="47" t="s">
        <v>18</v>
      </c>
      <c r="D60" s="47" t="s">
        <v>573</v>
      </c>
      <c r="E60" s="48">
        <v>42347</v>
      </c>
      <c r="F60" s="47">
        <v>93614302</v>
      </c>
      <c r="G60" s="47">
        <v>30</v>
      </c>
      <c r="H60" s="48">
        <v>42340</v>
      </c>
      <c r="I60" s="48">
        <v>42346</v>
      </c>
      <c r="J60" s="47">
        <v>1201646</v>
      </c>
      <c r="K60" s="47" t="s">
        <v>164</v>
      </c>
      <c r="L60" s="47">
        <v>1201646</v>
      </c>
      <c r="M60" s="47" t="s">
        <v>164</v>
      </c>
      <c r="N60" s="47">
        <v>1201646</v>
      </c>
      <c r="O60" s="47" t="s">
        <v>164</v>
      </c>
      <c r="P60" s="47">
        <v>8046464</v>
      </c>
      <c r="Q60" s="47"/>
      <c r="R60" s="47"/>
      <c r="S60" s="47">
        <v>591381760</v>
      </c>
      <c r="T60" s="47" t="s">
        <v>1357</v>
      </c>
      <c r="U60" s="47" t="s">
        <v>1322</v>
      </c>
      <c r="V60" s="47" t="s">
        <v>1358</v>
      </c>
      <c r="W60" s="47" t="s">
        <v>1331</v>
      </c>
      <c r="X60" s="47"/>
      <c r="Y60" s="47">
        <v>432</v>
      </c>
      <c r="Z60" s="47">
        <v>2</v>
      </c>
      <c r="AA60" s="47" t="s">
        <v>1332</v>
      </c>
      <c r="AB60" s="47">
        <v>12</v>
      </c>
      <c r="AC60" s="47" t="s">
        <v>1333</v>
      </c>
      <c r="AD60" s="47">
        <v>8.26</v>
      </c>
      <c r="AE60" s="47" t="s">
        <v>182</v>
      </c>
      <c r="AF60" s="49">
        <v>3568.32</v>
      </c>
      <c r="AG60" s="47">
        <v>16.52</v>
      </c>
      <c r="AH60" s="47" t="s">
        <v>182</v>
      </c>
      <c r="AI60" s="47" t="s">
        <v>181</v>
      </c>
      <c r="AJ60" s="47" t="s">
        <v>67</v>
      </c>
      <c r="AK60" s="47"/>
      <c r="AL60" s="47" t="s">
        <v>63</v>
      </c>
      <c r="AM60" s="47" t="s">
        <v>70</v>
      </c>
      <c r="AN60" s="47" t="s">
        <v>76</v>
      </c>
      <c r="AO60" s="48">
        <v>42354</v>
      </c>
      <c r="AP60" s="47" t="s">
        <v>64</v>
      </c>
      <c r="AQ60" s="48">
        <v>42347</v>
      </c>
      <c r="AR60" s="47"/>
      <c r="AS60" s="47"/>
      <c r="AT60" s="47"/>
      <c r="AU60" s="47">
        <v>3511806174</v>
      </c>
      <c r="AV60" s="47" t="s">
        <v>77</v>
      </c>
      <c r="AW60" s="47" t="s">
        <v>1508</v>
      </c>
    </row>
    <row r="61" spans="1:49" x14ac:dyDescent="0.2">
      <c r="A61" s="47">
        <v>10020091</v>
      </c>
      <c r="B61" s="47">
        <v>230</v>
      </c>
      <c r="C61" s="47" t="s">
        <v>18</v>
      </c>
      <c r="D61" s="47" t="s">
        <v>573</v>
      </c>
      <c r="E61" s="48">
        <v>42347</v>
      </c>
      <c r="F61" s="47">
        <v>93614302</v>
      </c>
      <c r="G61" s="47">
        <v>230</v>
      </c>
      <c r="H61" s="48">
        <v>42340</v>
      </c>
      <c r="I61" s="48">
        <v>42346</v>
      </c>
      <c r="J61" s="47">
        <v>1201646</v>
      </c>
      <c r="K61" s="47" t="s">
        <v>164</v>
      </c>
      <c r="L61" s="47">
        <v>1201646</v>
      </c>
      <c r="M61" s="47" t="s">
        <v>164</v>
      </c>
      <c r="N61" s="47">
        <v>1201646</v>
      </c>
      <c r="O61" s="47" t="s">
        <v>164</v>
      </c>
      <c r="P61" s="47">
        <v>8046464</v>
      </c>
      <c r="Q61" s="47"/>
      <c r="R61" s="47"/>
      <c r="S61" s="47">
        <v>472125594</v>
      </c>
      <c r="T61" s="47" t="s">
        <v>1509</v>
      </c>
      <c r="U61" s="47" t="s">
        <v>1459</v>
      </c>
      <c r="V61" s="47" t="s">
        <v>1510</v>
      </c>
      <c r="W61" s="47" t="s">
        <v>1459</v>
      </c>
      <c r="X61" s="47"/>
      <c r="Y61" s="47">
        <v>432</v>
      </c>
      <c r="Z61" s="47">
        <v>48</v>
      </c>
      <c r="AA61" s="47" t="s">
        <v>1332</v>
      </c>
      <c r="AB61" s="47">
        <v>48</v>
      </c>
      <c r="AC61" s="47" t="s">
        <v>1333</v>
      </c>
      <c r="AD61" s="47">
        <v>2.99</v>
      </c>
      <c r="AE61" s="47" t="s">
        <v>182</v>
      </c>
      <c r="AF61" s="49">
        <v>1291.68</v>
      </c>
      <c r="AG61" s="47">
        <v>143.52000000000001</v>
      </c>
      <c r="AH61" s="47" t="s">
        <v>182</v>
      </c>
      <c r="AI61" s="47" t="s">
        <v>181</v>
      </c>
      <c r="AJ61" s="47" t="s">
        <v>67</v>
      </c>
      <c r="AK61" s="47"/>
      <c r="AL61" s="47" t="s">
        <v>63</v>
      </c>
      <c r="AM61" s="47" t="s">
        <v>70</v>
      </c>
      <c r="AN61" s="47" t="s">
        <v>76</v>
      </c>
      <c r="AO61" s="48">
        <v>42354</v>
      </c>
      <c r="AP61" s="47" t="s">
        <v>64</v>
      </c>
      <c r="AQ61" s="48">
        <v>42347</v>
      </c>
      <c r="AR61" s="47"/>
      <c r="AS61" s="47"/>
      <c r="AT61" s="47"/>
      <c r="AU61" s="47">
        <v>3511806174</v>
      </c>
      <c r="AV61" s="47" t="s">
        <v>77</v>
      </c>
      <c r="AW61" s="47" t="s">
        <v>1508</v>
      </c>
    </row>
    <row r="62" spans="1:49" x14ac:dyDescent="0.2">
      <c r="A62" s="47">
        <v>10020093</v>
      </c>
      <c r="B62" s="47">
        <v>1470</v>
      </c>
      <c r="C62" s="47" t="s">
        <v>26</v>
      </c>
      <c r="D62" s="47" t="s">
        <v>573</v>
      </c>
      <c r="E62" s="48">
        <v>42347</v>
      </c>
      <c r="F62" s="47">
        <v>93604083</v>
      </c>
      <c r="G62" s="47">
        <v>1470</v>
      </c>
      <c r="H62" s="48">
        <v>42331</v>
      </c>
      <c r="I62" s="47"/>
      <c r="J62" s="47">
        <v>1201047</v>
      </c>
      <c r="K62" s="47" t="s">
        <v>79</v>
      </c>
      <c r="L62" s="47">
        <v>1317086</v>
      </c>
      <c r="M62" s="47" t="s">
        <v>85</v>
      </c>
      <c r="N62" s="47">
        <v>1171089</v>
      </c>
      <c r="O62" s="47" t="s">
        <v>75</v>
      </c>
      <c r="P62" s="47">
        <v>23615084</v>
      </c>
      <c r="Q62" s="47"/>
      <c r="R62" s="47"/>
      <c r="S62" s="47">
        <v>60758011905</v>
      </c>
      <c r="T62" s="47" t="s">
        <v>1511</v>
      </c>
      <c r="U62" s="47" t="s">
        <v>1322</v>
      </c>
      <c r="V62" s="47" t="s">
        <v>1400</v>
      </c>
      <c r="W62" s="47" t="s">
        <v>1331</v>
      </c>
      <c r="X62" s="47"/>
      <c r="Y62" s="47">
        <v>2232</v>
      </c>
      <c r="Z62" s="47">
        <v>72</v>
      </c>
      <c r="AA62" s="47" t="s">
        <v>1332</v>
      </c>
      <c r="AB62" s="47">
        <v>72</v>
      </c>
      <c r="AC62" s="47" t="s">
        <v>1333</v>
      </c>
      <c r="AD62" s="47">
        <v>44</v>
      </c>
      <c r="AE62" s="47" t="s">
        <v>182</v>
      </c>
      <c r="AF62" s="49">
        <v>98208</v>
      </c>
      <c r="AG62" s="49">
        <v>3168</v>
      </c>
      <c r="AH62" s="47" t="s">
        <v>182</v>
      </c>
      <c r="AI62" s="47" t="s">
        <v>181</v>
      </c>
      <c r="AJ62" s="47" t="s">
        <v>97</v>
      </c>
      <c r="AK62" s="47"/>
      <c r="AL62" s="47" t="s">
        <v>69</v>
      </c>
      <c r="AM62" s="47" t="s">
        <v>94</v>
      </c>
      <c r="AN62" s="47" t="s">
        <v>95</v>
      </c>
      <c r="AO62" s="48">
        <v>42348</v>
      </c>
      <c r="AP62" s="47" t="s">
        <v>64</v>
      </c>
      <c r="AQ62" s="48">
        <v>42347</v>
      </c>
      <c r="AR62" s="47" t="s">
        <v>100</v>
      </c>
      <c r="AS62" s="47">
        <v>62050481</v>
      </c>
      <c r="AT62" s="48">
        <v>42368</v>
      </c>
      <c r="AU62" s="47">
        <v>87944972733193</v>
      </c>
      <c r="AV62" s="47" t="s">
        <v>96</v>
      </c>
      <c r="AW62" s="47" t="s">
        <v>1512</v>
      </c>
    </row>
    <row r="63" spans="1:49" x14ac:dyDescent="0.2">
      <c r="A63" s="47">
        <v>10020094</v>
      </c>
      <c r="B63" s="47">
        <v>50</v>
      </c>
      <c r="C63" s="47" t="s">
        <v>26</v>
      </c>
      <c r="D63" s="47" t="s">
        <v>573</v>
      </c>
      <c r="E63" s="48">
        <v>42347</v>
      </c>
      <c r="F63" s="47">
        <v>93600812</v>
      </c>
      <c r="G63" s="47">
        <v>50</v>
      </c>
      <c r="H63" s="48">
        <v>42327</v>
      </c>
      <c r="I63" s="47"/>
      <c r="J63" s="47">
        <v>1201315</v>
      </c>
      <c r="K63" s="47" t="s">
        <v>256</v>
      </c>
      <c r="L63" s="47">
        <v>1319408</v>
      </c>
      <c r="M63" s="47" t="s">
        <v>256</v>
      </c>
      <c r="N63" s="47">
        <v>1201315</v>
      </c>
      <c r="O63" s="47" t="s">
        <v>256</v>
      </c>
      <c r="P63" s="47">
        <v>5665182</v>
      </c>
      <c r="Q63" s="47"/>
      <c r="R63" s="47"/>
      <c r="S63" s="47">
        <v>58914008052</v>
      </c>
      <c r="T63" s="47" t="s">
        <v>1513</v>
      </c>
      <c r="U63" s="47" t="s">
        <v>1340</v>
      </c>
      <c r="V63" s="47" t="s">
        <v>1514</v>
      </c>
      <c r="W63" s="47" t="s">
        <v>1331</v>
      </c>
      <c r="X63" s="47">
        <v>3126914</v>
      </c>
      <c r="Y63" s="47">
        <v>2</v>
      </c>
      <c r="Z63" s="47">
        <v>2</v>
      </c>
      <c r="AA63" s="47" t="s">
        <v>1332</v>
      </c>
      <c r="AB63" s="47">
        <v>144</v>
      </c>
      <c r="AC63" s="47" t="s">
        <v>1333</v>
      </c>
      <c r="AD63" s="47">
        <v>285.16000000000003</v>
      </c>
      <c r="AE63" s="47" t="s">
        <v>182</v>
      </c>
      <c r="AF63" s="47">
        <v>570.32000000000005</v>
      </c>
      <c r="AG63" s="47">
        <v>570.32000000000005</v>
      </c>
      <c r="AH63" s="47" t="s">
        <v>182</v>
      </c>
      <c r="AI63" s="47" t="s">
        <v>181</v>
      </c>
      <c r="AJ63" s="47" t="s">
        <v>102</v>
      </c>
      <c r="AK63" s="47"/>
      <c r="AL63" s="47" t="s">
        <v>63</v>
      </c>
      <c r="AM63" s="47" t="s">
        <v>81</v>
      </c>
      <c r="AN63" s="47" t="s">
        <v>88</v>
      </c>
      <c r="AO63" s="48">
        <v>42359</v>
      </c>
      <c r="AP63" s="47" t="s">
        <v>64</v>
      </c>
      <c r="AQ63" s="48">
        <v>42347</v>
      </c>
      <c r="AR63" s="47"/>
      <c r="AS63" s="47"/>
      <c r="AT63" s="47"/>
      <c r="AU63" s="47">
        <v>649275129025</v>
      </c>
      <c r="AV63" s="47" t="s">
        <v>89</v>
      </c>
      <c r="AW63" s="47" t="s">
        <v>1515</v>
      </c>
    </row>
    <row r="64" spans="1:49" x14ac:dyDescent="0.2">
      <c r="A64" s="47">
        <v>10020095</v>
      </c>
      <c r="B64" s="47">
        <v>120</v>
      </c>
      <c r="C64" s="47" t="s">
        <v>22</v>
      </c>
      <c r="D64" s="47" t="s">
        <v>78</v>
      </c>
      <c r="E64" s="48">
        <v>42347</v>
      </c>
      <c r="F64" s="47">
        <v>93604260</v>
      </c>
      <c r="G64" s="47">
        <v>120</v>
      </c>
      <c r="H64" s="48">
        <v>42331</v>
      </c>
      <c r="I64" s="48">
        <v>42333</v>
      </c>
      <c r="J64" s="47">
        <v>1201301</v>
      </c>
      <c r="K64" s="47" t="s">
        <v>378</v>
      </c>
      <c r="L64" s="47">
        <v>1058866</v>
      </c>
      <c r="M64" s="47" t="s">
        <v>379</v>
      </c>
      <c r="N64" s="47">
        <v>1171972</v>
      </c>
      <c r="O64" s="47" t="s">
        <v>379</v>
      </c>
      <c r="P64" s="47">
        <v>12958143</v>
      </c>
      <c r="Q64" s="47"/>
      <c r="R64" s="47"/>
      <c r="S64" s="47">
        <v>62037083201</v>
      </c>
      <c r="T64" s="47" t="s">
        <v>1473</v>
      </c>
      <c r="U64" s="47" t="s">
        <v>1322</v>
      </c>
      <c r="V64" s="47" t="s">
        <v>1474</v>
      </c>
      <c r="W64" s="47" t="s">
        <v>1331</v>
      </c>
      <c r="X64" s="47" t="s">
        <v>1516</v>
      </c>
      <c r="Y64" s="47">
        <v>5</v>
      </c>
      <c r="Z64" s="47">
        <v>1</v>
      </c>
      <c r="AA64" s="47" t="s">
        <v>1332</v>
      </c>
      <c r="AB64" s="47">
        <v>48</v>
      </c>
      <c r="AC64" s="47" t="s">
        <v>1333</v>
      </c>
      <c r="AD64" s="47">
        <v>76.55</v>
      </c>
      <c r="AE64" s="47" t="s">
        <v>182</v>
      </c>
      <c r="AF64" s="47">
        <v>382.75</v>
      </c>
      <c r="AG64" s="47">
        <v>76.55</v>
      </c>
      <c r="AH64" s="47" t="s">
        <v>182</v>
      </c>
      <c r="AI64" s="47" t="s">
        <v>181</v>
      </c>
      <c r="AJ64" s="47" t="s">
        <v>67</v>
      </c>
      <c r="AK64" s="47"/>
      <c r="AL64" s="47" t="s">
        <v>63</v>
      </c>
      <c r="AM64" s="47" t="s">
        <v>94</v>
      </c>
      <c r="AN64" s="47" t="s">
        <v>141</v>
      </c>
      <c r="AO64" s="48">
        <v>42353</v>
      </c>
      <c r="AP64" s="47" t="s">
        <v>64</v>
      </c>
      <c r="AQ64" s="48">
        <v>42347</v>
      </c>
      <c r="AR64" s="47"/>
      <c r="AS64" s="47"/>
      <c r="AT64" s="47"/>
      <c r="AU64" s="47">
        <v>3511809280</v>
      </c>
      <c r="AV64" s="47" t="s">
        <v>142</v>
      </c>
      <c r="AW64" s="47" t="s">
        <v>1517</v>
      </c>
    </row>
    <row r="65" spans="1:49" x14ac:dyDescent="0.2">
      <c r="A65" s="47">
        <v>10020096</v>
      </c>
      <c r="B65" s="47">
        <v>1480</v>
      </c>
      <c r="C65" s="47" t="s">
        <v>18</v>
      </c>
      <c r="D65" s="47" t="s">
        <v>573</v>
      </c>
      <c r="E65" s="48">
        <v>42348</v>
      </c>
      <c r="F65" s="47">
        <v>93617639</v>
      </c>
      <c r="G65" s="47">
        <v>1480</v>
      </c>
      <c r="H65" s="48">
        <v>42342</v>
      </c>
      <c r="I65" s="47"/>
      <c r="J65" s="47">
        <v>1201120</v>
      </c>
      <c r="K65" s="47" t="s">
        <v>117</v>
      </c>
      <c r="L65" s="47">
        <v>1307782</v>
      </c>
      <c r="M65" s="47" t="s">
        <v>119</v>
      </c>
      <c r="N65" s="47">
        <v>1171090</v>
      </c>
      <c r="O65" s="47" t="s">
        <v>118</v>
      </c>
      <c r="P65" s="47" t="s">
        <v>1421</v>
      </c>
      <c r="Q65" s="47"/>
      <c r="R65" s="47"/>
      <c r="S65" s="47">
        <v>52544023631</v>
      </c>
      <c r="T65" s="47" t="s">
        <v>1518</v>
      </c>
      <c r="U65" s="47" t="s">
        <v>1344</v>
      </c>
      <c r="V65" s="47" t="s">
        <v>1519</v>
      </c>
      <c r="W65" s="47" t="s">
        <v>1331</v>
      </c>
      <c r="X65" s="47" t="s">
        <v>1520</v>
      </c>
      <c r="Y65" s="47">
        <v>48</v>
      </c>
      <c r="Z65" s="47">
        <v>2</v>
      </c>
      <c r="AA65" s="47" t="s">
        <v>1332</v>
      </c>
      <c r="AB65" s="47">
        <v>36</v>
      </c>
      <c r="AC65" s="47" t="s">
        <v>1333</v>
      </c>
      <c r="AD65" s="47">
        <v>262.18</v>
      </c>
      <c r="AE65" s="47" t="s">
        <v>182</v>
      </c>
      <c r="AF65" s="49">
        <v>12584.64</v>
      </c>
      <c r="AG65" s="47">
        <v>524.36</v>
      </c>
      <c r="AH65" s="47" t="s">
        <v>182</v>
      </c>
      <c r="AI65" s="47" t="s">
        <v>181</v>
      </c>
      <c r="AJ65" s="47" t="s">
        <v>97</v>
      </c>
      <c r="AK65" s="47"/>
      <c r="AL65" s="47" t="s">
        <v>63</v>
      </c>
      <c r="AM65" s="47" t="s">
        <v>70</v>
      </c>
      <c r="AN65" s="47" t="s">
        <v>76</v>
      </c>
      <c r="AO65" s="48">
        <v>42354</v>
      </c>
      <c r="AP65" s="47" t="s">
        <v>64</v>
      </c>
      <c r="AQ65" s="48">
        <v>42348</v>
      </c>
      <c r="AR65" s="47"/>
      <c r="AS65" s="47"/>
      <c r="AT65" s="47"/>
      <c r="AU65" s="47">
        <v>87944972769772</v>
      </c>
      <c r="AV65" s="47" t="s">
        <v>77</v>
      </c>
      <c r="AW65" s="47" t="s">
        <v>211</v>
      </c>
    </row>
    <row r="66" spans="1:49" x14ac:dyDescent="0.2">
      <c r="A66" s="47">
        <v>10020097</v>
      </c>
      <c r="B66" s="47">
        <v>10</v>
      </c>
      <c r="C66" s="47" t="s">
        <v>26</v>
      </c>
      <c r="D66" s="47" t="s">
        <v>573</v>
      </c>
      <c r="E66" s="48">
        <v>42348</v>
      </c>
      <c r="F66" s="47">
        <v>93617470</v>
      </c>
      <c r="G66" s="47">
        <v>10</v>
      </c>
      <c r="H66" s="48">
        <v>42342</v>
      </c>
      <c r="I66" s="47"/>
      <c r="J66" s="47">
        <v>1057544</v>
      </c>
      <c r="K66" s="47" t="s">
        <v>363</v>
      </c>
      <c r="L66" s="47">
        <v>1327308</v>
      </c>
      <c r="M66" s="47" t="s">
        <v>363</v>
      </c>
      <c r="N66" s="47">
        <v>1057544</v>
      </c>
      <c r="O66" s="47" t="s">
        <v>363</v>
      </c>
      <c r="P66" s="47">
        <v>8122693</v>
      </c>
      <c r="Q66" s="47"/>
      <c r="R66" s="47"/>
      <c r="S66" s="47">
        <v>472037015</v>
      </c>
      <c r="T66" s="47" t="s">
        <v>1521</v>
      </c>
      <c r="U66" s="47" t="s">
        <v>1322</v>
      </c>
      <c r="V66" s="47" t="s">
        <v>1522</v>
      </c>
      <c r="W66" s="47" t="s">
        <v>1331</v>
      </c>
      <c r="X66" s="47" t="s">
        <v>1523</v>
      </c>
      <c r="Y66" s="47">
        <v>288</v>
      </c>
      <c r="Z66" s="47">
        <v>1</v>
      </c>
      <c r="AA66" s="47" t="s">
        <v>1332</v>
      </c>
      <c r="AB66" s="47">
        <v>72</v>
      </c>
      <c r="AC66" s="47" t="s">
        <v>1333</v>
      </c>
      <c r="AD66" s="47">
        <v>12.96</v>
      </c>
      <c r="AE66" s="47" t="s">
        <v>182</v>
      </c>
      <c r="AF66" s="49">
        <v>3732.48</v>
      </c>
      <c r="AG66" s="47">
        <v>12.96</v>
      </c>
      <c r="AH66" s="47" t="s">
        <v>182</v>
      </c>
      <c r="AI66" s="47" t="s">
        <v>181</v>
      </c>
      <c r="AJ66" s="47" t="s">
        <v>102</v>
      </c>
      <c r="AK66" s="47"/>
      <c r="AL66" s="47" t="s">
        <v>63</v>
      </c>
      <c r="AM66" s="47" t="s">
        <v>105</v>
      </c>
      <c r="AN66" s="47" t="s">
        <v>82</v>
      </c>
      <c r="AO66" s="48">
        <v>42359</v>
      </c>
      <c r="AP66" s="47" t="s">
        <v>64</v>
      </c>
      <c r="AQ66" s="48">
        <v>42348</v>
      </c>
      <c r="AR66" s="47"/>
      <c r="AS66" s="47"/>
      <c r="AT66" s="47"/>
      <c r="AU66" s="47">
        <v>649275152034</v>
      </c>
      <c r="AV66" s="47" t="s">
        <v>89</v>
      </c>
      <c r="AW66" s="47" t="s">
        <v>1524</v>
      </c>
    </row>
    <row r="67" spans="1:49" x14ac:dyDescent="0.2">
      <c r="A67" s="47">
        <v>10020099</v>
      </c>
      <c r="B67" s="47">
        <v>2530</v>
      </c>
      <c r="C67" s="47" t="s">
        <v>18</v>
      </c>
      <c r="D67" s="47" t="s">
        <v>573</v>
      </c>
      <c r="E67" s="48">
        <v>42348</v>
      </c>
      <c r="F67" s="47">
        <v>93617610</v>
      </c>
      <c r="G67" s="47">
        <v>2530</v>
      </c>
      <c r="H67" s="48">
        <v>42342</v>
      </c>
      <c r="I67" s="47"/>
      <c r="J67" s="47">
        <v>1201120</v>
      </c>
      <c r="K67" s="47" t="s">
        <v>117</v>
      </c>
      <c r="L67" s="47">
        <v>1307782</v>
      </c>
      <c r="M67" s="47" t="s">
        <v>119</v>
      </c>
      <c r="N67" s="47">
        <v>1171090</v>
      </c>
      <c r="O67" s="47" t="s">
        <v>118</v>
      </c>
      <c r="P67" s="47" t="s">
        <v>1180</v>
      </c>
      <c r="Q67" s="47"/>
      <c r="R67" s="47"/>
      <c r="S67" s="47">
        <v>591312879</v>
      </c>
      <c r="T67" s="47" t="s">
        <v>1525</v>
      </c>
      <c r="U67" s="47" t="s">
        <v>1322</v>
      </c>
      <c r="V67" s="47" t="s">
        <v>1526</v>
      </c>
      <c r="W67" s="47" t="s">
        <v>1331</v>
      </c>
      <c r="X67" s="47">
        <v>152226.1</v>
      </c>
      <c r="Y67" s="47">
        <v>1440</v>
      </c>
      <c r="Z67" s="47">
        <v>3</v>
      </c>
      <c r="AA67" s="47" t="s">
        <v>1332</v>
      </c>
      <c r="AB67" s="47">
        <v>72</v>
      </c>
      <c r="AC67" s="47" t="s">
        <v>1333</v>
      </c>
      <c r="AD67" s="47">
        <v>31</v>
      </c>
      <c r="AE67" s="47" t="s">
        <v>182</v>
      </c>
      <c r="AF67" s="49">
        <v>44640</v>
      </c>
      <c r="AG67" s="47">
        <v>93</v>
      </c>
      <c r="AH67" s="47" t="s">
        <v>182</v>
      </c>
      <c r="AI67" s="47" t="s">
        <v>181</v>
      </c>
      <c r="AJ67" s="47" t="s">
        <v>97</v>
      </c>
      <c r="AK67" s="47"/>
      <c r="AL67" s="47" t="s">
        <v>63</v>
      </c>
      <c r="AM67" s="47" t="s">
        <v>70</v>
      </c>
      <c r="AN67" s="47" t="s">
        <v>76</v>
      </c>
      <c r="AO67" s="48">
        <v>42356</v>
      </c>
      <c r="AP67" s="47" t="s">
        <v>64</v>
      </c>
      <c r="AQ67" s="48">
        <v>42348</v>
      </c>
      <c r="AR67" s="47"/>
      <c r="AS67" s="47"/>
      <c r="AT67" s="47"/>
      <c r="AU67" s="47">
        <v>87944972768355</v>
      </c>
      <c r="AV67" s="47" t="s">
        <v>77</v>
      </c>
      <c r="AW67" s="47" t="s">
        <v>127</v>
      </c>
    </row>
    <row r="68" spans="1:49" x14ac:dyDescent="0.2">
      <c r="A68" s="47">
        <v>10020100</v>
      </c>
      <c r="B68" s="47">
        <v>50</v>
      </c>
      <c r="C68" s="47" t="s">
        <v>18</v>
      </c>
      <c r="D68" s="47" t="s">
        <v>573</v>
      </c>
      <c r="E68" s="48">
        <v>42348</v>
      </c>
      <c r="F68" s="47">
        <v>93617654</v>
      </c>
      <c r="G68" s="47">
        <v>50</v>
      </c>
      <c r="H68" s="48">
        <v>42342</v>
      </c>
      <c r="I68" s="47"/>
      <c r="J68" s="47">
        <v>1201120</v>
      </c>
      <c r="K68" s="47" t="s">
        <v>117</v>
      </c>
      <c r="L68" s="47">
        <v>1307782</v>
      </c>
      <c r="M68" s="47" t="s">
        <v>119</v>
      </c>
      <c r="N68" s="47">
        <v>1171090</v>
      </c>
      <c r="O68" s="47" t="s">
        <v>118</v>
      </c>
      <c r="P68" s="47" t="s">
        <v>1527</v>
      </c>
      <c r="Q68" s="47"/>
      <c r="R68" s="47"/>
      <c r="S68" s="47">
        <v>591267930</v>
      </c>
      <c r="T68" s="47" t="s">
        <v>1528</v>
      </c>
      <c r="U68" s="47" t="s">
        <v>1322</v>
      </c>
      <c r="V68" s="47" t="s">
        <v>1443</v>
      </c>
      <c r="W68" s="47" t="s">
        <v>1331</v>
      </c>
      <c r="X68" s="47"/>
      <c r="Y68" s="47">
        <v>84</v>
      </c>
      <c r="Z68" s="47">
        <v>12</v>
      </c>
      <c r="AA68" s="47" t="s">
        <v>1332</v>
      </c>
      <c r="AB68" s="47">
        <v>12</v>
      </c>
      <c r="AC68" s="47" t="s">
        <v>1333</v>
      </c>
      <c r="AD68" s="47">
        <v>224.65</v>
      </c>
      <c r="AE68" s="47" t="s">
        <v>182</v>
      </c>
      <c r="AF68" s="49">
        <v>18870.599999999999</v>
      </c>
      <c r="AG68" s="49">
        <v>2695.8</v>
      </c>
      <c r="AH68" s="47" t="s">
        <v>182</v>
      </c>
      <c r="AI68" s="47" t="s">
        <v>181</v>
      </c>
      <c r="AJ68" s="47" t="s">
        <v>97</v>
      </c>
      <c r="AK68" s="47"/>
      <c r="AL68" s="47" t="s">
        <v>63</v>
      </c>
      <c r="AM68" s="47" t="s">
        <v>70</v>
      </c>
      <c r="AN68" s="47" t="s">
        <v>76</v>
      </c>
      <c r="AO68" s="48">
        <v>42356</v>
      </c>
      <c r="AP68" s="47" t="s">
        <v>64</v>
      </c>
      <c r="AQ68" s="48">
        <v>42348</v>
      </c>
      <c r="AR68" s="47"/>
      <c r="AS68" s="47"/>
      <c r="AT68" s="47"/>
      <c r="AU68" s="47">
        <v>87944972767389</v>
      </c>
      <c r="AV68" s="47" t="s">
        <v>77</v>
      </c>
      <c r="AW68" s="47" t="s">
        <v>803</v>
      </c>
    </row>
    <row r="69" spans="1:49" x14ac:dyDescent="0.2">
      <c r="A69" s="47">
        <v>10020101</v>
      </c>
      <c r="B69" s="47">
        <v>190</v>
      </c>
      <c r="C69" s="47" t="s">
        <v>18</v>
      </c>
      <c r="D69" s="47" t="s">
        <v>78</v>
      </c>
      <c r="E69" s="48">
        <v>42348</v>
      </c>
      <c r="F69" s="47">
        <v>93615969</v>
      </c>
      <c r="G69" s="47">
        <v>190</v>
      </c>
      <c r="H69" s="48">
        <v>42341</v>
      </c>
      <c r="I69" s="48">
        <v>42345</v>
      </c>
      <c r="J69" s="47">
        <v>1201315</v>
      </c>
      <c r="K69" s="47" t="s">
        <v>256</v>
      </c>
      <c r="L69" s="47">
        <v>1319408</v>
      </c>
      <c r="M69" s="47" t="s">
        <v>256</v>
      </c>
      <c r="N69" s="47">
        <v>1201315</v>
      </c>
      <c r="O69" s="47" t="s">
        <v>256</v>
      </c>
      <c r="P69" s="47">
        <v>5674733</v>
      </c>
      <c r="Q69" s="47"/>
      <c r="R69" s="47"/>
      <c r="S69" s="47">
        <v>591381760</v>
      </c>
      <c r="T69" s="47" t="s">
        <v>1357</v>
      </c>
      <c r="U69" s="47" t="s">
        <v>1322</v>
      </c>
      <c r="V69" s="47" t="s">
        <v>1358</v>
      </c>
      <c r="W69" s="47" t="s">
        <v>1331</v>
      </c>
      <c r="X69" s="47"/>
      <c r="Y69" s="47">
        <v>192</v>
      </c>
      <c r="Z69" s="47">
        <v>3</v>
      </c>
      <c r="AA69" s="47" t="s">
        <v>1332</v>
      </c>
      <c r="AB69" s="47">
        <v>12</v>
      </c>
      <c r="AC69" s="47" t="s">
        <v>1333</v>
      </c>
      <c r="AD69" s="47">
        <v>24</v>
      </c>
      <c r="AE69" s="47" t="s">
        <v>182</v>
      </c>
      <c r="AF69" s="49">
        <v>4608</v>
      </c>
      <c r="AG69" s="47">
        <v>72</v>
      </c>
      <c r="AH69" s="47" t="s">
        <v>182</v>
      </c>
      <c r="AI69" s="47" t="s">
        <v>181</v>
      </c>
      <c r="AJ69" s="47" t="s">
        <v>67</v>
      </c>
      <c r="AK69" s="47"/>
      <c r="AL69" s="47" t="s">
        <v>63</v>
      </c>
      <c r="AM69" s="47" t="s">
        <v>70</v>
      </c>
      <c r="AN69" s="47" t="s">
        <v>76</v>
      </c>
      <c r="AO69" s="48">
        <v>42356</v>
      </c>
      <c r="AP69" s="47" t="s">
        <v>64</v>
      </c>
      <c r="AQ69" s="48">
        <v>42348</v>
      </c>
      <c r="AR69" s="47"/>
      <c r="AS69" s="47"/>
      <c r="AT69" s="47"/>
      <c r="AU69" s="47">
        <v>3511806620</v>
      </c>
      <c r="AV69" s="47" t="s">
        <v>77</v>
      </c>
      <c r="AW69" s="47" t="s">
        <v>228</v>
      </c>
    </row>
    <row r="70" spans="1:49" x14ac:dyDescent="0.2">
      <c r="A70" s="47">
        <v>10020102</v>
      </c>
      <c r="B70" s="47">
        <v>1640</v>
      </c>
      <c r="C70" s="47" t="s">
        <v>26</v>
      </c>
      <c r="D70" s="47" t="s">
        <v>573</v>
      </c>
      <c r="E70" s="48">
        <v>42348</v>
      </c>
      <c r="F70" s="47">
        <v>93619391</v>
      </c>
      <c r="G70" s="47">
        <v>1640</v>
      </c>
      <c r="H70" s="48">
        <v>42345</v>
      </c>
      <c r="I70" s="47"/>
      <c r="J70" s="47">
        <v>1201047</v>
      </c>
      <c r="K70" s="47" t="s">
        <v>79</v>
      </c>
      <c r="L70" s="47">
        <v>1038994</v>
      </c>
      <c r="M70" s="47" t="s">
        <v>80</v>
      </c>
      <c r="N70" s="47">
        <v>1171089</v>
      </c>
      <c r="O70" s="47" t="s">
        <v>75</v>
      </c>
      <c r="P70" s="47">
        <v>40445193</v>
      </c>
      <c r="Q70" s="47"/>
      <c r="R70" s="47"/>
      <c r="S70" s="47">
        <v>62037072001</v>
      </c>
      <c r="T70" s="47" t="s">
        <v>1395</v>
      </c>
      <c r="U70" s="47" t="s">
        <v>1322</v>
      </c>
      <c r="V70" s="47" t="s">
        <v>1396</v>
      </c>
      <c r="W70" s="47" t="s">
        <v>1331</v>
      </c>
      <c r="X70" s="47" t="s">
        <v>1529</v>
      </c>
      <c r="Y70" s="47">
        <v>384</v>
      </c>
      <c r="Z70" s="47">
        <v>192</v>
      </c>
      <c r="AA70" s="47" t="s">
        <v>1332</v>
      </c>
      <c r="AB70" s="47">
        <v>48</v>
      </c>
      <c r="AC70" s="47" t="s">
        <v>1333</v>
      </c>
      <c r="AD70" s="47">
        <v>50.19</v>
      </c>
      <c r="AE70" s="47" t="s">
        <v>182</v>
      </c>
      <c r="AF70" s="49">
        <v>19272.96</v>
      </c>
      <c r="AG70" s="49">
        <v>9636.48</v>
      </c>
      <c r="AH70" s="47" t="s">
        <v>182</v>
      </c>
      <c r="AI70" s="47" t="s">
        <v>181</v>
      </c>
      <c r="AJ70" s="47" t="s">
        <v>86</v>
      </c>
      <c r="AK70" s="47"/>
      <c r="AL70" s="47" t="s">
        <v>63</v>
      </c>
      <c r="AM70" s="47"/>
      <c r="AN70" s="47"/>
      <c r="AO70" s="47"/>
      <c r="AP70" s="47" t="s">
        <v>64</v>
      </c>
      <c r="AQ70" s="48">
        <v>42348</v>
      </c>
      <c r="AR70" s="47"/>
      <c r="AS70" s="47"/>
      <c r="AT70" s="47"/>
      <c r="AU70" s="47" t="s">
        <v>1530</v>
      </c>
      <c r="AV70" s="47"/>
      <c r="AW70" s="47"/>
    </row>
    <row r="71" spans="1:49" x14ac:dyDescent="0.2">
      <c r="A71" s="47">
        <v>10020103</v>
      </c>
      <c r="B71" s="47">
        <v>410</v>
      </c>
      <c r="C71" s="47" t="s">
        <v>18</v>
      </c>
      <c r="D71" s="47" t="s">
        <v>78</v>
      </c>
      <c r="E71" s="48">
        <v>42348</v>
      </c>
      <c r="F71" s="47">
        <v>93622457</v>
      </c>
      <c r="G71" s="47">
        <v>410</v>
      </c>
      <c r="H71" s="48">
        <v>42347</v>
      </c>
      <c r="I71" s="48">
        <v>42347</v>
      </c>
      <c r="J71" s="47">
        <v>1201047</v>
      </c>
      <c r="K71" s="47" t="s">
        <v>79</v>
      </c>
      <c r="L71" s="47">
        <v>1340974</v>
      </c>
      <c r="M71" s="47" t="s">
        <v>93</v>
      </c>
      <c r="N71" s="47">
        <v>1171089</v>
      </c>
      <c r="O71" s="47" t="s">
        <v>75</v>
      </c>
      <c r="P71" s="47">
        <v>87103136</v>
      </c>
      <c r="Q71" s="47"/>
      <c r="R71" s="47"/>
      <c r="S71" s="47">
        <v>58914050156</v>
      </c>
      <c r="T71" s="47" t="s">
        <v>1531</v>
      </c>
      <c r="U71" s="47" t="s">
        <v>1381</v>
      </c>
      <c r="V71" s="47" t="s">
        <v>1532</v>
      </c>
      <c r="W71" s="47" t="s">
        <v>1331</v>
      </c>
      <c r="X71" s="47"/>
      <c r="Y71" s="47">
        <v>6480</v>
      </c>
      <c r="Z71" s="47">
        <v>5</v>
      </c>
      <c r="AA71" s="47" t="s">
        <v>1332</v>
      </c>
      <c r="AB71" s="47">
        <v>36</v>
      </c>
      <c r="AC71" s="47" t="s">
        <v>1333</v>
      </c>
      <c r="AD71" s="47">
        <v>815.54</v>
      </c>
      <c r="AE71" s="47" t="s">
        <v>182</v>
      </c>
      <c r="AF71" s="49">
        <v>5284699.2</v>
      </c>
      <c r="AG71" s="49">
        <v>4077.7</v>
      </c>
      <c r="AH71" s="47" t="s">
        <v>182</v>
      </c>
      <c r="AI71" s="47" t="s">
        <v>181</v>
      </c>
      <c r="AJ71" s="47" t="s">
        <v>870</v>
      </c>
      <c r="AK71" s="47"/>
      <c r="AL71" s="47" t="s">
        <v>69</v>
      </c>
      <c r="AM71" s="47" t="s">
        <v>70</v>
      </c>
      <c r="AN71" s="47" t="s">
        <v>76</v>
      </c>
      <c r="AO71" s="48">
        <v>42359</v>
      </c>
      <c r="AP71" s="47" t="s">
        <v>64</v>
      </c>
      <c r="AQ71" s="48">
        <v>42348</v>
      </c>
      <c r="AR71" s="47" t="s">
        <v>100</v>
      </c>
      <c r="AS71" s="47">
        <v>62050573</v>
      </c>
      <c r="AT71" s="48">
        <v>42368</v>
      </c>
      <c r="AU71" s="47" t="s">
        <v>1533</v>
      </c>
      <c r="AV71" s="47" t="s">
        <v>77</v>
      </c>
      <c r="AW71" s="47" t="s">
        <v>187</v>
      </c>
    </row>
    <row r="72" spans="1:49" x14ac:dyDescent="0.2">
      <c r="A72" s="47">
        <v>10020104</v>
      </c>
      <c r="B72" s="47">
        <v>290</v>
      </c>
      <c r="C72" s="47" t="s">
        <v>26</v>
      </c>
      <c r="D72" s="47" t="s">
        <v>573</v>
      </c>
      <c r="E72" s="48">
        <v>42348</v>
      </c>
      <c r="F72" s="47">
        <v>93607599</v>
      </c>
      <c r="G72" s="47">
        <v>290</v>
      </c>
      <c r="H72" s="48">
        <v>42333</v>
      </c>
      <c r="I72" s="48">
        <v>42339</v>
      </c>
      <c r="J72" s="47">
        <v>1201605</v>
      </c>
      <c r="K72" s="47" t="s">
        <v>155</v>
      </c>
      <c r="L72" s="47">
        <v>1023292</v>
      </c>
      <c r="M72" s="47" t="s">
        <v>155</v>
      </c>
      <c r="N72" s="47">
        <v>1172017</v>
      </c>
      <c r="O72" s="47" t="s">
        <v>155</v>
      </c>
      <c r="P72" s="47">
        <v>548143</v>
      </c>
      <c r="Q72" s="47"/>
      <c r="R72" s="47"/>
      <c r="S72" s="47">
        <v>456112030</v>
      </c>
      <c r="T72" s="47" t="s">
        <v>1534</v>
      </c>
      <c r="U72" s="47" t="s">
        <v>1335</v>
      </c>
      <c r="V72" s="47" t="s">
        <v>1535</v>
      </c>
      <c r="W72" s="47" t="s">
        <v>1331</v>
      </c>
      <c r="X72" s="47">
        <v>1147600</v>
      </c>
      <c r="Y72" s="47">
        <v>24</v>
      </c>
      <c r="Z72" s="47">
        <v>12</v>
      </c>
      <c r="AA72" s="47" t="s">
        <v>1332</v>
      </c>
      <c r="AB72" s="47">
        <v>144</v>
      </c>
      <c r="AC72" s="47" t="s">
        <v>1333</v>
      </c>
      <c r="AD72" s="47">
        <v>189.54</v>
      </c>
      <c r="AE72" s="47" t="s">
        <v>182</v>
      </c>
      <c r="AF72" s="49">
        <v>4548.96</v>
      </c>
      <c r="AG72" s="49">
        <v>2274.48</v>
      </c>
      <c r="AH72" s="47" t="s">
        <v>182</v>
      </c>
      <c r="AI72" s="47" t="s">
        <v>181</v>
      </c>
      <c r="AJ72" s="47" t="s">
        <v>67</v>
      </c>
      <c r="AK72" s="47"/>
      <c r="AL72" s="47" t="s">
        <v>63</v>
      </c>
      <c r="AM72" s="47"/>
      <c r="AN72" s="47"/>
      <c r="AO72" s="47"/>
      <c r="AP72" s="47" t="s">
        <v>64</v>
      </c>
      <c r="AQ72" s="48">
        <v>42348</v>
      </c>
      <c r="AR72" s="47"/>
      <c r="AS72" s="47"/>
      <c r="AT72" s="47"/>
      <c r="AU72" s="47">
        <v>3511807320</v>
      </c>
      <c r="AV72" s="47"/>
      <c r="AW72" s="47"/>
    </row>
    <row r="73" spans="1:49" x14ac:dyDescent="0.2">
      <c r="A73" s="47">
        <v>10020105</v>
      </c>
      <c r="B73" s="47">
        <v>40</v>
      </c>
      <c r="C73" s="47" t="s">
        <v>18</v>
      </c>
      <c r="D73" s="47" t="s">
        <v>573</v>
      </c>
      <c r="E73" s="48">
        <v>42348</v>
      </c>
      <c r="F73" s="47">
        <v>93622442</v>
      </c>
      <c r="G73" s="47">
        <v>40</v>
      </c>
      <c r="H73" s="48">
        <v>42347</v>
      </c>
      <c r="I73" s="47"/>
      <c r="J73" s="47">
        <v>1201047</v>
      </c>
      <c r="K73" s="47" t="s">
        <v>79</v>
      </c>
      <c r="L73" s="47">
        <v>1340974</v>
      </c>
      <c r="M73" s="47" t="s">
        <v>93</v>
      </c>
      <c r="N73" s="47">
        <v>1171089</v>
      </c>
      <c r="O73" s="47" t="s">
        <v>75</v>
      </c>
      <c r="P73" s="47">
        <v>87103137</v>
      </c>
      <c r="Q73" s="47"/>
      <c r="R73" s="47"/>
      <c r="S73" s="47">
        <v>430042014</v>
      </c>
      <c r="T73" s="47" t="s">
        <v>1536</v>
      </c>
      <c r="U73" s="47" t="s">
        <v>1450</v>
      </c>
      <c r="V73" s="47" t="s">
        <v>1537</v>
      </c>
      <c r="W73" s="47" t="s">
        <v>1331</v>
      </c>
      <c r="X73" s="47"/>
      <c r="Y73" s="47">
        <v>23976</v>
      </c>
      <c r="Z73" s="47">
        <v>14</v>
      </c>
      <c r="AA73" s="47" t="s">
        <v>1332</v>
      </c>
      <c r="AB73" s="47">
        <v>72</v>
      </c>
      <c r="AC73" s="47" t="s">
        <v>1333</v>
      </c>
      <c r="AD73" s="47">
        <v>489.85</v>
      </c>
      <c r="AE73" s="47" t="s">
        <v>182</v>
      </c>
      <c r="AF73" s="49">
        <v>11744643.6</v>
      </c>
      <c r="AG73" s="49">
        <v>6857.9</v>
      </c>
      <c r="AH73" s="47" t="s">
        <v>182</v>
      </c>
      <c r="AI73" s="47" t="s">
        <v>181</v>
      </c>
      <c r="AJ73" s="47" t="s">
        <v>279</v>
      </c>
      <c r="AK73" s="47"/>
      <c r="AL73" s="47" t="s">
        <v>63</v>
      </c>
      <c r="AM73" s="47" t="s">
        <v>70</v>
      </c>
      <c r="AN73" s="47" t="s">
        <v>76</v>
      </c>
      <c r="AO73" s="48">
        <v>42356</v>
      </c>
      <c r="AP73" s="47" t="s">
        <v>64</v>
      </c>
      <c r="AQ73" s="48">
        <v>42348</v>
      </c>
      <c r="AR73" s="47"/>
      <c r="AS73" s="47"/>
      <c r="AT73" s="47"/>
      <c r="AU73" s="47" t="s">
        <v>1538</v>
      </c>
      <c r="AV73" s="47" t="s">
        <v>77</v>
      </c>
      <c r="AW73" s="47" t="s">
        <v>1539</v>
      </c>
    </row>
    <row r="74" spans="1:49" x14ac:dyDescent="0.2">
      <c r="A74" s="47">
        <v>10020106</v>
      </c>
      <c r="B74" s="47">
        <v>1930</v>
      </c>
      <c r="C74" s="47" t="s">
        <v>26</v>
      </c>
      <c r="D74" s="47" t="s">
        <v>573</v>
      </c>
      <c r="E74" s="48">
        <v>42348</v>
      </c>
      <c r="F74" s="47">
        <v>93603517</v>
      </c>
      <c r="G74" s="47">
        <v>1930</v>
      </c>
      <c r="H74" s="48">
        <v>42329</v>
      </c>
      <c r="I74" s="47"/>
      <c r="J74" s="47">
        <v>1201047</v>
      </c>
      <c r="K74" s="47" t="s">
        <v>79</v>
      </c>
      <c r="L74" s="47">
        <v>1003713</v>
      </c>
      <c r="M74" s="47" t="s">
        <v>80</v>
      </c>
      <c r="N74" s="47">
        <v>1171089</v>
      </c>
      <c r="O74" s="47" t="s">
        <v>75</v>
      </c>
      <c r="P74" s="47">
        <v>32763797</v>
      </c>
      <c r="Q74" s="47"/>
      <c r="R74" s="47"/>
      <c r="S74" s="47">
        <v>591046005</v>
      </c>
      <c r="T74" s="47" t="s">
        <v>1540</v>
      </c>
      <c r="U74" s="47" t="s">
        <v>1322</v>
      </c>
      <c r="V74" s="47" t="s">
        <v>1541</v>
      </c>
      <c r="W74" s="47" t="s">
        <v>1331</v>
      </c>
      <c r="X74" s="47" t="s">
        <v>1542</v>
      </c>
      <c r="Y74" s="47">
        <v>96</v>
      </c>
      <c r="Z74" s="47">
        <v>48</v>
      </c>
      <c r="AA74" s="47" t="s">
        <v>1332</v>
      </c>
      <c r="AB74" s="47">
        <v>12</v>
      </c>
      <c r="AC74" s="47" t="s">
        <v>1333</v>
      </c>
      <c r="AD74" s="47">
        <v>21.57</v>
      </c>
      <c r="AE74" s="47" t="s">
        <v>182</v>
      </c>
      <c r="AF74" s="49">
        <v>2070.7199999999998</v>
      </c>
      <c r="AG74" s="49">
        <v>1035.3599999999999</v>
      </c>
      <c r="AH74" s="47" t="s">
        <v>182</v>
      </c>
      <c r="AI74" s="47" t="s">
        <v>181</v>
      </c>
      <c r="AJ74" s="47" t="s">
        <v>102</v>
      </c>
      <c r="AK74" s="47"/>
      <c r="AL74" s="47" t="s">
        <v>63</v>
      </c>
      <c r="AM74" s="47"/>
      <c r="AN74" s="47"/>
      <c r="AO74" s="47"/>
      <c r="AP74" s="47" t="s">
        <v>64</v>
      </c>
      <c r="AQ74" s="48">
        <v>42348</v>
      </c>
      <c r="AR74" s="47"/>
      <c r="AS74" s="47"/>
      <c r="AT74" s="47"/>
      <c r="AU74" s="47">
        <v>649275132970</v>
      </c>
      <c r="AV74" s="47"/>
      <c r="AW74" s="47"/>
    </row>
    <row r="75" spans="1:49" x14ac:dyDescent="0.2">
      <c r="A75" s="47">
        <v>10020107</v>
      </c>
      <c r="B75" s="47">
        <v>90</v>
      </c>
      <c r="C75" s="47" t="s">
        <v>27</v>
      </c>
      <c r="D75" s="47" t="s">
        <v>78</v>
      </c>
      <c r="E75" s="48">
        <v>42348</v>
      </c>
      <c r="F75" s="47">
        <v>93601020</v>
      </c>
      <c r="G75" s="47">
        <v>90</v>
      </c>
      <c r="H75" s="48">
        <v>42327</v>
      </c>
      <c r="I75" s="47"/>
      <c r="J75" s="47">
        <v>1318826</v>
      </c>
      <c r="K75" s="47" t="s">
        <v>110</v>
      </c>
      <c r="L75" s="47">
        <v>1337269</v>
      </c>
      <c r="M75" s="47" t="s">
        <v>1220</v>
      </c>
      <c r="N75" s="47">
        <v>1318826</v>
      </c>
      <c r="O75" s="47" t="s">
        <v>110</v>
      </c>
      <c r="P75" s="47">
        <v>3017916</v>
      </c>
      <c r="Q75" s="47"/>
      <c r="R75" s="47"/>
      <c r="S75" s="47">
        <v>16252060144</v>
      </c>
      <c r="T75" s="47" t="s">
        <v>1350</v>
      </c>
      <c r="U75" s="47" t="s">
        <v>1322</v>
      </c>
      <c r="V75" s="47" t="s">
        <v>1351</v>
      </c>
      <c r="W75" s="47" t="s">
        <v>1331</v>
      </c>
      <c r="X75" s="47">
        <v>1141445</v>
      </c>
      <c r="Y75" s="47">
        <v>2400</v>
      </c>
      <c r="Z75" s="47">
        <v>2400</v>
      </c>
      <c r="AA75" s="47" t="s">
        <v>1332</v>
      </c>
      <c r="AB75" s="47">
        <v>312</v>
      </c>
      <c r="AC75" s="47" t="s">
        <v>1333</v>
      </c>
      <c r="AD75" s="47">
        <v>0.53</v>
      </c>
      <c r="AE75" s="47" t="s">
        <v>182</v>
      </c>
      <c r="AF75" s="49">
        <v>1272</v>
      </c>
      <c r="AG75" s="49">
        <v>1272</v>
      </c>
      <c r="AH75" s="47" t="s">
        <v>182</v>
      </c>
      <c r="AI75" s="47" t="s">
        <v>181</v>
      </c>
      <c r="AJ75" s="47" t="s">
        <v>97</v>
      </c>
      <c r="AK75" s="47"/>
      <c r="AL75" s="47" t="s">
        <v>69</v>
      </c>
      <c r="AM75" s="47" t="s">
        <v>104</v>
      </c>
      <c r="AN75" s="47" t="s">
        <v>71</v>
      </c>
      <c r="AO75" s="48">
        <v>42359</v>
      </c>
      <c r="AP75" s="47" t="s">
        <v>64</v>
      </c>
      <c r="AQ75" s="48">
        <v>42348</v>
      </c>
      <c r="AR75" s="47" t="s">
        <v>72</v>
      </c>
      <c r="AS75" s="47">
        <v>62049107</v>
      </c>
      <c r="AT75" s="48">
        <v>42361</v>
      </c>
      <c r="AU75" s="47">
        <v>87944972723071</v>
      </c>
      <c r="AV75" s="47" t="s">
        <v>465</v>
      </c>
      <c r="AW75" s="47" t="s">
        <v>1543</v>
      </c>
    </row>
    <row r="76" spans="1:49" x14ac:dyDescent="0.2">
      <c r="A76" s="47">
        <v>10020110</v>
      </c>
      <c r="B76" s="47">
        <v>10</v>
      </c>
      <c r="C76" s="47" t="s">
        <v>26</v>
      </c>
      <c r="D76" s="47" t="s">
        <v>78</v>
      </c>
      <c r="E76" s="48">
        <v>42348</v>
      </c>
      <c r="F76" s="47">
        <v>93616330</v>
      </c>
      <c r="G76" s="47">
        <v>10</v>
      </c>
      <c r="H76" s="48">
        <v>42341</v>
      </c>
      <c r="I76" s="47"/>
      <c r="J76" s="47">
        <v>1322827</v>
      </c>
      <c r="K76" s="47" t="s">
        <v>253</v>
      </c>
      <c r="L76" s="47">
        <v>1322896</v>
      </c>
      <c r="M76" s="47" t="s">
        <v>449</v>
      </c>
      <c r="N76" s="47">
        <v>1322827</v>
      </c>
      <c r="O76" s="47" t="s">
        <v>253</v>
      </c>
      <c r="P76" s="47">
        <v>1321954</v>
      </c>
      <c r="Q76" s="47"/>
      <c r="R76" s="47"/>
      <c r="S76" s="47">
        <v>60758018805</v>
      </c>
      <c r="T76" s="47" t="s">
        <v>1471</v>
      </c>
      <c r="U76" s="47" t="s">
        <v>1322</v>
      </c>
      <c r="V76" s="47" t="s">
        <v>1472</v>
      </c>
      <c r="W76" s="47" t="s">
        <v>1331</v>
      </c>
      <c r="X76" s="47">
        <v>90430</v>
      </c>
      <c r="Y76" s="47">
        <v>192</v>
      </c>
      <c r="Z76" s="47">
        <v>144</v>
      </c>
      <c r="AA76" s="47" t="s">
        <v>1332</v>
      </c>
      <c r="AB76" s="47">
        <v>72</v>
      </c>
      <c r="AC76" s="47" t="s">
        <v>1333</v>
      </c>
      <c r="AD76" s="47">
        <v>129</v>
      </c>
      <c r="AE76" s="47" t="s">
        <v>182</v>
      </c>
      <c r="AF76" s="47">
        <v>247.68</v>
      </c>
      <c r="AG76" s="47">
        <v>185.76</v>
      </c>
      <c r="AH76" s="47" t="s">
        <v>182</v>
      </c>
      <c r="AI76" s="47" t="s">
        <v>181</v>
      </c>
      <c r="AJ76" s="47" t="s">
        <v>97</v>
      </c>
      <c r="AK76" s="47"/>
      <c r="AL76" s="47" t="s">
        <v>63</v>
      </c>
      <c r="AM76" s="47" t="s">
        <v>94</v>
      </c>
      <c r="AN76" s="47" t="s">
        <v>95</v>
      </c>
      <c r="AO76" s="48">
        <v>42356</v>
      </c>
      <c r="AP76" s="47" t="s">
        <v>64</v>
      </c>
      <c r="AQ76" s="48">
        <v>42348</v>
      </c>
      <c r="AR76" s="47"/>
      <c r="AS76" s="47"/>
      <c r="AT76" s="47"/>
      <c r="AU76" s="47">
        <v>87944972764715</v>
      </c>
      <c r="AV76" s="47" t="s">
        <v>96</v>
      </c>
      <c r="AW76" s="47" t="s">
        <v>1544</v>
      </c>
    </row>
    <row r="77" spans="1:49" x14ac:dyDescent="0.2">
      <c r="A77" s="47">
        <v>10020111</v>
      </c>
      <c r="B77" s="47">
        <v>20</v>
      </c>
      <c r="C77" s="47" t="s">
        <v>25</v>
      </c>
      <c r="D77" s="47" t="s">
        <v>136</v>
      </c>
      <c r="E77" s="48">
        <v>42349</v>
      </c>
      <c r="F77" s="47">
        <v>93622472</v>
      </c>
      <c r="G77" s="47">
        <v>20</v>
      </c>
      <c r="H77" s="48">
        <v>42347</v>
      </c>
      <c r="I77" s="47"/>
      <c r="J77" s="47">
        <v>1201047</v>
      </c>
      <c r="K77" s="47" t="s">
        <v>79</v>
      </c>
      <c r="L77" s="47">
        <v>1201072</v>
      </c>
      <c r="M77" s="47" t="s">
        <v>115</v>
      </c>
      <c r="N77" s="47">
        <v>1171089</v>
      </c>
      <c r="O77" s="47" t="s">
        <v>75</v>
      </c>
      <c r="P77" s="47">
        <v>14101177</v>
      </c>
      <c r="Q77" s="47"/>
      <c r="R77" s="47"/>
      <c r="S77" s="47">
        <v>472022063</v>
      </c>
      <c r="T77" s="47" t="s">
        <v>1545</v>
      </c>
      <c r="U77" s="47" t="s">
        <v>1459</v>
      </c>
      <c r="V77" s="47" t="s">
        <v>1546</v>
      </c>
      <c r="W77" s="47" t="s">
        <v>1459</v>
      </c>
      <c r="X77" s="47" t="s">
        <v>1547</v>
      </c>
      <c r="Y77" s="47">
        <v>72</v>
      </c>
      <c r="Z77" s="47">
        <v>72</v>
      </c>
      <c r="AA77" s="47" t="s">
        <v>1332</v>
      </c>
      <c r="AB77" s="47">
        <v>36</v>
      </c>
      <c r="AC77" s="47" t="s">
        <v>1333</v>
      </c>
      <c r="AD77" s="47">
        <v>4</v>
      </c>
      <c r="AE77" s="47" t="s">
        <v>182</v>
      </c>
      <c r="AF77" s="47">
        <v>288</v>
      </c>
      <c r="AG77" s="47">
        <v>288</v>
      </c>
      <c r="AH77" s="47" t="s">
        <v>182</v>
      </c>
      <c r="AI77" s="47" t="s">
        <v>181</v>
      </c>
      <c r="AJ77" s="47" t="s">
        <v>97</v>
      </c>
      <c r="AK77" s="47"/>
      <c r="AL77" s="47" t="s">
        <v>63</v>
      </c>
      <c r="AM77" s="47"/>
      <c r="AN77" s="47"/>
      <c r="AO77" s="47"/>
      <c r="AP77" s="47" t="s">
        <v>64</v>
      </c>
      <c r="AQ77" s="48">
        <v>42349</v>
      </c>
      <c r="AR77" s="47"/>
      <c r="AS77" s="47"/>
      <c r="AT77" s="47"/>
      <c r="AU77" s="47">
        <v>87944972777685</v>
      </c>
      <c r="AV77" s="47"/>
      <c r="AW77" s="47"/>
    </row>
    <row r="78" spans="1:49" x14ac:dyDescent="0.2">
      <c r="A78" s="47">
        <v>10020112</v>
      </c>
      <c r="B78" s="47">
        <v>10</v>
      </c>
      <c r="C78" s="47" t="s">
        <v>25</v>
      </c>
      <c r="D78" s="47" t="s">
        <v>136</v>
      </c>
      <c r="E78" s="48">
        <v>42349</v>
      </c>
      <c r="F78" s="47">
        <v>93622586</v>
      </c>
      <c r="G78" s="47">
        <v>10</v>
      </c>
      <c r="H78" s="48">
        <v>42347</v>
      </c>
      <c r="I78" s="47"/>
      <c r="J78" s="47">
        <v>1201047</v>
      </c>
      <c r="K78" s="47" t="s">
        <v>79</v>
      </c>
      <c r="L78" s="47">
        <v>1201072</v>
      </c>
      <c r="M78" s="47" t="s">
        <v>115</v>
      </c>
      <c r="N78" s="47">
        <v>1171089</v>
      </c>
      <c r="O78" s="47" t="s">
        <v>75</v>
      </c>
      <c r="P78" s="47">
        <v>14101116</v>
      </c>
      <c r="Q78" s="47"/>
      <c r="R78" s="47"/>
      <c r="S78" s="47">
        <v>58914021460</v>
      </c>
      <c r="T78" s="47" t="s">
        <v>1548</v>
      </c>
      <c r="U78" s="47" t="s">
        <v>1459</v>
      </c>
      <c r="V78" s="47" t="s">
        <v>1549</v>
      </c>
      <c r="W78" s="47" t="s">
        <v>1459</v>
      </c>
      <c r="X78" s="47" t="s">
        <v>1550</v>
      </c>
      <c r="Y78" s="47">
        <v>72</v>
      </c>
      <c r="Z78" s="47">
        <v>72</v>
      </c>
      <c r="AA78" s="47" t="s">
        <v>1332</v>
      </c>
      <c r="AB78" s="47">
        <v>72</v>
      </c>
      <c r="AC78" s="47" t="s">
        <v>1333</v>
      </c>
      <c r="AD78" s="47">
        <v>20.9</v>
      </c>
      <c r="AE78" s="47" t="s">
        <v>182</v>
      </c>
      <c r="AF78" s="49">
        <v>1504.8</v>
      </c>
      <c r="AG78" s="49">
        <v>1504.8</v>
      </c>
      <c r="AH78" s="47" t="s">
        <v>182</v>
      </c>
      <c r="AI78" s="47" t="s">
        <v>181</v>
      </c>
      <c r="AJ78" s="47" t="s">
        <v>102</v>
      </c>
      <c r="AK78" s="47"/>
      <c r="AL78" s="47" t="s">
        <v>63</v>
      </c>
      <c r="AM78" s="47"/>
      <c r="AN78" s="47"/>
      <c r="AO78" s="47"/>
      <c r="AP78" s="47" t="s">
        <v>64</v>
      </c>
      <c r="AQ78" s="48">
        <v>42349</v>
      </c>
      <c r="AR78" s="47"/>
      <c r="AS78" s="47"/>
      <c r="AT78" s="47"/>
      <c r="AU78" s="47">
        <v>649275164998</v>
      </c>
      <c r="AV78" s="47"/>
      <c r="AW78" s="47"/>
    </row>
    <row r="79" spans="1:49" x14ac:dyDescent="0.2">
      <c r="A79" s="47">
        <v>10020113</v>
      </c>
      <c r="B79" s="47">
        <v>30</v>
      </c>
      <c r="C79" s="47" t="s">
        <v>25</v>
      </c>
      <c r="D79" s="47" t="s">
        <v>136</v>
      </c>
      <c r="E79" s="48">
        <v>42349</v>
      </c>
      <c r="F79" s="47">
        <v>93622594</v>
      </c>
      <c r="G79" s="47">
        <v>30</v>
      </c>
      <c r="H79" s="48">
        <v>42347</v>
      </c>
      <c r="I79" s="47"/>
      <c r="J79" s="47">
        <v>1201047</v>
      </c>
      <c r="K79" s="47" t="s">
        <v>79</v>
      </c>
      <c r="L79" s="47">
        <v>1201072</v>
      </c>
      <c r="M79" s="47" t="s">
        <v>115</v>
      </c>
      <c r="N79" s="47">
        <v>1171089</v>
      </c>
      <c r="O79" s="47" t="s">
        <v>75</v>
      </c>
      <c r="P79" s="47">
        <v>14101887</v>
      </c>
      <c r="Q79" s="47"/>
      <c r="R79" s="47"/>
      <c r="S79" s="47">
        <v>58914021460</v>
      </c>
      <c r="T79" s="47" t="s">
        <v>1548</v>
      </c>
      <c r="U79" s="47" t="s">
        <v>1459</v>
      </c>
      <c r="V79" s="47" t="s">
        <v>1549</v>
      </c>
      <c r="W79" s="47" t="s">
        <v>1459</v>
      </c>
      <c r="X79" s="47" t="s">
        <v>1551</v>
      </c>
      <c r="Y79" s="47">
        <v>72</v>
      </c>
      <c r="Z79" s="47">
        <v>72</v>
      </c>
      <c r="AA79" s="47" t="s">
        <v>1332</v>
      </c>
      <c r="AB79" s="47">
        <v>72</v>
      </c>
      <c r="AC79" s="47" t="s">
        <v>1333</v>
      </c>
      <c r="AD79" s="47">
        <v>20.9</v>
      </c>
      <c r="AE79" s="47" t="s">
        <v>182</v>
      </c>
      <c r="AF79" s="49">
        <v>1504.8</v>
      </c>
      <c r="AG79" s="49">
        <v>1504.8</v>
      </c>
      <c r="AH79" s="47" t="s">
        <v>182</v>
      </c>
      <c r="AI79" s="47" t="s">
        <v>181</v>
      </c>
      <c r="AJ79" s="47" t="s">
        <v>102</v>
      </c>
      <c r="AK79" s="47"/>
      <c r="AL79" s="47" t="s">
        <v>63</v>
      </c>
      <c r="AM79" s="47"/>
      <c r="AN79" s="47"/>
      <c r="AO79" s="47"/>
      <c r="AP79" s="47" t="s">
        <v>64</v>
      </c>
      <c r="AQ79" s="48">
        <v>42349</v>
      </c>
      <c r="AR79" s="47"/>
      <c r="AS79" s="47"/>
      <c r="AT79" s="47"/>
      <c r="AU79" s="47">
        <v>649275164016</v>
      </c>
      <c r="AV79" s="47"/>
      <c r="AW79" s="47"/>
    </row>
    <row r="80" spans="1:49" x14ac:dyDescent="0.2">
      <c r="A80" s="47">
        <v>10020114</v>
      </c>
      <c r="B80" s="47">
        <v>50</v>
      </c>
      <c r="C80" s="47" t="s">
        <v>25</v>
      </c>
      <c r="D80" s="47" t="s">
        <v>136</v>
      </c>
      <c r="E80" s="48">
        <v>42349</v>
      </c>
      <c r="F80" s="47">
        <v>93622621</v>
      </c>
      <c r="G80" s="47">
        <v>50</v>
      </c>
      <c r="H80" s="48">
        <v>42347</v>
      </c>
      <c r="I80" s="47"/>
      <c r="J80" s="47">
        <v>1201047</v>
      </c>
      <c r="K80" s="47" t="s">
        <v>79</v>
      </c>
      <c r="L80" s="47">
        <v>1201072</v>
      </c>
      <c r="M80" s="47" t="s">
        <v>115</v>
      </c>
      <c r="N80" s="47">
        <v>1171089</v>
      </c>
      <c r="O80" s="47" t="s">
        <v>75</v>
      </c>
      <c r="P80" s="47">
        <v>14101887</v>
      </c>
      <c r="Q80" s="47"/>
      <c r="R80" s="47"/>
      <c r="S80" s="47">
        <v>58914001460</v>
      </c>
      <c r="T80" s="47" t="s">
        <v>1552</v>
      </c>
      <c r="U80" s="47" t="s">
        <v>1459</v>
      </c>
      <c r="V80" s="47" t="s">
        <v>1549</v>
      </c>
      <c r="W80" s="47" t="s">
        <v>1459</v>
      </c>
      <c r="X80" s="47" t="s">
        <v>1553</v>
      </c>
      <c r="Y80" s="47">
        <v>162</v>
      </c>
      <c r="Z80" s="47">
        <v>162</v>
      </c>
      <c r="AA80" s="47" t="s">
        <v>1332</v>
      </c>
      <c r="AB80" s="47">
        <v>54</v>
      </c>
      <c r="AC80" s="47" t="s">
        <v>1333</v>
      </c>
      <c r="AD80" s="47">
        <v>29.89</v>
      </c>
      <c r="AE80" s="47" t="s">
        <v>182</v>
      </c>
      <c r="AF80" s="49">
        <v>4842.18</v>
      </c>
      <c r="AG80" s="49">
        <v>4842.18</v>
      </c>
      <c r="AH80" s="47" t="s">
        <v>182</v>
      </c>
      <c r="AI80" s="47" t="s">
        <v>181</v>
      </c>
      <c r="AJ80" s="47" t="s">
        <v>102</v>
      </c>
      <c r="AK80" s="47"/>
      <c r="AL80" s="47" t="s">
        <v>63</v>
      </c>
      <c r="AM80" s="47"/>
      <c r="AN80" s="47"/>
      <c r="AO80" s="47"/>
      <c r="AP80" s="47" t="s">
        <v>64</v>
      </c>
      <c r="AQ80" s="48">
        <v>42349</v>
      </c>
      <c r="AR80" s="47"/>
      <c r="AS80" s="47"/>
      <c r="AT80" s="47"/>
      <c r="AU80" s="47">
        <v>649275166865</v>
      </c>
      <c r="AV80" s="47"/>
      <c r="AW80" s="47"/>
    </row>
    <row r="81" spans="1:49" x14ac:dyDescent="0.2">
      <c r="A81" s="47">
        <v>10020116</v>
      </c>
      <c r="B81" s="47">
        <v>70</v>
      </c>
      <c r="C81" s="47" t="s">
        <v>26</v>
      </c>
      <c r="D81" s="47" t="s">
        <v>78</v>
      </c>
      <c r="E81" s="48">
        <v>42349</v>
      </c>
      <c r="F81" s="47">
        <v>93622442</v>
      </c>
      <c r="G81" s="47">
        <v>70</v>
      </c>
      <c r="H81" s="48">
        <v>42347</v>
      </c>
      <c r="I81" s="47"/>
      <c r="J81" s="47">
        <v>1201047</v>
      </c>
      <c r="K81" s="47" t="s">
        <v>79</v>
      </c>
      <c r="L81" s="47">
        <v>1340974</v>
      </c>
      <c r="M81" s="47" t="s">
        <v>93</v>
      </c>
      <c r="N81" s="47">
        <v>1171089</v>
      </c>
      <c r="O81" s="47" t="s">
        <v>75</v>
      </c>
      <c r="P81" s="47">
        <v>87103137</v>
      </c>
      <c r="Q81" s="47"/>
      <c r="R81" s="47"/>
      <c r="S81" s="47">
        <v>430075327</v>
      </c>
      <c r="T81" s="47" t="s">
        <v>1554</v>
      </c>
      <c r="U81" s="47" t="s">
        <v>1555</v>
      </c>
      <c r="V81" s="47" t="s">
        <v>1556</v>
      </c>
      <c r="W81" s="47" t="s">
        <v>1331</v>
      </c>
      <c r="X81" s="47"/>
      <c r="Y81" s="47">
        <v>13548</v>
      </c>
      <c r="Z81" s="47">
        <v>24</v>
      </c>
      <c r="AA81" s="47" t="s">
        <v>1332</v>
      </c>
      <c r="AB81" s="47">
        <v>12</v>
      </c>
      <c r="AC81" s="47" t="s">
        <v>1333</v>
      </c>
      <c r="AD81" s="47">
        <v>494.73</v>
      </c>
      <c r="AE81" s="47" t="s">
        <v>182</v>
      </c>
      <c r="AF81" s="49">
        <v>6702602.04</v>
      </c>
      <c r="AG81" s="49">
        <v>11873.52</v>
      </c>
      <c r="AH81" s="47" t="s">
        <v>182</v>
      </c>
      <c r="AI81" s="47" t="s">
        <v>181</v>
      </c>
      <c r="AJ81" s="47" t="s">
        <v>279</v>
      </c>
      <c r="AK81" s="47"/>
      <c r="AL81" s="47" t="s">
        <v>69</v>
      </c>
      <c r="AM81" s="47" t="s">
        <v>94</v>
      </c>
      <c r="AN81" s="47" t="s">
        <v>95</v>
      </c>
      <c r="AO81" s="48">
        <v>42356</v>
      </c>
      <c r="AP81" s="47" t="s">
        <v>83</v>
      </c>
      <c r="AQ81" s="48">
        <v>42366</v>
      </c>
      <c r="AR81" s="47" t="s">
        <v>100</v>
      </c>
      <c r="AS81" s="47">
        <v>62050497</v>
      </c>
      <c r="AT81" s="48">
        <v>42368</v>
      </c>
      <c r="AU81" s="47" t="s">
        <v>1538</v>
      </c>
      <c r="AV81" s="47" t="s">
        <v>96</v>
      </c>
      <c r="AW81" s="47" t="s">
        <v>1557</v>
      </c>
    </row>
    <row r="82" spans="1:49" x14ac:dyDescent="0.2">
      <c r="A82" s="47">
        <v>10020117</v>
      </c>
      <c r="B82" s="47">
        <v>2480</v>
      </c>
      <c r="C82" s="47" t="s">
        <v>18</v>
      </c>
      <c r="D82" s="47" t="s">
        <v>573</v>
      </c>
      <c r="E82" s="48">
        <v>42349</v>
      </c>
      <c r="F82" s="47">
        <v>93617613</v>
      </c>
      <c r="G82" s="47">
        <v>2480</v>
      </c>
      <c r="H82" s="48">
        <v>42342</v>
      </c>
      <c r="I82" s="47"/>
      <c r="J82" s="47">
        <v>1201120</v>
      </c>
      <c r="K82" s="47" t="s">
        <v>117</v>
      </c>
      <c r="L82" s="47">
        <v>1307782</v>
      </c>
      <c r="M82" s="47" t="s">
        <v>119</v>
      </c>
      <c r="N82" s="47">
        <v>1171090</v>
      </c>
      <c r="O82" s="47" t="s">
        <v>118</v>
      </c>
      <c r="P82" s="47" t="s">
        <v>1477</v>
      </c>
      <c r="Q82" s="47"/>
      <c r="R82" s="47"/>
      <c r="S82" s="47">
        <v>591312879</v>
      </c>
      <c r="T82" s="47" t="s">
        <v>1525</v>
      </c>
      <c r="U82" s="47" t="s">
        <v>1322</v>
      </c>
      <c r="V82" s="47" t="s">
        <v>1526</v>
      </c>
      <c r="W82" s="47" t="s">
        <v>1331</v>
      </c>
      <c r="X82" s="47">
        <v>152226.1</v>
      </c>
      <c r="Y82" s="47">
        <v>576</v>
      </c>
      <c r="Z82" s="47">
        <v>2</v>
      </c>
      <c r="AA82" s="47" t="s">
        <v>1332</v>
      </c>
      <c r="AB82" s="47">
        <v>72</v>
      </c>
      <c r="AC82" s="47" t="s">
        <v>1333</v>
      </c>
      <c r="AD82" s="47">
        <v>31</v>
      </c>
      <c r="AE82" s="47" t="s">
        <v>182</v>
      </c>
      <c r="AF82" s="49">
        <v>17856</v>
      </c>
      <c r="AG82" s="47">
        <v>62</v>
      </c>
      <c r="AH82" s="47" t="s">
        <v>182</v>
      </c>
      <c r="AI82" s="47" t="s">
        <v>181</v>
      </c>
      <c r="AJ82" s="47" t="s">
        <v>97</v>
      </c>
      <c r="AK82" s="47"/>
      <c r="AL82" s="47" t="s">
        <v>63</v>
      </c>
      <c r="AM82" s="47" t="s">
        <v>70</v>
      </c>
      <c r="AN82" s="47" t="s">
        <v>76</v>
      </c>
      <c r="AO82" s="48">
        <v>42356</v>
      </c>
      <c r="AP82" s="47" t="s">
        <v>64</v>
      </c>
      <c r="AQ82" s="48">
        <v>42349</v>
      </c>
      <c r="AR82" s="47"/>
      <c r="AS82" s="47"/>
      <c r="AT82" s="47"/>
      <c r="AU82" s="47">
        <v>87944972765507</v>
      </c>
      <c r="AV82" s="47" t="s">
        <v>77</v>
      </c>
      <c r="AW82" s="47" t="s">
        <v>211</v>
      </c>
    </row>
    <row r="83" spans="1:49" x14ac:dyDescent="0.2">
      <c r="A83" s="47">
        <v>10020118</v>
      </c>
      <c r="B83" s="47">
        <v>70</v>
      </c>
      <c r="C83" s="47" t="s">
        <v>25</v>
      </c>
      <c r="D83" s="47" t="s">
        <v>78</v>
      </c>
      <c r="E83" s="48">
        <v>42349</v>
      </c>
      <c r="F83" s="47">
        <v>93622662</v>
      </c>
      <c r="G83" s="47">
        <v>70</v>
      </c>
      <c r="H83" s="48">
        <v>42347</v>
      </c>
      <c r="I83" s="47"/>
      <c r="J83" s="47">
        <v>1201057</v>
      </c>
      <c r="K83" s="47" t="s">
        <v>643</v>
      </c>
      <c r="L83" s="47">
        <v>1325925</v>
      </c>
      <c r="M83" s="47" t="s">
        <v>643</v>
      </c>
      <c r="N83" s="47">
        <v>1201057</v>
      </c>
      <c r="O83" s="47" t="s">
        <v>643</v>
      </c>
      <c r="P83" s="47">
        <v>177266</v>
      </c>
      <c r="Q83" s="47"/>
      <c r="R83" s="47"/>
      <c r="S83" s="47">
        <v>591272060</v>
      </c>
      <c r="T83" s="47" t="s">
        <v>1558</v>
      </c>
      <c r="U83" s="47" t="s">
        <v>1322</v>
      </c>
      <c r="V83" s="47" t="s">
        <v>1559</v>
      </c>
      <c r="W83" s="47" t="s">
        <v>1331</v>
      </c>
      <c r="X83" s="47" t="s">
        <v>1560</v>
      </c>
      <c r="Y83" s="47">
        <v>48</v>
      </c>
      <c r="Z83" s="47">
        <v>48</v>
      </c>
      <c r="AA83" s="47" t="s">
        <v>1324</v>
      </c>
      <c r="AB83" s="47">
        <v>48</v>
      </c>
      <c r="AC83" s="47" t="s">
        <v>1325</v>
      </c>
      <c r="AD83" s="47">
        <v>713.71</v>
      </c>
      <c r="AE83" s="47" t="s">
        <v>182</v>
      </c>
      <c r="AF83" s="49">
        <v>34258.080000000002</v>
      </c>
      <c r="AG83" s="49">
        <v>34258.080000000002</v>
      </c>
      <c r="AH83" s="47" t="s">
        <v>182</v>
      </c>
      <c r="AI83" s="47" t="s">
        <v>181</v>
      </c>
      <c r="AJ83" s="47" t="s">
        <v>97</v>
      </c>
      <c r="AK83" s="47"/>
      <c r="AL83" s="47" t="s">
        <v>63</v>
      </c>
      <c r="AM83" s="47"/>
      <c r="AN83" s="47"/>
      <c r="AO83" s="47"/>
      <c r="AP83" s="47" t="s">
        <v>64</v>
      </c>
      <c r="AQ83" s="48">
        <v>42349</v>
      </c>
      <c r="AR83" s="47"/>
      <c r="AS83" s="47"/>
      <c r="AT83" s="47"/>
      <c r="AU83" s="47">
        <v>87944972778187</v>
      </c>
      <c r="AV83" s="47"/>
      <c r="AW83" s="47"/>
    </row>
    <row r="84" spans="1:49" x14ac:dyDescent="0.2">
      <c r="A84" s="47">
        <v>10020119</v>
      </c>
      <c r="B84" s="47">
        <v>40</v>
      </c>
      <c r="C84" s="47" t="s">
        <v>18</v>
      </c>
      <c r="D84" s="47" t="s">
        <v>573</v>
      </c>
      <c r="E84" s="48">
        <v>42349</v>
      </c>
      <c r="F84" s="47">
        <v>93619519</v>
      </c>
      <c r="G84" s="47">
        <v>40</v>
      </c>
      <c r="H84" s="48">
        <v>42345</v>
      </c>
      <c r="I84" s="47"/>
      <c r="J84" s="47">
        <v>1201120</v>
      </c>
      <c r="K84" s="47" t="s">
        <v>117</v>
      </c>
      <c r="L84" s="47">
        <v>1307782</v>
      </c>
      <c r="M84" s="47" t="s">
        <v>119</v>
      </c>
      <c r="N84" s="47">
        <v>1171090</v>
      </c>
      <c r="O84" s="47" t="s">
        <v>118</v>
      </c>
      <c r="P84" s="47" t="s">
        <v>1091</v>
      </c>
      <c r="Q84" s="47"/>
      <c r="R84" s="47"/>
      <c r="S84" s="47">
        <v>472022063</v>
      </c>
      <c r="T84" s="47" t="s">
        <v>1545</v>
      </c>
      <c r="U84" s="47" t="s">
        <v>1459</v>
      </c>
      <c r="V84" s="47" t="s">
        <v>1546</v>
      </c>
      <c r="W84" s="47" t="s">
        <v>1459</v>
      </c>
      <c r="X84" s="47" t="s">
        <v>1547</v>
      </c>
      <c r="Y84" s="47">
        <v>504</v>
      </c>
      <c r="Z84" s="47">
        <v>36</v>
      </c>
      <c r="AA84" s="47" t="s">
        <v>1332</v>
      </c>
      <c r="AB84" s="47">
        <v>36</v>
      </c>
      <c r="AC84" s="47" t="s">
        <v>1333</v>
      </c>
      <c r="AD84" s="47">
        <v>4</v>
      </c>
      <c r="AE84" s="47" t="s">
        <v>182</v>
      </c>
      <c r="AF84" s="49">
        <v>2016</v>
      </c>
      <c r="AG84" s="47">
        <v>144</v>
      </c>
      <c r="AH84" s="47" t="s">
        <v>182</v>
      </c>
      <c r="AI84" s="47" t="s">
        <v>181</v>
      </c>
      <c r="AJ84" s="47" t="s">
        <v>102</v>
      </c>
      <c r="AK84" s="47"/>
      <c r="AL84" s="47" t="s">
        <v>63</v>
      </c>
      <c r="AM84" s="47" t="s">
        <v>70</v>
      </c>
      <c r="AN84" s="47" t="s">
        <v>76</v>
      </c>
      <c r="AO84" s="48">
        <v>42356</v>
      </c>
      <c r="AP84" s="47" t="s">
        <v>64</v>
      </c>
      <c r="AQ84" s="48">
        <v>42349</v>
      </c>
      <c r="AR84" s="47"/>
      <c r="AS84" s="47"/>
      <c r="AT84" s="47"/>
      <c r="AU84" s="47">
        <v>649275159679</v>
      </c>
      <c r="AV84" s="47" t="s">
        <v>77</v>
      </c>
      <c r="AW84" s="47" t="s">
        <v>1561</v>
      </c>
    </row>
    <row r="85" spans="1:49" x14ac:dyDescent="0.2">
      <c r="A85" s="47">
        <v>10020120</v>
      </c>
      <c r="B85" s="47">
        <v>1110</v>
      </c>
      <c r="C85" s="47" t="s">
        <v>26</v>
      </c>
      <c r="D85" s="47" t="s">
        <v>78</v>
      </c>
      <c r="E85" s="48">
        <v>42349</v>
      </c>
      <c r="F85" s="47">
        <v>93620887</v>
      </c>
      <c r="G85" s="47">
        <v>1110</v>
      </c>
      <c r="H85" s="48">
        <v>42346</v>
      </c>
      <c r="I85" s="47"/>
      <c r="J85" s="47">
        <v>1201047</v>
      </c>
      <c r="K85" s="47" t="s">
        <v>79</v>
      </c>
      <c r="L85" s="47">
        <v>1034532</v>
      </c>
      <c r="M85" s="47" t="s">
        <v>301</v>
      </c>
      <c r="N85" s="47">
        <v>1171089</v>
      </c>
      <c r="O85" s="47" t="s">
        <v>75</v>
      </c>
      <c r="P85" s="47">
        <v>25436107</v>
      </c>
      <c r="Q85" s="47"/>
      <c r="R85" s="47"/>
      <c r="S85" s="47">
        <v>60758011905</v>
      </c>
      <c r="T85" s="47" t="s">
        <v>1511</v>
      </c>
      <c r="U85" s="47" t="s">
        <v>1322</v>
      </c>
      <c r="V85" s="47" t="s">
        <v>1400</v>
      </c>
      <c r="W85" s="47" t="s">
        <v>1331</v>
      </c>
      <c r="X85" s="47">
        <v>89701</v>
      </c>
      <c r="Y85" s="47">
        <v>1080</v>
      </c>
      <c r="Z85" s="47">
        <v>36</v>
      </c>
      <c r="AA85" s="47" t="s">
        <v>1332</v>
      </c>
      <c r="AB85" s="47">
        <v>72</v>
      </c>
      <c r="AC85" s="47" t="s">
        <v>1333</v>
      </c>
      <c r="AD85" s="47">
        <v>44</v>
      </c>
      <c r="AE85" s="47" t="s">
        <v>182</v>
      </c>
      <c r="AF85" s="49">
        <v>47520</v>
      </c>
      <c r="AG85" s="49">
        <v>1584</v>
      </c>
      <c r="AH85" s="47" t="s">
        <v>182</v>
      </c>
      <c r="AI85" s="47" t="s">
        <v>181</v>
      </c>
      <c r="AJ85" s="47" t="s">
        <v>91</v>
      </c>
      <c r="AK85" s="47"/>
      <c r="AL85" s="47" t="s">
        <v>63</v>
      </c>
      <c r="AM85" s="47"/>
      <c r="AN85" s="47"/>
      <c r="AO85" s="47"/>
      <c r="AP85" s="47" t="s">
        <v>64</v>
      </c>
      <c r="AQ85" s="48">
        <v>42349</v>
      </c>
      <c r="AR85" s="47"/>
      <c r="AS85" s="47"/>
      <c r="AT85" s="47"/>
      <c r="AU85" s="47" t="s">
        <v>1562</v>
      </c>
      <c r="AV85" s="47"/>
      <c r="AW85" s="47"/>
    </row>
    <row r="86" spans="1:49" x14ac:dyDescent="0.2">
      <c r="A86" s="47">
        <v>10020121</v>
      </c>
      <c r="B86" s="47">
        <v>220</v>
      </c>
      <c r="C86" s="47" t="s">
        <v>26</v>
      </c>
      <c r="D86" s="47" t="s">
        <v>78</v>
      </c>
      <c r="E86" s="48">
        <v>42349</v>
      </c>
      <c r="F86" s="47">
        <v>93604046</v>
      </c>
      <c r="G86" s="47">
        <v>220</v>
      </c>
      <c r="H86" s="48">
        <v>42331</v>
      </c>
      <c r="I86" s="47"/>
      <c r="J86" s="47">
        <v>1201047</v>
      </c>
      <c r="K86" s="47" t="s">
        <v>79</v>
      </c>
      <c r="L86" s="47">
        <v>1058305</v>
      </c>
      <c r="M86" s="47" t="s">
        <v>99</v>
      </c>
      <c r="N86" s="47">
        <v>1171089</v>
      </c>
      <c r="O86" s="47" t="s">
        <v>75</v>
      </c>
      <c r="P86" s="47">
        <v>52937505</v>
      </c>
      <c r="Q86" s="47"/>
      <c r="R86" s="47"/>
      <c r="S86" s="47">
        <v>228300411</v>
      </c>
      <c r="T86" s="47" t="s">
        <v>1563</v>
      </c>
      <c r="U86" s="47" t="s">
        <v>1322</v>
      </c>
      <c r="V86" s="47" t="s">
        <v>1564</v>
      </c>
      <c r="W86" s="47">
        <v>4</v>
      </c>
      <c r="X86" s="47" t="s">
        <v>1565</v>
      </c>
      <c r="Y86" s="47">
        <v>144</v>
      </c>
      <c r="Z86" s="47">
        <v>1</v>
      </c>
      <c r="AA86" s="47" t="s">
        <v>1332</v>
      </c>
      <c r="AB86" s="47">
        <v>24</v>
      </c>
      <c r="AC86" s="47" t="s">
        <v>1333</v>
      </c>
      <c r="AD86" s="47">
        <v>4.2</v>
      </c>
      <c r="AE86" s="47" t="s">
        <v>182</v>
      </c>
      <c r="AF86" s="47">
        <v>604.79999999999995</v>
      </c>
      <c r="AG86" s="47">
        <v>4.2</v>
      </c>
      <c r="AH86" s="47" t="s">
        <v>182</v>
      </c>
      <c r="AI86" s="47" t="s">
        <v>181</v>
      </c>
      <c r="AJ86" s="47" t="s">
        <v>91</v>
      </c>
      <c r="AK86" s="47"/>
      <c r="AL86" s="47" t="s">
        <v>63</v>
      </c>
      <c r="AM86" s="47" t="s">
        <v>105</v>
      </c>
      <c r="AN86" s="47" t="s">
        <v>82</v>
      </c>
      <c r="AO86" s="48">
        <v>42356</v>
      </c>
      <c r="AP86" s="47" t="s">
        <v>166</v>
      </c>
      <c r="AQ86" s="48">
        <v>42366</v>
      </c>
      <c r="AR86" s="47"/>
      <c r="AS86" s="47"/>
      <c r="AT86" s="47"/>
      <c r="AU86" s="47" t="s">
        <v>1371</v>
      </c>
      <c r="AV86" s="47" t="s">
        <v>89</v>
      </c>
      <c r="AW86" s="47" t="s">
        <v>1566</v>
      </c>
    </row>
    <row r="87" spans="1:49" x14ac:dyDescent="0.2">
      <c r="A87" s="47">
        <v>10020123</v>
      </c>
      <c r="B87" s="47">
        <v>1190</v>
      </c>
      <c r="C87" s="47" t="s">
        <v>18</v>
      </c>
      <c r="D87" s="47" t="s">
        <v>573</v>
      </c>
      <c r="E87" s="48">
        <v>42349</v>
      </c>
      <c r="F87" s="47">
        <v>93617602</v>
      </c>
      <c r="G87" s="47">
        <v>1190</v>
      </c>
      <c r="H87" s="48">
        <v>42342</v>
      </c>
      <c r="I87" s="47"/>
      <c r="J87" s="47">
        <v>1201120</v>
      </c>
      <c r="K87" s="47" t="s">
        <v>117</v>
      </c>
      <c r="L87" s="47">
        <v>1307782</v>
      </c>
      <c r="M87" s="47" t="s">
        <v>119</v>
      </c>
      <c r="N87" s="47">
        <v>1171090</v>
      </c>
      <c r="O87" s="47" t="s">
        <v>118</v>
      </c>
      <c r="P87" s="47" t="s">
        <v>1477</v>
      </c>
      <c r="Q87" s="47"/>
      <c r="R87" s="47"/>
      <c r="S87" s="47">
        <v>60758018805</v>
      </c>
      <c r="T87" s="47" t="s">
        <v>1471</v>
      </c>
      <c r="U87" s="47" t="s">
        <v>1322</v>
      </c>
      <c r="V87" s="47" t="s">
        <v>1472</v>
      </c>
      <c r="W87" s="47" t="s">
        <v>1331</v>
      </c>
      <c r="X87" s="47">
        <v>90430</v>
      </c>
      <c r="Y87" s="47">
        <v>864</v>
      </c>
      <c r="Z87" s="47">
        <v>12</v>
      </c>
      <c r="AA87" s="47" t="s">
        <v>1332</v>
      </c>
      <c r="AB87" s="47">
        <v>72</v>
      </c>
      <c r="AC87" s="47" t="s">
        <v>1333</v>
      </c>
      <c r="AD87" s="47">
        <v>3.96</v>
      </c>
      <c r="AE87" s="47" t="s">
        <v>182</v>
      </c>
      <c r="AF87" s="49">
        <v>3421.44</v>
      </c>
      <c r="AG87" s="47">
        <v>47.52</v>
      </c>
      <c r="AH87" s="47" t="s">
        <v>182</v>
      </c>
      <c r="AI87" s="47" t="s">
        <v>181</v>
      </c>
      <c r="AJ87" s="47" t="s">
        <v>97</v>
      </c>
      <c r="AK87" s="47"/>
      <c r="AL87" s="47" t="s">
        <v>63</v>
      </c>
      <c r="AM87" s="47" t="s">
        <v>70</v>
      </c>
      <c r="AN87" s="47" t="s">
        <v>76</v>
      </c>
      <c r="AO87" s="48">
        <v>42356</v>
      </c>
      <c r="AP87" s="47" t="s">
        <v>64</v>
      </c>
      <c r="AQ87" s="48">
        <v>42349</v>
      </c>
      <c r="AR87" s="47"/>
      <c r="AS87" s="47"/>
      <c r="AT87" s="47"/>
      <c r="AU87" s="47">
        <v>87944972769543</v>
      </c>
      <c r="AV87" s="47" t="s">
        <v>77</v>
      </c>
      <c r="AW87" s="47" t="s">
        <v>803</v>
      </c>
    </row>
    <row r="88" spans="1:49" x14ac:dyDescent="0.2">
      <c r="A88" s="47">
        <v>10020124</v>
      </c>
      <c r="B88" s="47">
        <v>10</v>
      </c>
      <c r="C88" s="47" t="s">
        <v>23</v>
      </c>
      <c r="D88" s="47" t="s">
        <v>252</v>
      </c>
      <c r="E88" s="48">
        <v>42349</v>
      </c>
      <c r="F88" s="47">
        <v>93577454</v>
      </c>
      <c r="G88" s="47">
        <v>10</v>
      </c>
      <c r="H88" s="48">
        <v>42307</v>
      </c>
      <c r="I88" s="47"/>
      <c r="J88" s="47">
        <v>1201301</v>
      </c>
      <c r="K88" s="47" t="s">
        <v>378</v>
      </c>
      <c r="L88" s="47">
        <v>1061826</v>
      </c>
      <c r="M88" s="47" t="s">
        <v>1567</v>
      </c>
      <c r="N88" s="47">
        <v>1171972</v>
      </c>
      <c r="O88" s="47" t="s">
        <v>379</v>
      </c>
      <c r="P88" s="47">
        <v>12891289</v>
      </c>
      <c r="Q88" s="47"/>
      <c r="R88" s="47"/>
      <c r="S88" s="47">
        <v>591346753</v>
      </c>
      <c r="T88" s="47" t="s">
        <v>1568</v>
      </c>
      <c r="U88" s="47" t="s">
        <v>1322</v>
      </c>
      <c r="V88" s="47" t="s">
        <v>1569</v>
      </c>
      <c r="W88" s="47" t="s">
        <v>1331</v>
      </c>
      <c r="X88" s="47" t="s">
        <v>1570</v>
      </c>
      <c r="Y88" s="47">
        <v>12</v>
      </c>
      <c r="Z88" s="47">
        <v>17</v>
      </c>
      <c r="AA88" s="47" t="s">
        <v>1332</v>
      </c>
      <c r="AB88" s="47">
        <v>25</v>
      </c>
      <c r="AC88" s="47" t="s">
        <v>1333</v>
      </c>
      <c r="AD88" s="47">
        <v>16.66</v>
      </c>
      <c r="AE88" s="47" t="s">
        <v>182</v>
      </c>
      <c r="AF88" s="47">
        <v>199.92</v>
      </c>
      <c r="AG88" s="47">
        <v>283.22000000000003</v>
      </c>
      <c r="AH88" s="47" t="s">
        <v>182</v>
      </c>
      <c r="AI88" s="47" t="s">
        <v>181</v>
      </c>
      <c r="AJ88" s="47" t="s">
        <v>97</v>
      </c>
      <c r="AK88" s="47"/>
      <c r="AL88" s="47" t="s">
        <v>63</v>
      </c>
      <c r="AM88" s="47"/>
      <c r="AN88" s="47"/>
      <c r="AO88" s="47"/>
      <c r="AP88" s="47" t="s">
        <v>64</v>
      </c>
      <c r="AQ88" s="48">
        <v>42349</v>
      </c>
      <c r="AR88" s="47"/>
      <c r="AS88" s="47"/>
      <c r="AT88" s="47"/>
      <c r="AU88" s="47">
        <v>87944972664732</v>
      </c>
      <c r="AV88" s="47"/>
      <c r="AW88" s="47"/>
    </row>
    <row r="89" spans="1:49" x14ac:dyDescent="0.2">
      <c r="A89" s="47">
        <v>10020126</v>
      </c>
      <c r="B89" s="47">
        <v>20</v>
      </c>
      <c r="C89" s="47" t="s">
        <v>18</v>
      </c>
      <c r="D89" s="47" t="s">
        <v>573</v>
      </c>
      <c r="E89" s="48">
        <v>42352</v>
      </c>
      <c r="F89" s="47">
        <v>93622689</v>
      </c>
      <c r="G89" s="47">
        <v>20</v>
      </c>
      <c r="H89" s="48">
        <v>42347</v>
      </c>
      <c r="I89" s="47"/>
      <c r="J89" s="47">
        <v>1201120</v>
      </c>
      <c r="K89" s="47" t="s">
        <v>117</v>
      </c>
      <c r="L89" s="47">
        <v>1307782</v>
      </c>
      <c r="M89" s="47" t="s">
        <v>119</v>
      </c>
      <c r="N89" s="47">
        <v>1171090</v>
      </c>
      <c r="O89" s="47" t="s">
        <v>118</v>
      </c>
      <c r="P89" s="47" t="s">
        <v>1084</v>
      </c>
      <c r="Q89" s="47"/>
      <c r="R89" s="47"/>
      <c r="S89" s="47">
        <v>58914021460</v>
      </c>
      <c r="T89" s="47" t="s">
        <v>1548</v>
      </c>
      <c r="U89" s="47" t="s">
        <v>1459</v>
      </c>
      <c r="V89" s="47" t="s">
        <v>1549</v>
      </c>
      <c r="W89" s="47" t="s">
        <v>1459</v>
      </c>
      <c r="X89" s="47" t="s">
        <v>1550</v>
      </c>
      <c r="Y89" s="47">
        <v>216</v>
      </c>
      <c r="Z89" s="47">
        <v>144</v>
      </c>
      <c r="AA89" s="47" t="s">
        <v>1332</v>
      </c>
      <c r="AB89" s="47">
        <v>72</v>
      </c>
      <c r="AC89" s="47" t="s">
        <v>1333</v>
      </c>
      <c r="AD89" s="47">
        <v>20.9</v>
      </c>
      <c r="AE89" s="47" t="s">
        <v>182</v>
      </c>
      <c r="AF89" s="49">
        <v>4514.3999999999996</v>
      </c>
      <c r="AG89" s="49">
        <v>3009.6</v>
      </c>
      <c r="AH89" s="47" t="s">
        <v>182</v>
      </c>
      <c r="AI89" s="47" t="s">
        <v>181</v>
      </c>
      <c r="AJ89" s="47" t="s">
        <v>102</v>
      </c>
      <c r="AK89" s="47"/>
      <c r="AL89" s="47" t="s">
        <v>63</v>
      </c>
      <c r="AM89" s="47" t="s">
        <v>70</v>
      </c>
      <c r="AN89" s="47" t="s">
        <v>76</v>
      </c>
      <c r="AO89" s="48">
        <v>42356</v>
      </c>
      <c r="AP89" s="47" t="s">
        <v>64</v>
      </c>
      <c r="AQ89" s="48">
        <v>42352</v>
      </c>
      <c r="AR89" s="47"/>
      <c r="AS89" s="47"/>
      <c r="AT89" s="47"/>
      <c r="AU89" s="47">
        <v>649275166074</v>
      </c>
      <c r="AV89" s="47" t="s">
        <v>77</v>
      </c>
      <c r="AW89" s="47" t="s">
        <v>1571</v>
      </c>
    </row>
    <row r="90" spans="1:49" x14ac:dyDescent="0.2">
      <c r="A90" s="47">
        <v>10020128</v>
      </c>
      <c r="B90" s="47">
        <v>1060</v>
      </c>
      <c r="C90" s="47" t="s">
        <v>26</v>
      </c>
      <c r="D90" s="47" t="s">
        <v>78</v>
      </c>
      <c r="E90" s="48">
        <v>42352</v>
      </c>
      <c r="F90" s="47">
        <v>93620902</v>
      </c>
      <c r="G90" s="47">
        <v>1060</v>
      </c>
      <c r="H90" s="48">
        <v>42346</v>
      </c>
      <c r="I90" s="47"/>
      <c r="J90" s="47">
        <v>1201047</v>
      </c>
      <c r="K90" s="47" t="s">
        <v>79</v>
      </c>
      <c r="L90" s="47">
        <v>1019056</v>
      </c>
      <c r="M90" s="47" t="s">
        <v>80</v>
      </c>
      <c r="N90" s="47">
        <v>1171089</v>
      </c>
      <c r="O90" s="47" t="s">
        <v>75</v>
      </c>
      <c r="P90" s="47">
        <v>41402138</v>
      </c>
      <c r="Q90" s="47"/>
      <c r="R90" s="47"/>
      <c r="S90" s="47">
        <v>62037099901</v>
      </c>
      <c r="T90" s="47" t="s">
        <v>1395</v>
      </c>
      <c r="U90" s="47" t="s">
        <v>1322</v>
      </c>
      <c r="V90" s="47" t="s">
        <v>1396</v>
      </c>
      <c r="W90" s="47" t="s">
        <v>1331</v>
      </c>
      <c r="X90" s="47"/>
      <c r="Y90" s="47">
        <v>72</v>
      </c>
      <c r="Z90" s="47">
        <v>24</v>
      </c>
      <c r="AA90" s="47" t="s">
        <v>1332</v>
      </c>
      <c r="AB90" s="47">
        <v>24</v>
      </c>
      <c r="AC90" s="47" t="s">
        <v>1333</v>
      </c>
      <c r="AD90" s="47">
        <v>50.19</v>
      </c>
      <c r="AE90" s="47" t="s">
        <v>182</v>
      </c>
      <c r="AF90" s="49">
        <v>3613.68</v>
      </c>
      <c r="AG90" s="49">
        <v>1204.56</v>
      </c>
      <c r="AH90" s="47" t="s">
        <v>182</v>
      </c>
      <c r="AI90" s="47" t="s">
        <v>181</v>
      </c>
      <c r="AJ90" s="47" t="s">
        <v>86</v>
      </c>
      <c r="AK90" s="47"/>
      <c r="AL90" s="47" t="s">
        <v>63</v>
      </c>
      <c r="AM90" s="47" t="s">
        <v>94</v>
      </c>
      <c r="AN90" s="47" t="s">
        <v>95</v>
      </c>
      <c r="AO90" s="48">
        <v>42352</v>
      </c>
      <c r="AP90" s="47" t="s">
        <v>64</v>
      </c>
      <c r="AQ90" s="48">
        <v>42352</v>
      </c>
      <c r="AR90" s="47"/>
      <c r="AS90" s="47"/>
      <c r="AT90" s="47"/>
      <c r="AU90" s="47" t="s">
        <v>1572</v>
      </c>
      <c r="AV90" s="47" t="s">
        <v>96</v>
      </c>
      <c r="AW90" s="47" t="s">
        <v>1573</v>
      </c>
    </row>
    <row r="91" spans="1:49" x14ac:dyDescent="0.2">
      <c r="A91" s="47">
        <v>10020129</v>
      </c>
      <c r="B91" s="47">
        <v>310</v>
      </c>
      <c r="C91" s="47" t="s">
        <v>26</v>
      </c>
      <c r="D91" s="47" t="s">
        <v>78</v>
      </c>
      <c r="E91" s="48">
        <v>42352</v>
      </c>
      <c r="F91" s="47">
        <v>93617615</v>
      </c>
      <c r="G91" s="47">
        <v>310</v>
      </c>
      <c r="H91" s="48">
        <v>42342</v>
      </c>
      <c r="I91" s="47"/>
      <c r="J91" s="47">
        <v>1201120</v>
      </c>
      <c r="K91" s="47" t="s">
        <v>117</v>
      </c>
      <c r="L91" s="47">
        <v>1307782</v>
      </c>
      <c r="M91" s="47" t="s">
        <v>119</v>
      </c>
      <c r="N91" s="47">
        <v>1171090</v>
      </c>
      <c r="O91" s="47" t="s">
        <v>118</v>
      </c>
      <c r="P91" s="47" t="s">
        <v>1574</v>
      </c>
      <c r="Q91" s="47"/>
      <c r="R91" s="47"/>
      <c r="S91" s="47">
        <v>456342890</v>
      </c>
      <c r="T91" s="47" t="s">
        <v>1575</v>
      </c>
      <c r="U91" s="47" t="s">
        <v>1335</v>
      </c>
      <c r="V91" s="47" t="s">
        <v>1418</v>
      </c>
      <c r="W91" s="47" t="s">
        <v>1331</v>
      </c>
      <c r="X91" s="47">
        <v>1153094</v>
      </c>
      <c r="Y91" s="47">
        <v>287</v>
      </c>
      <c r="Z91" s="47">
        <v>1</v>
      </c>
      <c r="AA91" s="47" t="s">
        <v>1332</v>
      </c>
      <c r="AB91" s="47">
        <v>144</v>
      </c>
      <c r="AC91" s="47" t="s">
        <v>1333</v>
      </c>
      <c r="AD91" s="47">
        <v>966.32</v>
      </c>
      <c r="AE91" s="47" t="s">
        <v>182</v>
      </c>
      <c r="AF91" s="49">
        <v>277333.84000000003</v>
      </c>
      <c r="AG91" s="47">
        <v>966.32</v>
      </c>
      <c r="AH91" s="47" t="s">
        <v>182</v>
      </c>
      <c r="AI91" s="47" t="s">
        <v>181</v>
      </c>
      <c r="AJ91" s="47" t="s">
        <v>97</v>
      </c>
      <c r="AK91" s="47"/>
      <c r="AL91" s="47" t="s">
        <v>69</v>
      </c>
      <c r="AM91" s="47" t="s">
        <v>94</v>
      </c>
      <c r="AN91" s="47" t="s">
        <v>95</v>
      </c>
      <c r="AO91" s="48">
        <v>42356</v>
      </c>
      <c r="AP91" s="47" t="s">
        <v>64</v>
      </c>
      <c r="AQ91" s="48">
        <v>42352</v>
      </c>
      <c r="AR91" s="47" t="s">
        <v>100</v>
      </c>
      <c r="AS91" s="47">
        <v>62050568</v>
      </c>
      <c r="AT91" s="48">
        <v>42368</v>
      </c>
      <c r="AU91" s="47">
        <v>87944972767372</v>
      </c>
      <c r="AV91" s="47" t="s">
        <v>96</v>
      </c>
      <c r="AW91" s="47" t="s">
        <v>1576</v>
      </c>
    </row>
    <row r="92" spans="1:49" x14ac:dyDescent="0.2">
      <c r="A92" s="47">
        <v>10020130</v>
      </c>
      <c r="B92" s="47">
        <v>80</v>
      </c>
      <c r="C92" s="47" t="s">
        <v>18</v>
      </c>
      <c r="D92" s="47" t="s">
        <v>573</v>
      </c>
      <c r="E92" s="48">
        <v>42352</v>
      </c>
      <c r="F92" s="47">
        <v>93626212</v>
      </c>
      <c r="G92" s="47">
        <v>80</v>
      </c>
      <c r="H92" s="48">
        <v>42349</v>
      </c>
      <c r="I92" s="47"/>
      <c r="J92" s="47">
        <v>1201120</v>
      </c>
      <c r="K92" s="47" t="s">
        <v>117</v>
      </c>
      <c r="L92" s="47">
        <v>1307782</v>
      </c>
      <c r="M92" s="47" t="s">
        <v>119</v>
      </c>
      <c r="N92" s="47">
        <v>1171090</v>
      </c>
      <c r="O92" s="47" t="s">
        <v>118</v>
      </c>
      <c r="P92" s="47" t="s">
        <v>1577</v>
      </c>
      <c r="Q92" s="47"/>
      <c r="R92" s="47"/>
      <c r="S92" s="47">
        <v>591381760</v>
      </c>
      <c r="T92" s="47" t="s">
        <v>1357</v>
      </c>
      <c r="U92" s="47" t="s">
        <v>1322</v>
      </c>
      <c r="V92" s="47" t="s">
        <v>1358</v>
      </c>
      <c r="W92" s="47" t="s">
        <v>1331</v>
      </c>
      <c r="X92" s="47"/>
      <c r="Y92" s="47">
        <v>7200</v>
      </c>
      <c r="Z92" s="47">
        <v>84</v>
      </c>
      <c r="AA92" s="47" t="s">
        <v>1332</v>
      </c>
      <c r="AB92" s="47">
        <v>12</v>
      </c>
      <c r="AC92" s="47" t="s">
        <v>1333</v>
      </c>
      <c r="AD92" s="47">
        <v>24</v>
      </c>
      <c r="AE92" s="47" t="s">
        <v>182</v>
      </c>
      <c r="AF92" s="49">
        <v>172800</v>
      </c>
      <c r="AG92" s="49">
        <v>2016</v>
      </c>
      <c r="AH92" s="47" t="s">
        <v>182</v>
      </c>
      <c r="AI92" s="47" t="s">
        <v>181</v>
      </c>
      <c r="AJ92" s="47" t="s">
        <v>91</v>
      </c>
      <c r="AK92" s="47"/>
      <c r="AL92" s="47" t="s">
        <v>63</v>
      </c>
      <c r="AM92" s="47" t="s">
        <v>70</v>
      </c>
      <c r="AN92" s="47" t="s">
        <v>76</v>
      </c>
      <c r="AO92" s="48">
        <v>42356</v>
      </c>
      <c r="AP92" s="47" t="s">
        <v>64</v>
      </c>
      <c r="AQ92" s="48">
        <v>42352</v>
      </c>
      <c r="AR92" s="47"/>
      <c r="AS92" s="47"/>
      <c r="AT92" s="47"/>
      <c r="AU92" s="47" t="s">
        <v>1578</v>
      </c>
      <c r="AV92" s="47" t="s">
        <v>77</v>
      </c>
      <c r="AW92" s="47" t="s">
        <v>1579</v>
      </c>
    </row>
    <row r="93" spans="1:49" x14ac:dyDescent="0.2">
      <c r="A93" s="47">
        <v>10020130</v>
      </c>
      <c r="B93" s="47">
        <v>90</v>
      </c>
      <c r="C93" s="47" t="s">
        <v>18</v>
      </c>
      <c r="D93" s="47" t="s">
        <v>573</v>
      </c>
      <c r="E93" s="48">
        <v>42352</v>
      </c>
      <c r="F93" s="47">
        <v>93626212</v>
      </c>
      <c r="G93" s="47">
        <v>90</v>
      </c>
      <c r="H93" s="48">
        <v>42349</v>
      </c>
      <c r="I93" s="47"/>
      <c r="J93" s="47">
        <v>1201120</v>
      </c>
      <c r="K93" s="47" t="s">
        <v>117</v>
      </c>
      <c r="L93" s="47">
        <v>1307782</v>
      </c>
      <c r="M93" s="47" t="s">
        <v>119</v>
      </c>
      <c r="N93" s="47">
        <v>1171090</v>
      </c>
      <c r="O93" s="47" t="s">
        <v>118</v>
      </c>
      <c r="P93" s="47" t="s">
        <v>1577</v>
      </c>
      <c r="Q93" s="47"/>
      <c r="R93" s="47"/>
      <c r="S93" s="47">
        <v>591381730</v>
      </c>
      <c r="T93" s="47" t="s">
        <v>1373</v>
      </c>
      <c r="U93" s="47" t="s">
        <v>1322</v>
      </c>
      <c r="V93" s="47" t="s">
        <v>1358</v>
      </c>
      <c r="W93" s="47" t="s">
        <v>1331</v>
      </c>
      <c r="X93" s="47"/>
      <c r="Y93" s="47">
        <v>13440</v>
      </c>
      <c r="Z93" s="47">
        <v>72</v>
      </c>
      <c r="AA93" s="47" t="s">
        <v>1332</v>
      </c>
      <c r="AB93" s="47">
        <v>24</v>
      </c>
      <c r="AC93" s="47" t="s">
        <v>1333</v>
      </c>
      <c r="AD93" s="47">
        <v>12</v>
      </c>
      <c r="AE93" s="47" t="s">
        <v>182</v>
      </c>
      <c r="AF93" s="49">
        <v>161280</v>
      </c>
      <c r="AG93" s="47">
        <v>864</v>
      </c>
      <c r="AH93" s="47" t="s">
        <v>182</v>
      </c>
      <c r="AI93" s="47" t="s">
        <v>181</v>
      </c>
      <c r="AJ93" s="47" t="s">
        <v>91</v>
      </c>
      <c r="AK93" s="47"/>
      <c r="AL93" s="47" t="s">
        <v>63</v>
      </c>
      <c r="AM93" s="47" t="s">
        <v>70</v>
      </c>
      <c r="AN93" s="47" t="s">
        <v>76</v>
      </c>
      <c r="AO93" s="48">
        <v>42356</v>
      </c>
      <c r="AP93" s="47" t="s">
        <v>64</v>
      </c>
      <c r="AQ93" s="48">
        <v>42352</v>
      </c>
      <c r="AR93" s="47"/>
      <c r="AS93" s="47"/>
      <c r="AT93" s="47"/>
      <c r="AU93" s="47" t="s">
        <v>1578</v>
      </c>
      <c r="AV93" s="47" t="s">
        <v>77</v>
      </c>
      <c r="AW93" s="47" t="s">
        <v>1579</v>
      </c>
    </row>
    <row r="94" spans="1:49" x14ac:dyDescent="0.2">
      <c r="A94" s="47">
        <v>10020130</v>
      </c>
      <c r="B94" s="47">
        <v>1460</v>
      </c>
      <c r="C94" s="47" t="s">
        <v>18</v>
      </c>
      <c r="D94" s="47" t="s">
        <v>573</v>
      </c>
      <c r="E94" s="48">
        <v>42352</v>
      </c>
      <c r="F94" s="47">
        <v>93626212</v>
      </c>
      <c r="G94" s="47">
        <v>1460</v>
      </c>
      <c r="H94" s="48">
        <v>42349</v>
      </c>
      <c r="I94" s="47"/>
      <c r="J94" s="47">
        <v>1201120</v>
      </c>
      <c r="K94" s="47" t="s">
        <v>117</v>
      </c>
      <c r="L94" s="47">
        <v>1307782</v>
      </c>
      <c r="M94" s="47" t="s">
        <v>119</v>
      </c>
      <c r="N94" s="47">
        <v>1171090</v>
      </c>
      <c r="O94" s="47" t="s">
        <v>118</v>
      </c>
      <c r="P94" s="47" t="s">
        <v>1577</v>
      </c>
      <c r="Q94" s="47"/>
      <c r="R94" s="47"/>
      <c r="S94" s="47">
        <v>591379860</v>
      </c>
      <c r="T94" s="47" t="s">
        <v>1580</v>
      </c>
      <c r="U94" s="47" t="s">
        <v>1322</v>
      </c>
      <c r="V94" s="47" t="s">
        <v>1581</v>
      </c>
      <c r="W94" s="47" t="s">
        <v>1331</v>
      </c>
      <c r="X94" s="47"/>
      <c r="Y94" s="47">
        <v>2304</v>
      </c>
      <c r="Z94" s="47">
        <v>48</v>
      </c>
      <c r="AA94" s="47" t="s">
        <v>1332</v>
      </c>
      <c r="AB94" s="47">
        <v>12</v>
      </c>
      <c r="AC94" s="47" t="s">
        <v>1333</v>
      </c>
      <c r="AD94" s="47">
        <v>9</v>
      </c>
      <c r="AE94" s="47" t="s">
        <v>182</v>
      </c>
      <c r="AF94" s="49">
        <v>20736</v>
      </c>
      <c r="AG94" s="47">
        <v>432</v>
      </c>
      <c r="AH94" s="47" t="s">
        <v>182</v>
      </c>
      <c r="AI94" s="47" t="s">
        <v>181</v>
      </c>
      <c r="AJ94" s="47" t="s">
        <v>91</v>
      </c>
      <c r="AK94" s="47"/>
      <c r="AL94" s="47" t="s">
        <v>63</v>
      </c>
      <c r="AM94" s="47" t="s">
        <v>70</v>
      </c>
      <c r="AN94" s="47" t="s">
        <v>76</v>
      </c>
      <c r="AO94" s="48">
        <v>42356</v>
      </c>
      <c r="AP94" s="47" t="s">
        <v>64</v>
      </c>
      <c r="AQ94" s="48">
        <v>42352</v>
      </c>
      <c r="AR94" s="47"/>
      <c r="AS94" s="47"/>
      <c r="AT94" s="47"/>
      <c r="AU94" s="47" t="s">
        <v>1578</v>
      </c>
      <c r="AV94" s="47" t="s">
        <v>77</v>
      </c>
      <c r="AW94" s="47" t="s">
        <v>1579</v>
      </c>
    </row>
    <row r="95" spans="1:49" x14ac:dyDescent="0.2">
      <c r="A95" s="47">
        <v>10020131</v>
      </c>
      <c r="B95" s="47">
        <v>2810</v>
      </c>
      <c r="C95" s="47" t="s">
        <v>26</v>
      </c>
      <c r="D95" s="47" t="s">
        <v>573</v>
      </c>
      <c r="E95" s="48">
        <v>42353</v>
      </c>
      <c r="F95" s="47">
        <v>93615697</v>
      </c>
      <c r="G95" s="47">
        <v>2810</v>
      </c>
      <c r="H95" s="48">
        <v>42341</v>
      </c>
      <c r="I95" s="47"/>
      <c r="J95" s="47">
        <v>1201047</v>
      </c>
      <c r="K95" s="47" t="s">
        <v>79</v>
      </c>
      <c r="L95" s="47">
        <v>1309880</v>
      </c>
      <c r="M95" s="47" t="s">
        <v>108</v>
      </c>
      <c r="N95" s="47">
        <v>1171089</v>
      </c>
      <c r="O95" s="47" t="s">
        <v>75</v>
      </c>
      <c r="P95" s="47">
        <v>18757871</v>
      </c>
      <c r="Q95" s="47"/>
      <c r="R95" s="47"/>
      <c r="S95" s="47">
        <v>62037072001</v>
      </c>
      <c r="T95" s="47" t="s">
        <v>1395</v>
      </c>
      <c r="U95" s="47" t="s">
        <v>1322</v>
      </c>
      <c r="V95" s="47" t="s">
        <v>1396</v>
      </c>
      <c r="W95" s="47" t="s">
        <v>1331</v>
      </c>
      <c r="X95" s="47" t="s">
        <v>1529</v>
      </c>
      <c r="Y95" s="47">
        <v>1392</v>
      </c>
      <c r="Z95" s="47">
        <v>696</v>
      </c>
      <c r="AA95" s="47" t="s">
        <v>1332</v>
      </c>
      <c r="AB95" s="47">
        <v>48</v>
      </c>
      <c r="AC95" s="47" t="s">
        <v>1333</v>
      </c>
      <c r="AD95" s="47">
        <v>50.19</v>
      </c>
      <c r="AE95" s="47" t="s">
        <v>182</v>
      </c>
      <c r="AF95" s="49">
        <v>69864.479999999996</v>
      </c>
      <c r="AG95" s="49">
        <v>34932.239999999998</v>
      </c>
      <c r="AH95" s="47" t="s">
        <v>182</v>
      </c>
      <c r="AI95" s="47" t="s">
        <v>181</v>
      </c>
      <c r="AJ95" s="47" t="s">
        <v>91</v>
      </c>
      <c r="AK95" s="47"/>
      <c r="AL95" s="47" t="s">
        <v>63</v>
      </c>
      <c r="AM95" s="47" t="s">
        <v>81</v>
      </c>
      <c r="AN95" s="47" t="s">
        <v>82</v>
      </c>
      <c r="AO95" s="48">
        <v>42374</v>
      </c>
      <c r="AP95" s="47"/>
      <c r="AQ95" s="47"/>
      <c r="AR95" s="47"/>
      <c r="AS95" s="47"/>
      <c r="AT95" s="47"/>
      <c r="AU95" s="47" t="s">
        <v>1582</v>
      </c>
      <c r="AV95" s="47" t="s">
        <v>84</v>
      </c>
      <c r="AW95" s="47" t="s">
        <v>1583</v>
      </c>
    </row>
    <row r="96" spans="1:49" x14ac:dyDescent="0.2">
      <c r="A96" s="47">
        <v>10020132</v>
      </c>
      <c r="B96" s="47">
        <v>40</v>
      </c>
      <c r="C96" s="47" t="s">
        <v>18</v>
      </c>
      <c r="D96" s="47" t="s">
        <v>573</v>
      </c>
      <c r="E96" s="48">
        <v>42353</v>
      </c>
      <c r="F96" s="47">
        <v>93626199</v>
      </c>
      <c r="G96" s="47">
        <v>40</v>
      </c>
      <c r="H96" s="48">
        <v>42349</v>
      </c>
      <c r="I96" s="47"/>
      <c r="J96" s="47">
        <v>1201120</v>
      </c>
      <c r="K96" s="47" t="s">
        <v>117</v>
      </c>
      <c r="L96" s="47">
        <v>1307782</v>
      </c>
      <c r="M96" s="47" t="s">
        <v>119</v>
      </c>
      <c r="N96" s="47">
        <v>1171090</v>
      </c>
      <c r="O96" s="47" t="s">
        <v>118</v>
      </c>
      <c r="P96" s="47" t="s">
        <v>1584</v>
      </c>
      <c r="Q96" s="47"/>
      <c r="R96" s="47"/>
      <c r="S96" s="47">
        <v>58914060120</v>
      </c>
      <c r="T96" s="47" t="s">
        <v>1585</v>
      </c>
      <c r="U96" s="47" t="s">
        <v>1381</v>
      </c>
      <c r="V96" s="47" t="s">
        <v>1586</v>
      </c>
      <c r="W96" s="47" t="s">
        <v>1331</v>
      </c>
      <c r="X96" s="47" t="s">
        <v>1587</v>
      </c>
      <c r="Y96" s="47">
        <v>266</v>
      </c>
      <c r="Z96" s="47">
        <v>3</v>
      </c>
      <c r="AA96" s="47" t="s">
        <v>1332</v>
      </c>
      <c r="AB96" s="47">
        <v>12</v>
      </c>
      <c r="AC96" s="47" t="s">
        <v>1333</v>
      </c>
      <c r="AD96" s="47">
        <v>669.73</v>
      </c>
      <c r="AE96" s="47" t="s">
        <v>182</v>
      </c>
      <c r="AF96" s="49">
        <v>178148.18</v>
      </c>
      <c r="AG96" s="49">
        <v>2009.19</v>
      </c>
      <c r="AH96" s="47" t="s">
        <v>182</v>
      </c>
      <c r="AI96" s="47" t="s">
        <v>181</v>
      </c>
      <c r="AJ96" s="47" t="s">
        <v>97</v>
      </c>
      <c r="AK96" s="47"/>
      <c r="AL96" s="47" t="s">
        <v>63</v>
      </c>
      <c r="AM96" s="47" t="s">
        <v>70</v>
      </c>
      <c r="AN96" s="47" t="s">
        <v>76</v>
      </c>
      <c r="AO96" s="48">
        <v>42356</v>
      </c>
      <c r="AP96" s="47" t="s">
        <v>64</v>
      </c>
      <c r="AQ96" s="48">
        <v>42353</v>
      </c>
      <c r="AR96" s="47"/>
      <c r="AS96" s="47"/>
      <c r="AT96" s="47"/>
      <c r="AU96" s="47">
        <v>87944972785420</v>
      </c>
      <c r="AV96" s="47" t="s">
        <v>77</v>
      </c>
      <c r="AW96" s="47" t="s">
        <v>127</v>
      </c>
    </row>
    <row r="97" spans="1:49" x14ac:dyDescent="0.2">
      <c r="A97" s="47">
        <v>10020133</v>
      </c>
      <c r="B97" s="47">
        <v>110</v>
      </c>
      <c r="C97" s="47" t="s">
        <v>26</v>
      </c>
      <c r="D97" s="47" t="s">
        <v>78</v>
      </c>
      <c r="E97" s="48">
        <v>42353</v>
      </c>
      <c r="F97" s="47">
        <v>93604260</v>
      </c>
      <c r="G97" s="47">
        <v>110</v>
      </c>
      <c r="H97" s="48">
        <v>42331</v>
      </c>
      <c r="I97" s="48">
        <v>42333</v>
      </c>
      <c r="J97" s="47">
        <v>1201301</v>
      </c>
      <c r="K97" s="47" t="s">
        <v>378</v>
      </c>
      <c r="L97" s="47">
        <v>1058866</v>
      </c>
      <c r="M97" s="47" t="s">
        <v>379</v>
      </c>
      <c r="N97" s="47">
        <v>1171972</v>
      </c>
      <c r="O97" s="47" t="s">
        <v>379</v>
      </c>
      <c r="P97" s="47">
        <v>12958143</v>
      </c>
      <c r="Q97" s="47"/>
      <c r="R97" s="47"/>
      <c r="S97" s="47">
        <v>472125594</v>
      </c>
      <c r="T97" s="47" t="s">
        <v>1509</v>
      </c>
      <c r="U97" s="47" t="s">
        <v>1459</v>
      </c>
      <c r="V97" s="47" t="s">
        <v>1510</v>
      </c>
      <c r="W97" s="47" t="s">
        <v>1459</v>
      </c>
      <c r="X97" s="47" t="s">
        <v>1588</v>
      </c>
      <c r="Y97" s="47">
        <v>240</v>
      </c>
      <c r="Z97" s="47">
        <v>48</v>
      </c>
      <c r="AA97" s="47" t="s">
        <v>1332</v>
      </c>
      <c r="AB97" s="47">
        <v>48</v>
      </c>
      <c r="AC97" s="47" t="s">
        <v>1333</v>
      </c>
      <c r="AD97" s="47">
        <v>2.81</v>
      </c>
      <c r="AE97" s="47" t="s">
        <v>182</v>
      </c>
      <c r="AF97" s="47">
        <v>674.4</v>
      </c>
      <c r="AG97" s="47">
        <v>134.88</v>
      </c>
      <c r="AH97" s="47" t="s">
        <v>182</v>
      </c>
      <c r="AI97" s="47" t="s">
        <v>181</v>
      </c>
      <c r="AJ97" s="47" t="s">
        <v>67</v>
      </c>
      <c r="AK97" s="47"/>
      <c r="AL97" s="47" t="s">
        <v>63</v>
      </c>
      <c r="AM97" s="47" t="s">
        <v>94</v>
      </c>
      <c r="AN97" s="47" t="s">
        <v>95</v>
      </c>
      <c r="AO97" s="48">
        <v>42356</v>
      </c>
      <c r="AP97" s="47" t="s">
        <v>64</v>
      </c>
      <c r="AQ97" s="48">
        <v>42353</v>
      </c>
      <c r="AR97" s="47"/>
      <c r="AS97" s="47"/>
      <c r="AT97" s="47"/>
      <c r="AU97" s="47">
        <v>3511809280</v>
      </c>
      <c r="AV97" s="47" t="s">
        <v>96</v>
      </c>
      <c r="AW97" s="47" t="s">
        <v>1589</v>
      </c>
    </row>
    <row r="98" spans="1:49" x14ac:dyDescent="0.2">
      <c r="A98" s="47">
        <v>10020134</v>
      </c>
      <c r="B98" s="47">
        <v>10</v>
      </c>
      <c r="C98" s="47" t="s">
        <v>18</v>
      </c>
      <c r="D98" s="47" t="s">
        <v>78</v>
      </c>
      <c r="E98" s="48">
        <v>42353</v>
      </c>
      <c r="F98" s="47">
        <v>93550891</v>
      </c>
      <c r="G98" s="47">
        <v>10</v>
      </c>
      <c r="H98" s="48">
        <v>42285</v>
      </c>
      <c r="I98" s="47"/>
      <c r="J98" s="47">
        <v>1057544</v>
      </c>
      <c r="K98" s="47" t="s">
        <v>363</v>
      </c>
      <c r="L98" s="47">
        <v>1327308</v>
      </c>
      <c r="M98" s="47" t="s">
        <v>363</v>
      </c>
      <c r="N98" s="47">
        <v>1057544</v>
      </c>
      <c r="O98" s="47" t="s">
        <v>363</v>
      </c>
      <c r="P98" s="47">
        <v>8120422</v>
      </c>
      <c r="Q98" s="47"/>
      <c r="R98" s="47"/>
      <c r="S98" s="47">
        <v>591376830</v>
      </c>
      <c r="T98" s="47" t="s">
        <v>1590</v>
      </c>
      <c r="U98" s="47" t="s">
        <v>1322</v>
      </c>
      <c r="V98" s="47" t="s">
        <v>1591</v>
      </c>
      <c r="W98" s="47" t="s">
        <v>1331</v>
      </c>
      <c r="X98" s="47" t="s">
        <v>1592</v>
      </c>
      <c r="Y98" s="47">
        <v>288</v>
      </c>
      <c r="Z98" s="47">
        <v>48</v>
      </c>
      <c r="AA98" s="47" t="s">
        <v>1332</v>
      </c>
      <c r="AB98" s="47">
        <v>48</v>
      </c>
      <c r="AC98" s="47" t="s">
        <v>1333</v>
      </c>
      <c r="AD98" s="47">
        <v>265.89999999999998</v>
      </c>
      <c r="AE98" s="47" t="s">
        <v>182</v>
      </c>
      <c r="AF98" s="49">
        <v>76579.199999999997</v>
      </c>
      <c r="AG98" s="49">
        <v>12763.2</v>
      </c>
      <c r="AH98" s="47" t="s">
        <v>182</v>
      </c>
      <c r="AI98" s="47" t="s">
        <v>181</v>
      </c>
      <c r="AJ98" s="47" t="s">
        <v>102</v>
      </c>
      <c r="AK98" s="47"/>
      <c r="AL98" s="47" t="s">
        <v>63</v>
      </c>
      <c r="AM98" s="47" t="s">
        <v>70</v>
      </c>
      <c r="AN98" s="47" t="s">
        <v>76</v>
      </c>
      <c r="AO98" s="48">
        <v>42356</v>
      </c>
      <c r="AP98" s="47" t="s">
        <v>64</v>
      </c>
      <c r="AQ98" s="48">
        <v>42353</v>
      </c>
      <c r="AR98" s="47"/>
      <c r="AS98" s="47"/>
      <c r="AT98" s="47"/>
      <c r="AU98" s="47">
        <v>649275064848</v>
      </c>
      <c r="AV98" s="47" t="s">
        <v>77</v>
      </c>
      <c r="AW98" s="47" t="s">
        <v>1593</v>
      </c>
    </row>
    <row r="99" spans="1:49" x14ac:dyDescent="0.2">
      <c r="A99" s="47">
        <v>10020134</v>
      </c>
      <c r="B99" s="47">
        <v>20</v>
      </c>
      <c r="C99" s="47" t="s">
        <v>18</v>
      </c>
      <c r="D99" s="47" t="s">
        <v>78</v>
      </c>
      <c r="E99" s="48">
        <v>42353</v>
      </c>
      <c r="F99" s="47">
        <v>93550891</v>
      </c>
      <c r="G99" s="47">
        <v>20</v>
      </c>
      <c r="H99" s="48">
        <v>42285</v>
      </c>
      <c r="I99" s="47"/>
      <c r="J99" s="47">
        <v>1057544</v>
      </c>
      <c r="K99" s="47" t="s">
        <v>363</v>
      </c>
      <c r="L99" s="47">
        <v>1327308</v>
      </c>
      <c r="M99" s="47" t="s">
        <v>363</v>
      </c>
      <c r="N99" s="47">
        <v>1057544</v>
      </c>
      <c r="O99" s="47" t="s">
        <v>363</v>
      </c>
      <c r="P99" s="47">
        <v>8120422</v>
      </c>
      <c r="Q99" s="47"/>
      <c r="R99" s="47"/>
      <c r="S99" s="47">
        <v>591376730</v>
      </c>
      <c r="T99" s="47" t="s">
        <v>1594</v>
      </c>
      <c r="U99" s="47" t="s">
        <v>1322</v>
      </c>
      <c r="V99" s="47" t="s">
        <v>1591</v>
      </c>
      <c r="W99" s="47" t="s">
        <v>1331</v>
      </c>
      <c r="X99" s="47" t="s">
        <v>1595</v>
      </c>
      <c r="Y99" s="47">
        <v>288</v>
      </c>
      <c r="Z99" s="47">
        <v>24</v>
      </c>
      <c r="AA99" s="47" t="s">
        <v>1332</v>
      </c>
      <c r="AB99" s="47">
        <v>24</v>
      </c>
      <c r="AC99" s="47" t="s">
        <v>1333</v>
      </c>
      <c r="AD99" s="47">
        <v>225.94</v>
      </c>
      <c r="AE99" s="47" t="s">
        <v>182</v>
      </c>
      <c r="AF99" s="49">
        <v>65070.720000000001</v>
      </c>
      <c r="AG99" s="49">
        <v>5422.56</v>
      </c>
      <c r="AH99" s="47" t="s">
        <v>182</v>
      </c>
      <c r="AI99" s="47" t="s">
        <v>181</v>
      </c>
      <c r="AJ99" s="47" t="s">
        <v>102</v>
      </c>
      <c r="AK99" s="47"/>
      <c r="AL99" s="47" t="s">
        <v>63</v>
      </c>
      <c r="AM99" s="47" t="s">
        <v>70</v>
      </c>
      <c r="AN99" s="47" t="s">
        <v>76</v>
      </c>
      <c r="AO99" s="48">
        <v>42356</v>
      </c>
      <c r="AP99" s="47" t="s">
        <v>64</v>
      </c>
      <c r="AQ99" s="48">
        <v>42353</v>
      </c>
      <c r="AR99" s="47"/>
      <c r="AS99" s="47"/>
      <c r="AT99" s="47"/>
      <c r="AU99" s="47">
        <v>649275064848</v>
      </c>
      <c r="AV99" s="47" t="s">
        <v>77</v>
      </c>
      <c r="AW99" s="47" t="s">
        <v>1593</v>
      </c>
    </row>
    <row r="100" spans="1:49" x14ac:dyDescent="0.2">
      <c r="A100" s="47">
        <v>10020135</v>
      </c>
      <c r="B100" s="47">
        <v>20</v>
      </c>
      <c r="C100" s="47" t="s">
        <v>26</v>
      </c>
      <c r="D100" s="47" t="s">
        <v>78</v>
      </c>
      <c r="E100" s="48">
        <v>42353</v>
      </c>
      <c r="F100" s="47">
        <v>93550891</v>
      </c>
      <c r="G100" s="47">
        <v>20</v>
      </c>
      <c r="H100" s="48">
        <v>42285</v>
      </c>
      <c r="I100" s="47"/>
      <c r="J100" s="47">
        <v>1057544</v>
      </c>
      <c r="K100" s="47" t="s">
        <v>363</v>
      </c>
      <c r="L100" s="47">
        <v>1327308</v>
      </c>
      <c r="M100" s="47" t="s">
        <v>363</v>
      </c>
      <c r="N100" s="47">
        <v>1057544</v>
      </c>
      <c r="O100" s="47" t="s">
        <v>363</v>
      </c>
      <c r="P100" s="47">
        <v>8120422</v>
      </c>
      <c r="Q100" s="47"/>
      <c r="R100" s="47"/>
      <c r="S100" s="47">
        <v>591376730</v>
      </c>
      <c r="T100" s="47" t="s">
        <v>1594</v>
      </c>
      <c r="U100" s="47" t="s">
        <v>1322</v>
      </c>
      <c r="V100" s="47" t="s">
        <v>1591</v>
      </c>
      <c r="W100" s="47" t="s">
        <v>1331</v>
      </c>
      <c r="X100" s="47" t="s">
        <v>1595</v>
      </c>
      <c r="Y100" s="47">
        <v>288</v>
      </c>
      <c r="Z100" s="47">
        <v>24</v>
      </c>
      <c r="AA100" s="47" t="s">
        <v>1332</v>
      </c>
      <c r="AB100" s="47">
        <v>24</v>
      </c>
      <c r="AC100" s="47" t="s">
        <v>1333</v>
      </c>
      <c r="AD100" s="47">
        <v>225.94</v>
      </c>
      <c r="AE100" s="47" t="s">
        <v>182</v>
      </c>
      <c r="AF100" s="49">
        <v>65070.720000000001</v>
      </c>
      <c r="AG100" s="49">
        <v>5422.56</v>
      </c>
      <c r="AH100" s="47" t="s">
        <v>182</v>
      </c>
      <c r="AI100" s="47" t="s">
        <v>181</v>
      </c>
      <c r="AJ100" s="47" t="s">
        <v>102</v>
      </c>
      <c r="AK100" s="47"/>
      <c r="AL100" s="47" t="s">
        <v>63</v>
      </c>
      <c r="AM100" s="47" t="s">
        <v>105</v>
      </c>
      <c r="AN100" s="47" t="s">
        <v>82</v>
      </c>
      <c r="AO100" s="48">
        <v>42359</v>
      </c>
      <c r="AP100" s="47" t="s">
        <v>64</v>
      </c>
      <c r="AQ100" s="48">
        <v>42353</v>
      </c>
      <c r="AR100" s="47"/>
      <c r="AS100" s="47"/>
      <c r="AT100" s="47"/>
      <c r="AU100" s="47">
        <v>649275064848</v>
      </c>
      <c r="AV100" s="47" t="s">
        <v>89</v>
      </c>
      <c r="AW100" s="47" t="s">
        <v>1596</v>
      </c>
    </row>
    <row r="101" spans="1:49" x14ac:dyDescent="0.2">
      <c r="A101" s="47">
        <v>10020136</v>
      </c>
      <c r="B101" s="47">
        <v>1740</v>
      </c>
      <c r="C101" s="47" t="s">
        <v>26</v>
      </c>
      <c r="D101" s="47" t="s">
        <v>78</v>
      </c>
      <c r="E101" s="48">
        <v>42353</v>
      </c>
      <c r="F101" s="47">
        <v>93622481</v>
      </c>
      <c r="G101" s="47">
        <v>1740</v>
      </c>
      <c r="H101" s="48">
        <v>42347</v>
      </c>
      <c r="I101" s="47"/>
      <c r="J101" s="47">
        <v>1201047</v>
      </c>
      <c r="K101" s="47" t="s">
        <v>79</v>
      </c>
      <c r="L101" s="47">
        <v>1311671</v>
      </c>
      <c r="M101" s="47" t="s">
        <v>90</v>
      </c>
      <c r="N101" s="47">
        <v>1171089</v>
      </c>
      <c r="O101" s="47" t="s">
        <v>75</v>
      </c>
      <c r="P101" s="47">
        <v>21468789</v>
      </c>
      <c r="Q101" s="47"/>
      <c r="R101" s="47"/>
      <c r="S101" s="47">
        <v>591578201</v>
      </c>
      <c r="T101" s="47" t="s">
        <v>1353</v>
      </c>
      <c r="U101" s="47" t="s">
        <v>1322</v>
      </c>
      <c r="V101" s="47" t="s">
        <v>1354</v>
      </c>
      <c r="W101" s="47" t="s">
        <v>1331</v>
      </c>
      <c r="X101" s="47" t="s">
        <v>1355</v>
      </c>
      <c r="Y101" s="47">
        <v>240</v>
      </c>
      <c r="Z101" s="47">
        <v>48</v>
      </c>
      <c r="AA101" s="47" t="s">
        <v>1332</v>
      </c>
      <c r="AB101" s="47">
        <v>48</v>
      </c>
      <c r="AC101" s="47" t="s">
        <v>1333</v>
      </c>
      <c r="AD101" s="47">
        <v>44.72</v>
      </c>
      <c r="AE101" s="47" t="s">
        <v>182</v>
      </c>
      <c r="AF101" s="49">
        <v>10732.8</v>
      </c>
      <c r="AG101" s="49">
        <v>2146.56</v>
      </c>
      <c r="AH101" s="47" t="s">
        <v>182</v>
      </c>
      <c r="AI101" s="47" t="s">
        <v>181</v>
      </c>
      <c r="AJ101" s="47" t="s">
        <v>86</v>
      </c>
      <c r="AK101" s="47"/>
      <c r="AL101" s="47" t="s">
        <v>63</v>
      </c>
      <c r="AM101" s="47" t="s">
        <v>81</v>
      </c>
      <c r="AN101" s="47" t="s">
        <v>88</v>
      </c>
      <c r="AO101" s="48">
        <v>42359</v>
      </c>
      <c r="AP101" s="47" t="s">
        <v>64</v>
      </c>
      <c r="AQ101" s="48">
        <v>42353</v>
      </c>
      <c r="AR101" s="47"/>
      <c r="AS101" s="47"/>
      <c r="AT101" s="47"/>
      <c r="AU101" s="47" t="s">
        <v>1597</v>
      </c>
      <c r="AV101" s="47" t="s">
        <v>89</v>
      </c>
      <c r="AW101" s="47" t="s">
        <v>274</v>
      </c>
    </row>
    <row r="102" spans="1:49" x14ac:dyDescent="0.2">
      <c r="A102" s="47">
        <v>10020137</v>
      </c>
      <c r="B102" s="47">
        <v>3460</v>
      </c>
      <c r="C102" s="47" t="s">
        <v>26</v>
      </c>
      <c r="D102" s="47" t="s">
        <v>78</v>
      </c>
      <c r="E102" s="48">
        <v>42353</v>
      </c>
      <c r="F102" s="47">
        <v>93622465</v>
      </c>
      <c r="G102" s="47">
        <v>3460</v>
      </c>
      <c r="H102" s="48">
        <v>42347</v>
      </c>
      <c r="I102" s="47"/>
      <c r="J102" s="47">
        <v>1201047</v>
      </c>
      <c r="K102" s="47" t="s">
        <v>79</v>
      </c>
      <c r="L102" s="47">
        <v>1311671</v>
      </c>
      <c r="M102" s="47" t="s">
        <v>90</v>
      </c>
      <c r="N102" s="47">
        <v>1171089</v>
      </c>
      <c r="O102" s="47" t="s">
        <v>75</v>
      </c>
      <c r="P102" s="47">
        <v>21468789</v>
      </c>
      <c r="Q102" s="47"/>
      <c r="R102" s="47"/>
      <c r="S102" s="47">
        <v>45963014190</v>
      </c>
      <c r="T102" s="47" t="s">
        <v>1598</v>
      </c>
      <c r="U102" s="47" t="s">
        <v>1322</v>
      </c>
      <c r="V102" s="47" t="s">
        <v>1599</v>
      </c>
      <c r="W102" s="47" t="s">
        <v>1331</v>
      </c>
      <c r="X102" s="47"/>
      <c r="Y102" s="47">
        <v>2520</v>
      </c>
      <c r="Z102" s="47">
        <v>984</v>
      </c>
      <c r="AA102" s="47" t="s">
        <v>1332</v>
      </c>
      <c r="AB102" s="47">
        <v>12</v>
      </c>
      <c r="AC102" s="47" t="s">
        <v>1333</v>
      </c>
      <c r="AD102" s="47">
        <v>117.45</v>
      </c>
      <c r="AE102" s="47" t="s">
        <v>182</v>
      </c>
      <c r="AF102" s="49">
        <v>295974</v>
      </c>
      <c r="AG102" s="49">
        <v>115570.8</v>
      </c>
      <c r="AH102" s="47" t="s">
        <v>182</v>
      </c>
      <c r="AI102" s="47" t="s">
        <v>181</v>
      </c>
      <c r="AJ102" s="47" t="s">
        <v>86</v>
      </c>
      <c r="AK102" s="47"/>
      <c r="AL102" s="47" t="s">
        <v>63</v>
      </c>
      <c r="AM102" s="47" t="s">
        <v>94</v>
      </c>
      <c r="AN102" s="47" t="s">
        <v>71</v>
      </c>
      <c r="AO102" s="48">
        <v>42359</v>
      </c>
      <c r="AP102" s="47" t="s">
        <v>83</v>
      </c>
      <c r="AQ102" s="48">
        <v>42366</v>
      </c>
      <c r="AR102" s="47"/>
      <c r="AS102" s="47"/>
      <c r="AT102" s="47"/>
      <c r="AU102" s="47" t="s">
        <v>1597</v>
      </c>
      <c r="AV102" s="47" t="s">
        <v>96</v>
      </c>
      <c r="AW102" s="47" t="s">
        <v>1600</v>
      </c>
    </row>
    <row r="103" spans="1:49" x14ac:dyDescent="0.2">
      <c r="A103" s="47">
        <v>10020138</v>
      </c>
      <c r="B103" s="47">
        <v>3270</v>
      </c>
      <c r="C103" s="47" t="s">
        <v>26</v>
      </c>
      <c r="D103" s="47" t="s">
        <v>78</v>
      </c>
      <c r="E103" s="48">
        <v>42353</v>
      </c>
      <c r="F103" s="47">
        <v>93622482</v>
      </c>
      <c r="G103" s="47">
        <v>3270</v>
      </c>
      <c r="H103" s="48">
        <v>42347</v>
      </c>
      <c r="I103" s="47"/>
      <c r="J103" s="47">
        <v>1201047</v>
      </c>
      <c r="K103" s="47" t="s">
        <v>79</v>
      </c>
      <c r="L103" s="47">
        <v>1311671</v>
      </c>
      <c r="M103" s="47" t="s">
        <v>90</v>
      </c>
      <c r="N103" s="47">
        <v>1171089</v>
      </c>
      <c r="O103" s="47" t="s">
        <v>75</v>
      </c>
      <c r="P103" s="47">
        <v>21468789</v>
      </c>
      <c r="Q103" s="47"/>
      <c r="R103" s="47"/>
      <c r="S103" s="47">
        <v>472080415</v>
      </c>
      <c r="T103" s="47" t="s">
        <v>1601</v>
      </c>
      <c r="U103" s="47" t="s">
        <v>1322</v>
      </c>
      <c r="V103" s="47" t="s">
        <v>1602</v>
      </c>
      <c r="W103" s="47" t="s">
        <v>1331</v>
      </c>
      <c r="X103" s="47"/>
      <c r="Y103" s="47">
        <v>360</v>
      </c>
      <c r="Z103" s="47">
        <v>2</v>
      </c>
      <c r="AA103" s="47" t="s">
        <v>1332</v>
      </c>
      <c r="AB103" s="47">
        <v>12</v>
      </c>
      <c r="AC103" s="47" t="s">
        <v>1333</v>
      </c>
      <c r="AD103" s="47">
        <v>64.23</v>
      </c>
      <c r="AE103" s="47" t="s">
        <v>182</v>
      </c>
      <c r="AF103" s="49">
        <v>23122.799999999999</v>
      </c>
      <c r="AG103" s="47">
        <v>128.46</v>
      </c>
      <c r="AH103" s="47" t="s">
        <v>182</v>
      </c>
      <c r="AI103" s="47" t="s">
        <v>181</v>
      </c>
      <c r="AJ103" s="47" t="s">
        <v>86</v>
      </c>
      <c r="AK103" s="47"/>
      <c r="AL103" s="47" t="s">
        <v>63</v>
      </c>
      <c r="AM103" s="47" t="s">
        <v>81</v>
      </c>
      <c r="AN103" s="47" t="s">
        <v>88</v>
      </c>
      <c r="AO103" s="48">
        <v>42359</v>
      </c>
      <c r="AP103" s="47" t="s">
        <v>64</v>
      </c>
      <c r="AQ103" s="48">
        <v>42353</v>
      </c>
      <c r="AR103" s="47"/>
      <c r="AS103" s="47"/>
      <c r="AT103" s="47"/>
      <c r="AU103" s="47" t="s">
        <v>1597</v>
      </c>
      <c r="AV103" s="47" t="s">
        <v>89</v>
      </c>
      <c r="AW103" s="47" t="s">
        <v>274</v>
      </c>
    </row>
    <row r="104" spans="1:49" x14ac:dyDescent="0.2">
      <c r="A104" s="47">
        <v>10020139</v>
      </c>
      <c r="B104" s="47">
        <v>730</v>
      </c>
      <c r="C104" s="47" t="s">
        <v>26</v>
      </c>
      <c r="D104" s="47" t="s">
        <v>573</v>
      </c>
      <c r="E104" s="48">
        <v>42353</v>
      </c>
      <c r="F104" s="47">
        <v>93581588</v>
      </c>
      <c r="G104" s="47">
        <v>730</v>
      </c>
      <c r="H104" s="48">
        <v>42311</v>
      </c>
      <c r="I104" s="48">
        <v>42313</v>
      </c>
      <c r="J104" s="47">
        <v>1201605</v>
      </c>
      <c r="K104" s="47" t="s">
        <v>155</v>
      </c>
      <c r="L104" s="47">
        <v>1023292</v>
      </c>
      <c r="M104" s="47" t="s">
        <v>155</v>
      </c>
      <c r="N104" s="47">
        <v>1172017</v>
      </c>
      <c r="O104" s="47" t="s">
        <v>155</v>
      </c>
      <c r="P104" s="47">
        <v>544154</v>
      </c>
      <c r="Q104" s="47"/>
      <c r="R104" s="47"/>
      <c r="S104" s="47">
        <v>591346853</v>
      </c>
      <c r="T104" s="47" t="s">
        <v>1603</v>
      </c>
      <c r="U104" s="47" t="s">
        <v>1322</v>
      </c>
      <c r="V104" s="47" t="s">
        <v>1569</v>
      </c>
      <c r="W104" s="47" t="s">
        <v>1331</v>
      </c>
      <c r="X104" s="47" t="s">
        <v>1604</v>
      </c>
      <c r="Y104" s="47">
        <v>25</v>
      </c>
      <c r="Z104" s="47">
        <v>1</v>
      </c>
      <c r="AA104" s="47" t="s">
        <v>1369</v>
      </c>
      <c r="AB104" s="47">
        <v>25</v>
      </c>
      <c r="AC104" s="47" t="s">
        <v>1370</v>
      </c>
      <c r="AD104" s="47">
        <v>33.200000000000003</v>
      </c>
      <c r="AE104" s="47" t="s">
        <v>182</v>
      </c>
      <c r="AF104" s="47">
        <v>830</v>
      </c>
      <c r="AG104" s="47">
        <v>830</v>
      </c>
      <c r="AH104" s="47" t="s">
        <v>182</v>
      </c>
      <c r="AI104" s="47" t="s">
        <v>181</v>
      </c>
      <c r="AJ104" s="47" t="s">
        <v>67</v>
      </c>
      <c r="AK104" s="47"/>
      <c r="AL104" s="47" t="s">
        <v>63</v>
      </c>
      <c r="AM104" s="47" t="s">
        <v>94</v>
      </c>
      <c r="AN104" s="47" t="s">
        <v>71</v>
      </c>
      <c r="AO104" s="48">
        <v>42359</v>
      </c>
      <c r="AP104" s="47" t="s">
        <v>64</v>
      </c>
      <c r="AQ104" s="48">
        <v>42353</v>
      </c>
      <c r="AR104" s="47"/>
      <c r="AS104" s="47"/>
      <c r="AT104" s="47"/>
      <c r="AU104" s="47">
        <v>3527003491</v>
      </c>
      <c r="AV104" s="47" t="s">
        <v>96</v>
      </c>
      <c r="AW104" s="47" t="s">
        <v>1119</v>
      </c>
    </row>
    <row r="105" spans="1:49" x14ac:dyDescent="0.2">
      <c r="A105" s="47">
        <v>10020140</v>
      </c>
      <c r="B105" s="47">
        <v>300</v>
      </c>
      <c r="C105" s="47" t="s">
        <v>26</v>
      </c>
      <c r="D105" s="47" t="s">
        <v>78</v>
      </c>
      <c r="E105" s="48">
        <v>42353</v>
      </c>
      <c r="F105" s="47">
        <v>93617730</v>
      </c>
      <c r="G105" s="47">
        <v>300</v>
      </c>
      <c r="H105" s="48">
        <v>42342</v>
      </c>
      <c r="I105" s="47"/>
      <c r="J105" s="47">
        <v>1201232</v>
      </c>
      <c r="K105" s="47" t="s">
        <v>772</v>
      </c>
      <c r="L105" s="47">
        <v>1201232</v>
      </c>
      <c r="M105" s="47" t="s">
        <v>772</v>
      </c>
      <c r="N105" s="47">
        <v>1201232</v>
      </c>
      <c r="O105" s="47" t="s">
        <v>772</v>
      </c>
      <c r="P105" s="47">
        <v>28137</v>
      </c>
      <c r="Q105" s="47"/>
      <c r="R105" s="47"/>
      <c r="S105" s="47">
        <v>228285011</v>
      </c>
      <c r="T105" s="47" t="s">
        <v>1605</v>
      </c>
      <c r="U105" s="47" t="s">
        <v>1322</v>
      </c>
      <c r="V105" s="47" t="s">
        <v>1606</v>
      </c>
      <c r="W105" s="47" t="s">
        <v>1331</v>
      </c>
      <c r="X105" s="47" t="s">
        <v>1607</v>
      </c>
      <c r="Y105" s="47">
        <v>12</v>
      </c>
      <c r="Z105" s="47">
        <v>2</v>
      </c>
      <c r="AA105" s="47" t="s">
        <v>1332</v>
      </c>
      <c r="AB105" s="47">
        <v>24</v>
      </c>
      <c r="AC105" s="47" t="s">
        <v>1333</v>
      </c>
      <c r="AD105" s="47">
        <v>73.44</v>
      </c>
      <c r="AE105" s="47" t="s">
        <v>182</v>
      </c>
      <c r="AF105" s="47">
        <v>881.28</v>
      </c>
      <c r="AG105" s="47">
        <v>146.88</v>
      </c>
      <c r="AH105" s="47" t="s">
        <v>182</v>
      </c>
      <c r="AI105" s="47" t="s">
        <v>181</v>
      </c>
      <c r="AJ105" s="47" t="s">
        <v>91</v>
      </c>
      <c r="AK105" s="47"/>
      <c r="AL105" s="47" t="s">
        <v>63</v>
      </c>
      <c r="AM105" s="47" t="s">
        <v>94</v>
      </c>
      <c r="AN105" s="47" t="s">
        <v>82</v>
      </c>
      <c r="AO105" s="48">
        <v>42356</v>
      </c>
      <c r="AP105" s="47" t="s">
        <v>64</v>
      </c>
      <c r="AQ105" s="48">
        <v>42353</v>
      </c>
      <c r="AR105" s="47"/>
      <c r="AS105" s="47"/>
      <c r="AT105" s="47"/>
      <c r="AU105" s="47" t="s">
        <v>1608</v>
      </c>
      <c r="AV105" s="47" t="s">
        <v>96</v>
      </c>
      <c r="AW105" s="47" t="s">
        <v>1609</v>
      </c>
    </row>
    <row r="106" spans="1:49" x14ac:dyDescent="0.2">
      <c r="A106" s="47">
        <v>10020140</v>
      </c>
      <c r="B106" s="47">
        <v>480</v>
      </c>
      <c r="C106" s="47" t="s">
        <v>26</v>
      </c>
      <c r="D106" s="47" t="s">
        <v>78</v>
      </c>
      <c r="E106" s="48">
        <v>42353</v>
      </c>
      <c r="F106" s="47">
        <v>93617730</v>
      </c>
      <c r="G106" s="47">
        <v>480</v>
      </c>
      <c r="H106" s="48">
        <v>42342</v>
      </c>
      <c r="I106" s="47"/>
      <c r="J106" s="47">
        <v>1201232</v>
      </c>
      <c r="K106" s="47" t="s">
        <v>772</v>
      </c>
      <c r="L106" s="47">
        <v>1201232</v>
      </c>
      <c r="M106" s="47" t="s">
        <v>772</v>
      </c>
      <c r="N106" s="47">
        <v>1201232</v>
      </c>
      <c r="O106" s="47" t="s">
        <v>772</v>
      </c>
      <c r="P106" s="47">
        <v>28137</v>
      </c>
      <c r="Q106" s="47"/>
      <c r="R106" s="47"/>
      <c r="S106" s="47">
        <v>62037056005</v>
      </c>
      <c r="T106" s="47" t="s">
        <v>1610</v>
      </c>
      <c r="U106" s="47" t="s">
        <v>1322</v>
      </c>
      <c r="V106" s="47" t="s">
        <v>1611</v>
      </c>
      <c r="W106" s="47" t="s">
        <v>1331</v>
      </c>
      <c r="X106" s="47" t="s">
        <v>1612</v>
      </c>
      <c r="Y106" s="47">
        <v>12</v>
      </c>
      <c r="Z106" s="47">
        <v>6</v>
      </c>
      <c r="AA106" s="47" t="s">
        <v>1332</v>
      </c>
      <c r="AB106" s="47">
        <v>6</v>
      </c>
      <c r="AC106" s="47" t="s">
        <v>1333</v>
      </c>
      <c r="AD106" s="47">
        <v>377.15</v>
      </c>
      <c r="AE106" s="47" t="s">
        <v>182</v>
      </c>
      <c r="AF106" s="49">
        <v>4525.8</v>
      </c>
      <c r="AG106" s="49">
        <v>2262.9</v>
      </c>
      <c r="AH106" s="47" t="s">
        <v>182</v>
      </c>
      <c r="AI106" s="47" t="s">
        <v>181</v>
      </c>
      <c r="AJ106" s="47" t="s">
        <v>91</v>
      </c>
      <c r="AK106" s="47"/>
      <c r="AL106" s="47" t="s">
        <v>63</v>
      </c>
      <c r="AM106" s="47" t="s">
        <v>94</v>
      </c>
      <c r="AN106" s="47" t="s">
        <v>82</v>
      </c>
      <c r="AO106" s="48">
        <v>42356</v>
      </c>
      <c r="AP106" s="47" t="s">
        <v>64</v>
      </c>
      <c r="AQ106" s="48">
        <v>42353</v>
      </c>
      <c r="AR106" s="47"/>
      <c r="AS106" s="47"/>
      <c r="AT106" s="47"/>
      <c r="AU106" s="47" t="s">
        <v>1608</v>
      </c>
      <c r="AV106" s="47" t="s">
        <v>96</v>
      </c>
      <c r="AW106" s="47" t="s">
        <v>1609</v>
      </c>
    </row>
    <row r="107" spans="1:49" x14ac:dyDescent="0.2">
      <c r="A107" s="47">
        <v>10020141</v>
      </c>
      <c r="B107" s="47">
        <v>2120</v>
      </c>
      <c r="C107" s="47" t="s">
        <v>18</v>
      </c>
      <c r="D107" s="47" t="s">
        <v>573</v>
      </c>
      <c r="E107" s="48">
        <v>42353</v>
      </c>
      <c r="F107" s="47">
        <v>93627132</v>
      </c>
      <c r="G107" s="47">
        <v>2120</v>
      </c>
      <c r="H107" s="48">
        <v>42350</v>
      </c>
      <c r="I107" s="47"/>
      <c r="J107" s="47">
        <v>1201120</v>
      </c>
      <c r="K107" s="47" t="s">
        <v>117</v>
      </c>
      <c r="L107" s="47">
        <v>1307782</v>
      </c>
      <c r="M107" s="47" t="s">
        <v>119</v>
      </c>
      <c r="N107" s="47">
        <v>1171090</v>
      </c>
      <c r="O107" s="47" t="s">
        <v>118</v>
      </c>
      <c r="P107" s="47" t="s">
        <v>1226</v>
      </c>
      <c r="Q107" s="47"/>
      <c r="R107" s="47"/>
      <c r="S107" s="47">
        <v>52544055228</v>
      </c>
      <c r="T107" s="47" t="s">
        <v>1613</v>
      </c>
      <c r="U107" s="47" t="s">
        <v>1344</v>
      </c>
      <c r="V107" s="47" t="s">
        <v>1614</v>
      </c>
      <c r="W107" s="47" t="s">
        <v>1331</v>
      </c>
      <c r="X107" s="47" t="s">
        <v>1615</v>
      </c>
      <c r="Y107" s="47">
        <v>216</v>
      </c>
      <c r="Z107" s="47">
        <v>24</v>
      </c>
      <c r="AA107" s="47" t="s">
        <v>1332</v>
      </c>
      <c r="AB107" s="47">
        <v>12</v>
      </c>
      <c r="AC107" s="47" t="s">
        <v>1333</v>
      </c>
      <c r="AD107" s="47">
        <v>132.61000000000001</v>
      </c>
      <c r="AE107" s="47" t="s">
        <v>182</v>
      </c>
      <c r="AF107" s="49">
        <v>28643.759999999998</v>
      </c>
      <c r="AG107" s="49">
        <v>3182.64</v>
      </c>
      <c r="AH107" s="47" t="s">
        <v>182</v>
      </c>
      <c r="AI107" s="47" t="s">
        <v>181</v>
      </c>
      <c r="AJ107" s="47" t="s">
        <v>102</v>
      </c>
      <c r="AK107" s="47"/>
      <c r="AL107" s="47" t="s">
        <v>63</v>
      </c>
      <c r="AM107" s="47" t="s">
        <v>70</v>
      </c>
      <c r="AN107" s="47" t="s">
        <v>76</v>
      </c>
      <c r="AO107" s="48">
        <v>42356</v>
      </c>
      <c r="AP107" s="47" t="s">
        <v>64</v>
      </c>
      <c r="AQ107" s="48">
        <v>42353</v>
      </c>
      <c r="AR107" s="47"/>
      <c r="AS107" s="47"/>
      <c r="AT107" s="47"/>
      <c r="AU107" s="47">
        <v>649275177027</v>
      </c>
      <c r="AV107" s="47" t="s">
        <v>77</v>
      </c>
      <c r="AW107" s="47" t="s">
        <v>1013</v>
      </c>
    </row>
    <row r="108" spans="1:49" x14ac:dyDescent="0.2">
      <c r="A108" s="47">
        <v>10020142</v>
      </c>
      <c r="B108" s="47">
        <v>650</v>
      </c>
      <c r="C108" s="47" t="s">
        <v>18</v>
      </c>
      <c r="D108" s="47" t="s">
        <v>78</v>
      </c>
      <c r="E108" s="48">
        <v>42353</v>
      </c>
      <c r="F108" s="47">
        <v>93619713</v>
      </c>
      <c r="G108" s="47">
        <v>650</v>
      </c>
      <c r="H108" s="48">
        <v>42345</v>
      </c>
      <c r="I108" s="48">
        <v>42346</v>
      </c>
      <c r="J108" s="47">
        <v>1201483</v>
      </c>
      <c r="K108" s="47" t="s">
        <v>147</v>
      </c>
      <c r="L108" s="47">
        <v>1001169</v>
      </c>
      <c r="M108" s="47" t="s">
        <v>148</v>
      </c>
      <c r="N108" s="47">
        <v>1201483</v>
      </c>
      <c r="O108" s="47" t="s">
        <v>147</v>
      </c>
      <c r="P108" s="47">
        <v>95495</v>
      </c>
      <c r="Q108" s="47"/>
      <c r="R108" s="47"/>
      <c r="S108" s="47">
        <v>62037084920</v>
      </c>
      <c r="T108" s="47" t="s">
        <v>1616</v>
      </c>
      <c r="U108" s="47" t="s">
        <v>1322</v>
      </c>
      <c r="V108" s="47" t="s">
        <v>1362</v>
      </c>
      <c r="W108" s="47" t="s">
        <v>1331</v>
      </c>
      <c r="X108" s="47"/>
      <c r="Y108" s="47">
        <v>24</v>
      </c>
      <c r="Z108" s="47">
        <v>1</v>
      </c>
      <c r="AA108" s="47" t="s">
        <v>1332</v>
      </c>
      <c r="AB108" s="47">
        <v>5</v>
      </c>
      <c r="AC108" s="47" t="s">
        <v>1333</v>
      </c>
      <c r="AD108" s="47">
        <v>68.45</v>
      </c>
      <c r="AE108" s="47" t="s">
        <v>182</v>
      </c>
      <c r="AF108" s="49">
        <v>1642.8</v>
      </c>
      <c r="AG108" s="47">
        <v>68.45</v>
      </c>
      <c r="AH108" s="47" t="s">
        <v>182</v>
      </c>
      <c r="AI108" s="47" t="s">
        <v>181</v>
      </c>
      <c r="AJ108" s="47" t="s">
        <v>67</v>
      </c>
      <c r="AK108" s="47"/>
      <c r="AL108" s="47" t="s">
        <v>63</v>
      </c>
      <c r="AM108" s="47" t="s">
        <v>70</v>
      </c>
      <c r="AN108" s="47" t="s">
        <v>76</v>
      </c>
      <c r="AO108" s="48">
        <v>42356</v>
      </c>
      <c r="AP108" s="47" t="s">
        <v>64</v>
      </c>
      <c r="AQ108" s="48">
        <v>42353</v>
      </c>
      <c r="AR108" s="47"/>
      <c r="AS108" s="47"/>
      <c r="AT108" s="47"/>
      <c r="AU108" s="47">
        <v>3511801020</v>
      </c>
      <c r="AV108" s="47" t="s">
        <v>77</v>
      </c>
      <c r="AW108" s="47" t="s">
        <v>323</v>
      </c>
    </row>
    <row r="109" spans="1:49" x14ac:dyDescent="0.2">
      <c r="A109" s="47">
        <v>10020143</v>
      </c>
      <c r="B109" s="47">
        <v>780</v>
      </c>
      <c r="C109" s="47" t="s">
        <v>26</v>
      </c>
      <c r="D109" s="47" t="s">
        <v>78</v>
      </c>
      <c r="E109" s="48">
        <v>42353</v>
      </c>
      <c r="F109" s="47">
        <v>93624240</v>
      </c>
      <c r="G109" s="47">
        <v>780</v>
      </c>
      <c r="H109" s="48">
        <v>42348</v>
      </c>
      <c r="I109" s="47"/>
      <c r="J109" s="47">
        <v>1201047</v>
      </c>
      <c r="K109" s="47" t="s">
        <v>79</v>
      </c>
      <c r="L109" s="47">
        <v>1051671</v>
      </c>
      <c r="M109" s="47" t="s">
        <v>80</v>
      </c>
      <c r="N109" s="47">
        <v>1171089</v>
      </c>
      <c r="O109" s="47" t="s">
        <v>75</v>
      </c>
      <c r="P109" s="47">
        <v>49767225</v>
      </c>
      <c r="Q109" s="47"/>
      <c r="R109" s="47"/>
      <c r="S109" s="47">
        <v>62037071001</v>
      </c>
      <c r="T109" s="47" t="s">
        <v>1617</v>
      </c>
      <c r="U109" s="47" t="s">
        <v>1322</v>
      </c>
      <c r="V109" s="47" t="s">
        <v>1396</v>
      </c>
      <c r="W109" s="47" t="s">
        <v>1331</v>
      </c>
      <c r="X109" s="47" t="s">
        <v>1618</v>
      </c>
      <c r="Y109" s="47">
        <v>144</v>
      </c>
      <c r="Z109" s="47">
        <v>48</v>
      </c>
      <c r="AA109" s="47" t="s">
        <v>1332</v>
      </c>
      <c r="AB109" s="47">
        <v>48</v>
      </c>
      <c r="AC109" s="47" t="s">
        <v>1333</v>
      </c>
      <c r="AD109" s="47">
        <v>47.68</v>
      </c>
      <c r="AE109" s="47" t="s">
        <v>182</v>
      </c>
      <c r="AF109" s="49">
        <v>6865.92</v>
      </c>
      <c r="AG109" s="49">
        <v>2288.64</v>
      </c>
      <c r="AH109" s="47" t="s">
        <v>182</v>
      </c>
      <c r="AI109" s="47" t="s">
        <v>181</v>
      </c>
      <c r="AJ109" s="47" t="s">
        <v>91</v>
      </c>
      <c r="AK109" s="47"/>
      <c r="AL109" s="47" t="s">
        <v>69</v>
      </c>
      <c r="AM109" s="47" t="s">
        <v>94</v>
      </c>
      <c r="AN109" s="47" t="s">
        <v>95</v>
      </c>
      <c r="AO109" s="48">
        <v>42359</v>
      </c>
      <c r="AP109" s="47" t="s">
        <v>64</v>
      </c>
      <c r="AQ109" s="48">
        <v>42353</v>
      </c>
      <c r="AR109" s="47" t="s">
        <v>100</v>
      </c>
      <c r="AS109" s="47">
        <v>62050499</v>
      </c>
      <c r="AT109" s="48">
        <v>42368</v>
      </c>
      <c r="AU109" s="47" t="s">
        <v>1619</v>
      </c>
      <c r="AV109" s="47" t="s">
        <v>96</v>
      </c>
      <c r="AW109" s="47" t="s">
        <v>1620</v>
      </c>
    </row>
    <row r="110" spans="1:49" x14ac:dyDescent="0.2">
      <c r="A110" s="47">
        <v>10020144</v>
      </c>
      <c r="B110" s="47">
        <v>10</v>
      </c>
      <c r="C110" s="47" t="s">
        <v>22</v>
      </c>
      <c r="D110" s="47" t="s">
        <v>78</v>
      </c>
      <c r="E110" s="48">
        <v>42353</v>
      </c>
      <c r="F110" s="47"/>
      <c r="G110" s="47">
        <v>10</v>
      </c>
      <c r="H110" s="47"/>
      <c r="I110" s="47"/>
      <c r="J110" s="47">
        <v>1201483</v>
      </c>
      <c r="K110" s="47" t="s">
        <v>147</v>
      </c>
      <c r="L110" s="47">
        <v>1001169</v>
      </c>
      <c r="M110" s="47" t="s">
        <v>148</v>
      </c>
      <c r="N110" s="47">
        <v>1201483</v>
      </c>
      <c r="O110" s="47" t="s">
        <v>147</v>
      </c>
      <c r="P110" s="47">
        <v>94891</v>
      </c>
      <c r="Q110" s="47"/>
      <c r="R110" s="47"/>
      <c r="S110" s="47">
        <v>52544055228</v>
      </c>
      <c r="T110" s="47" t="s">
        <v>1613</v>
      </c>
      <c r="U110" s="47" t="s">
        <v>1344</v>
      </c>
      <c r="V110" s="47" t="s">
        <v>1614</v>
      </c>
      <c r="W110" s="47" t="s">
        <v>1331</v>
      </c>
      <c r="X110" s="47"/>
      <c r="Y110" s="47">
        <v>0</v>
      </c>
      <c r="Z110" s="47">
        <v>72</v>
      </c>
      <c r="AA110" s="47" t="s">
        <v>1621</v>
      </c>
      <c r="AB110" s="47">
        <v>12</v>
      </c>
      <c r="AC110" s="47" t="s">
        <v>1622</v>
      </c>
      <c r="AD110" s="47">
        <v>0</v>
      </c>
      <c r="AE110" s="47" t="s">
        <v>182</v>
      </c>
      <c r="AF110" s="47">
        <v>0</v>
      </c>
      <c r="AG110" s="47">
        <v>0</v>
      </c>
      <c r="AH110" s="47" t="s">
        <v>182</v>
      </c>
      <c r="AI110" s="47" t="s">
        <v>181</v>
      </c>
      <c r="AJ110" s="47"/>
      <c r="AK110" s="47"/>
      <c r="AL110" s="47" t="s">
        <v>63</v>
      </c>
      <c r="AM110" s="47" t="s">
        <v>94</v>
      </c>
      <c r="AN110" s="47" t="s">
        <v>82</v>
      </c>
      <c r="AO110" s="48">
        <v>42359</v>
      </c>
      <c r="AP110" s="47" t="s">
        <v>64</v>
      </c>
      <c r="AQ110" s="48">
        <v>42353</v>
      </c>
      <c r="AR110" s="47"/>
      <c r="AS110" s="47"/>
      <c r="AT110" s="47"/>
      <c r="AU110" s="47"/>
      <c r="AV110" s="47" t="s">
        <v>142</v>
      </c>
      <c r="AW110" s="47" t="s">
        <v>1623</v>
      </c>
    </row>
    <row r="111" spans="1:49" x14ac:dyDescent="0.2">
      <c r="A111" s="47">
        <v>10020145</v>
      </c>
      <c r="B111" s="47">
        <v>390</v>
      </c>
      <c r="C111" s="47" t="s">
        <v>18</v>
      </c>
      <c r="D111" s="47" t="s">
        <v>78</v>
      </c>
      <c r="E111" s="48">
        <v>42353</v>
      </c>
      <c r="F111" s="47">
        <v>93579924</v>
      </c>
      <c r="G111" s="47">
        <v>390</v>
      </c>
      <c r="H111" s="48">
        <v>42310</v>
      </c>
      <c r="I111" s="47"/>
      <c r="J111" s="47">
        <v>1201483</v>
      </c>
      <c r="K111" s="47" t="s">
        <v>147</v>
      </c>
      <c r="L111" s="47">
        <v>1001169</v>
      </c>
      <c r="M111" s="47" t="s">
        <v>148</v>
      </c>
      <c r="N111" s="47">
        <v>1201483</v>
      </c>
      <c r="O111" s="47" t="s">
        <v>147</v>
      </c>
      <c r="P111" s="47">
        <v>94740</v>
      </c>
      <c r="Q111" s="47"/>
      <c r="R111" s="47"/>
      <c r="S111" s="47">
        <v>58914017014</v>
      </c>
      <c r="T111" s="47" t="s">
        <v>1624</v>
      </c>
      <c r="U111" s="47" t="s">
        <v>1381</v>
      </c>
      <c r="V111" s="47" t="s">
        <v>1625</v>
      </c>
      <c r="W111" s="47" t="s">
        <v>1331</v>
      </c>
      <c r="X111" s="47">
        <v>1153228</v>
      </c>
      <c r="Y111" s="47">
        <v>24</v>
      </c>
      <c r="Z111" s="47">
        <v>2</v>
      </c>
      <c r="AA111" s="47" t="s">
        <v>1332</v>
      </c>
      <c r="AB111" s="47">
        <v>12</v>
      </c>
      <c r="AC111" s="47" t="s">
        <v>1333</v>
      </c>
      <c r="AD111" s="47">
        <v>145.04</v>
      </c>
      <c r="AE111" s="47" t="s">
        <v>182</v>
      </c>
      <c r="AF111" s="49">
        <v>3480.96</v>
      </c>
      <c r="AG111" s="47">
        <v>290.08</v>
      </c>
      <c r="AH111" s="47" t="s">
        <v>182</v>
      </c>
      <c r="AI111" s="47" t="s">
        <v>181</v>
      </c>
      <c r="AJ111" s="47" t="s">
        <v>102</v>
      </c>
      <c r="AK111" s="47"/>
      <c r="AL111" s="47" t="s">
        <v>63</v>
      </c>
      <c r="AM111" s="47" t="s">
        <v>70</v>
      </c>
      <c r="AN111" s="47" t="s">
        <v>76</v>
      </c>
      <c r="AO111" s="48">
        <v>42356</v>
      </c>
      <c r="AP111" s="47" t="s">
        <v>64</v>
      </c>
      <c r="AQ111" s="48">
        <v>42353</v>
      </c>
      <c r="AR111" s="47"/>
      <c r="AS111" s="47"/>
      <c r="AT111" s="47"/>
      <c r="AU111" s="47">
        <v>649275101217</v>
      </c>
      <c r="AV111" s="47" t="s">
        <v>77</v>
      </c>
      <c r="AW111" s="47" t="s">
        <v>211</v>
      </c>
    </row>
    <row r="112" spans="1:49" x14ac:dyDescent="0.2">
      <c r="A112" s="47">
        <v>10020146</v>
      </c>
      <c r="B112" s="47">
        <v>30</v>
      </c>
      <c r="C112" s="47" t="s">
        <v>26</v>
      </c>
      <c r="D112" s="47" t="s">
        <v>78</v>
      </c>
      <c r="E112" s="48">
        <v>42354</v>
      </c>
      <c r="F112" s="47">
        <v>93607689</v>
      </c>
      <c r="G112" s="47">
        <v>30</v>
      </c>
      <c r="H112" s="48">
        <v>42333</v>
      </c>
      <c r="I112" s="47"/>
      <c r="J112" s="47">
        <v>1318826</v>
      </c>
      <c r="K112" s="47" t="s">
        <v>110</v>
      </c>
      <c r="L112" s="47">
        <v>1334311</v>
      </c>
      <c r="M112" s="47" t="s">
        <v>113</v>
      </c>
      <c r="N112" s="47">
        <v>1318826</v>
      </c>
      <c r="O112" s="47" t="s">
        <v>110</v>
      </c>
      <c r="P112" s="47">
        <v>2052803</v>
      </c>
      <c r="Q112" s="47"/>
      <c r="R112" s="47"/>
      <c r="S112" s="47">
        <v>42865030002</v>
      </c>
      <c r="T112" s="47" t="s">
        <v>1380</v>
      </c>
      <c r="U112" s="47" t="s">
        <v>1381</v>
      </c>
      <c r="V112" s="47" t="s">
        <v>1382</v>
      </c>
      <c r="W112" s="47" t="s">
        <v>1331</v>
      </c>
      <c r="X112" s="47"/>
      <c r="Y112" s="47">
        <v>12</v>
      </c>
      <c r="Z112" s="47">
        <v>2</v>
      </c>
      <c r="AA112" s="47" t="s">
        <v>1332</v>
      </c>
      <c r="AB112" s="47">
        <v>100</v>
      </c>
      <c r="AC112" s="47" t="s">
        <v>1333</v>
      </c>
      <c r="AD112" s="49">
        <v>3671</v>
      </c>
      <c r="AE112" s="47" t="s">
        <v>182</v>
      </c>
      <c r="AF112" s="47">
        <v>440.52</v>
      </c>
      <c r="AG112" s="47">
        <v>73.42</v>
      </c>
      <c r="AH112" s="47" t="s">
        <v>182</v>
      </c>
      <c r="AI112" s="47" t="s">
        <v>181</v>
      </c>
      <c r="AJ112" s="47" t="s">
        <v>102</v>
      </c>
      <c r="AK112" s="47"/>
      <c r="AL112" s="47" t="s">
        <v>63</v>
      </c>
      <c r="AM112" s="47" t="s">
        <v>94</v>
      </c>
      <c r="AN112" s="47" t="s">
        <v>95</v>
      </c>
      <c r="AO112" s="48">
        <v>42356</v>
      </c>
      <c r="AP112" s="47" t="s">
        <v>64</v>
      </c>
      <c r="AQ112" s="48">
        <v>42354</v>
      </c>
      <c r="AR112" s="47"/>
      <c r="AS112" s="47"/>
      <c r="AT112" s="47"/>
      <c r="AU112" s="47">
        <v>649275140534</v>
      </c>
      <c r="AV112" s="47" t="s">
        <v>96</v>
      </c>
      <c r="AW112" s="47" t="s">
        <v>1626</v>
      </c>
    </row>
    <row r="113" spans="1:49" x14ac:dyDescent="0.2">
      <c r="A113" s="47">
        <v>10020147</v>
      </c>
      <c r="B113" s="47">
        <v>620</v>
      </c>
      <c r="C113" s="47" t="s">
        <v>18</v>
      </c>
      <c r="D113" s="47" t="s">
        <v>78</v>
      </c>
      <c r="E113" s="48">
        <v>42354</v>
      </c>
      <c r="F113" s="47">
        <v>93627984</v>
      </c>
      <c r="G113" s="47">
        <v>620</v>
      </c>
      <c r="H113" s="48">
        <v>42352</v>
      </c>
      <c r="I113" s="47"/>
      <c r="J113" s="47">
        <v>1201047</v>
      </c>
      <c r="K113" s="47" t="s">
        <v>79</v>
      </c>
      <c r="L113" s="47">
        <v>1340974</v>
      </c>
      <c r="M113" s="47" t="s">
        <v>93</v>
      </c>
      <c r="N113" s="47">
        <v>1171089</v>
      </c>
      <c r="O113" s="47" t="s">
        <v>75</v>
      </c>
      <c r="P113" s="47">
        <v>87103136</v>
      </c>
      <c r="Q113" s="47"/>
      <c r="R113" s="47"/>
      <c r="S113" s="47">
        <v>456074513</v>
      </c>
      <c r="T113" s="47" t="s">
        <v>1627</v>
      </c>
      <c r="U113" s="47" t="s">
        <v>1340</v>
      </c>
      <c r="V113" s="47" t="s">
        <v>1453</v>
      </c>
      <c r="W113" s="47" t="s">
        <v>1331</v>
      </c>
      <c r="X113" s="47"/>
      <c r="Y113" s="47">
        <v>10080</v>
      </c>
      <c r="Z113" s="47">
        <v>32</v>
      </c>
      <c r="AA113" s="47" t="s">
        <v>1332</v>
      </c>
      <c r="AB113" s="47">
        <v>12</v>
      </c>
      <c r="AC113" s="47" t="s">
        <v>1333</v>
      </c>
      <c r="AD113" s="47">
        <v>44.52</v>
      </c>
      <c r="AE113" s="47" t="s">
        <v>182</v>
      </c>
      <c r="AF113" s="49">
        <v>448761.59999999998</v>
      </c>
      <c r="AG113" s="49">
        <v>1424.64</v>
      </c>
      <c r="AH113" s="47" t="s">
        <v>182</v>
      </c>
      <c r="AI113" s="47" t="s">
        <v>181</v>
      </c>
      <c r="AJ113" s="47" t="s">
        <v>279</v>
      </c>
      <c r="AK113" s="47"/>
      <c r="AL113" s="47" t="s">
        <v>63</v>
      </c>
      <c r="AM113" s="47" t="s">
        <v>70</v>
      </c>
      <c r="AN113" s="47" t="s">
        <v>76</v>
      </c>
      <c r="AO113" s="48">
        <v>42356</v>
      </c>
      <c r="AP113" s="47" t="s">
        <v>64</v>
      </c>
      <c r="AQ113" s="48">
        <v>42354</v>
      </c>
      <c r="AR113" s="47"/>
      <c r="AS113" s="47"/>
      <c r="AT113" s="47"/>
      <c r="AU113" s="47" t="s">
        <v>1628</v>
      </c>
      <c r="AV113" s="47" t="s">
        <v>77</v>
      </c>
      <c r="AW113" s="47" t="s">
        <v>1629</v>
      </c>
    </row>
    <row r="114" spans="1:49" x14ac:dyDescent="0.2">
      <c r="A114" s="47">
        <v>10020147</v>
      </c>
      <c r="B114" s="47">
        <v>790</v>
      </c>
      <c r="C114" s="47" t="s">
        <v>18</v>
      </c>
      <c r="D114" s="47" t="s">
        <v>78</v>
      </c>
      <c r="E114" s="48">
        <v>42354</v>
      </c>
      <c r="F114" s="47">
        <v>93627984</v>
      </c>
      <c r="G114" s="47">
        <v>790</v>
      </c>
      <c r="H114" s="48">
        <v>42352</v>
      </c>
      <c r="I114" s="47"/>
      <c r="J114" s="47">
        <v>1201047</v>
      </c>
      <c r="K114" s="47" t="s">
        <v>79</v>
      </c>
      <c r="L114" s="47">
        <v>1340974</v>
      </c>
      <c r="M114" s="47" t="s">
        <v>93</v>
      </c>
      <c r="N114" s="47">
        <v>1171089</v>
      </c>
      <c r="O114" s="47" t="s">
        <v>75</v>
      </c>
      <c r="P114" s="47">
        <v>87103136</v>
      </c>
      <c r="Q114" s="47"/>
      <c r="R114" s="47"/>
      <c r="S114" s="47">
        <v>456114030</v>
      </c>
      <c r="T114" s="47" t="s">
        <v>1630</v>
      </c>
      <c r="U114" s="47" t="s">
        <v>1335</v>
      </c>
      <c r="V114" s="47" t="s">
        <v>1535</v>
      </c>
      <c r="W114" s="47" t="s">
        <v>1331</v>
      </c>
      <c r="X114" s="47"/>
      <c r="Y114" s="47">
        <v>27936</v>
      </c>
      <c r="Z114" s="47">
        <v>2</v>
      </c>
      <c r="AA114" s="47" t="s">
        <v>1332</v>
      </c>
      <c r="AB114" s="47">
        <v>144</v>
      </c>
      <c r="AC114" s="47" t="s">
        <v>1333</v>
      </c>
      <c r="AD114" s="47">
        <v>189.54</v>
      </c>
      <c r="AE114" s="47" t="s">
        <v>182</v>
      </c>
      <c r="AF114" s="49">
        <v>5294989.4400000004</v>
      </c>
      <c r="AG114" s="47">
        <v>379.08</v>
      </c>
      <c r="AH114" s="47" t="s">
        <v>182</v>
      </c>
      <c r="AI114" s="47" t="s">
        <v>181</v>
      </c>
      <c r="AJ114" s="47" t="s">
        <v>279</v>
      </c>
      <c r="AK114" s="47"/>
      <c r="AL114" s="47" t="s">
        <v>63</v>
      </c>
      <c r="AM114" s="47" t="s">
        <v>70</v>
      </c>
      <c r="AN114" s="47" t="s">
        <v>76</v>
      </c>
      <c r="AO114" s="48">
        <v>42356</v>
      </c>
      <c r="AP114" s="47" t="s">
        <v>64</v>
      </c>
      <c r="AQ114" s="48">
        <v>42354</v>
      </c>
      <c r="AR114" s="47"/>
      <c r="AS114" s="47"/>
      <c r="AT114" s="47"/>
      <c r="AU114" s="47" t="s">
        <v>1628</v>
      </c>
      <c r="AV114" s="47" t="s">
        <v>77</v>
      </c>
      <c r="AW114" s="47" t="s">
        <v>1629</v>
      </c>
    </row>
    <row r="115" spans="1:49" x14ac:dyDescent="0.2">
      <c r="A115" s="47">
        <v>10020148</v>
      </c>
      <c r="B115" s="47">
        <v>460</v>
      </c>
      <c r="C115" s="47" t="s">
        <v>18</v>
      </c>
      <c r="D115" s="47" t="s">
        <v>573</v>
      </c>
      <c r="E115" s="48">
        <v>42354</v>
      </c>
      <c r="F115" s="47">
        <v>93624529</v>
      </c>
      <c r="G115" s="47">
        <v>460</v>
      </c>
      <c r="H115" s="48">
        <v>42348</v>
      </c>
      <c r="I115" s="48">
        <v>42352</v>
      </c>
      <c r="J115" s="47">
        <v>1201605</v>
      </c>
      <c r="K115" s="47" t="s">
        <v>155</v>
      </c>
      <c r="L115" s="47">
        <v>1310002</v>
      </c>
      <c r="M115" s="47" t="s">
        <v>155</v>
      </c>
      <c r="N115" s="47">
        <v>1172017</v>
      </c>
      <c r="O115" s="47" t="s">
        <v>155</v>
      </c>
      <c r="P115" s="47">
        <v>550897</v>
      </c>
      <c r="Q115" s="47"/>
      <c r="R115" s="47"/>
      <c r="S115" s="47">
        <v>52544005431</v>
      </c>
      <c r="T115" s="47" t="s">
        <v>1631</v>
      </c>
      <c r="U115" s="47" t="s">
        <v>1344</v>
      </c>
      <c r="V115" s="47" t="s">
        <v>1632</v>
      </c>
      <c r="W115" s="47" t="s">
        <v>1331</v>
      </c>
      <c r="X115" s="47" t="s">
        <v>1633</v>
      </c>
      <c r="Y115" s="47">
        <v>6</v>
      </c>
      <c r="Z115" s="47">
        <v>5</v>
      </c>
      <c r="AA115" s="47" t="s">
        <v>1332</v>
      </c>
      <c r="AB115" s="47">
        <v>72</v>
      </c>
      <c r="AC115" s="47" t="s">
        <v>1333</v>
      </c>
      <c r="AD115" s="47">
        <v>137.18</v>
      </c>
      <c r="AE115" s="47" t="s">
        <v>182</v>
      </c>
      <c r="AF115" s="47">
        <v>823.08</v>
      </c>
      <c r="AG115" s="47">
        <v>685.9</v>
      </c>
      <c r="AH115" s="47" t="s">
        <v>182</v>
      </c>
      <c r="AI115" s="47" t="s">
        <v>181</v>
      </c>
      <c r="AJ115" s="47" t="s">
        <v>67</v>
      </c>
      <c r="AK115" s="47"/>
      <c r="AL115" s="47" t="s">
        <v>63</v>
      </c>
      <c r="AM115" s="47" t="s">
        <v>70</v>
      </c>
      <c r="AN115" s="47" t="s">
        <v>76</v>
      </c>
      <c r="AO115" s="48">
        <v>42356</v>
      </c>
      <c r="AP115" s="47" t="s">
        <v>64</v>
      </c>
      <c r="AQ115" s="48">
        <v>42354</v>
      </c>
      <c r="AR115" s="47"/>
      <c r="AS115" s="47"/>
      <c r="AT115" s="47"/>
      <c r="AU115" s="47">
        <v>3511801300</v>
      </c>
      <c r="AV115" s="47" t="s">
        <v>77</v>
      </c>
      <c r="AW115" s="47" t="s">
        <v>717</v>
      </c>
    </row>
    <row r="116" spans="1:49" x14ac:dyDescent="0.2">
      <c r="A116" s="47">
        <v>10020149</v>
      </c>
      <c r="B116" s="47">
        <v>20</v>
      </c>
      <c r="C116" s="47" t="s">
        <v>26</v>
      </c>
      <c r="D116" s="47" t="s">
        <v>78</v>
      </c>
      <c r="E116" s="48">
        <v>42354</v>
      </c>
      <c r="F116" s="47">
        <v>93628564</v>
      </c>
      <c r="G116" s="47">
        <v>20</v>
      </c>
      <c r="H116" s="48">
        <v>42352</v>
      </c>
      <c r="I116" s="47"/>
      <c r="J116" s="47">
        <v>1317407</v>
      </c>
      <c r="K116" s="47" t="s">
        <v>1634</v>
      </c>
      <c r="L116" s="47">
        <v>1317407</v>
      </c>
      <c r="M116" s="47" t="s">
        <v>1634</v>
      </c>
      <c r="N116" s="47">
        <v>1317407</v>
      </c>
      <c r="O116" s="47" t="s">
        <v>1634</v>
      </c>
      <c r="P116" s="47">
        <v>16287000929</v>
      </c>
      <c r="Q116" s="47"/>
      <c r="R116" s="47"/>
      <c r="S116" s="47">
        <v>52544009276</v>
      </c>
      <c r="T116" s="47" t="s">
        <v>1635</v>
      </c>
      <c r="U116" s="47" t="s">
        <v>1636</v>
      </c>
      <c r="V116" s="47" t="s">
        <v>1637</v>
      </c>
      <c r="W116" s="47" t="s">
        <v>1331</v>
      </c>
      <c r="X116" s="47" t="s">
        <v>1638</v>
      </c>
      <c r="Y116" s="47">
        <v>5</v>
      </c>
      <c r="Z116" s="47">
        <v>1</v>
      </c>
      <c r="AA116" s="47" t="s">
        <v>1332</v>
      </c>
      <c r="AB116" s="47">
        <v>50</v>
      </c>
      <c r="AC116" s="47" t="s">
        <v>1333</v>
      </c>
      <c r="AD116" s="49">
        <v>2683.69</v>
      </c>
      <c r="AE116" s="47" t="s">
        <v>182</v>
      </c>
      <c r="AF116" s="49">
        <v>13418.45</v>
      </c>
      <c r="AG116" s="49">
        <v>2683.69</v>
      </c>
      <c r="AH116" s="47" t="s">
        <v>182</v>
      </c>
      <c r="AI116" s="47" t="s">
        <v>181</v>
      </c>
      <c r="AJ116" s="47" t="s">
        <v>102</v>
      </c>
      <c r="AK116" s="47"/>
      <c r="AL116" s="47" t="s">
        <v>63</v>
      </c>
      <c r="AM116" s="47"/>
      <c r="AN116" s="47"/>
      <c r="AO116" s="47"/>
      <c r="AP116" s="47" t="s">
        <v>64</v>
      </c>
      <c r="AQ116" s="48">
        <v>42354</v>
      </c>
      <c r="AR116" s="47"/>
      <c r="AS116" s="47"/>
      <c r="AT116" s="47"/>
      <c r="AU116" s="47">
        <v>649275179236</v>
      </c>
      <c r="AV116" s="47"/>
      <c r="AW116" s="47"/>
    </row>
    <row r="117" spans="1:49" x14ac:dyDescent="0.2">
      <c r="A117" s="47">
        <v>10020150</v>
      </c>
      <c r="B117" s="47">
        <v>420</v>
      </c>
      <c r="C117" s="47" t="s">
        <v>18</v>
      </c>
      <c r="D117" s="47" t="s">
        <v>573</v>
      </c>
      <c r="E117" s="48">
        <v>42354</v>
      </c>
      <c r="F117" s="47">
        <v>93621221</v>
      </c>
      <c r="G117" s="47">
        <v>420</v>
      </c>
      <c r="H117" s="48">
        <v>42346</v>
      </c>
      <c r="I117" s="47"/>
      <c r="J117" s="47">
        <v>1201605</v>
      </c>
      <c r="K117" s="47" t="s">
        <v>155</v>
      </c>
      <c r="L117" s="47">
        <v>1023292</v>
      </c>
      <c r="M117" s="47" t="s">
        <v>155</v>
      </c>
      <c r="N117" s="47">
        <v>1172017</v>
      </c>
      <c r="O117" s="47" t="s">
        <v>155</v>
      </c>
      <c r="P117" s="47">
        <v>550295</v>
      </c>
      <c r="Q117" s="47"/>
      <c r="R117" s="47"/>
      <c r="S117" s="47">
        <v>52544092008</v>
      </c>
      <c r="T117" s="47" t="s">
        <v>1639</v>
      </c>
      <c r="U117" s="47" t="s">
        <v>1340</v>
      </c>
      <c r="V117" s="47" t="s">
        <v>1640</v>
      </c>
      <c r="W117" s="47" t="s">
        <v>1331</v>
      </c>
      <c r="X117" s="47" t="s">
        <v>1641</v>
      </c>
      <c r="Y117" s="47">
        <v>24</v>
      </c>
      <c r="Z117" s="47">
        <v>5</v>
      </c>
      <c r="AA117" s="47" t="s">
        <v>1332</v>
      </c>
      <c r="AB117" s="47">
        <v>24</v>
      </c>
      <c r="AC117" s="47" t="s">
        <v>1333</v>
      </c>
      <c r="AD117" s="47">
        <v>461.26</v>
      </c>
      <c r="AE117" s="47" t="s">
        <v>182</v>
      </c>
      <c r="AF117" s="49">
        <v>11070.24</v>
      </c>
      <c r="AG117" s="49">
        <v>2306.3000000000002</v>
      </c>
      <c r="AH117" s="47" t="s">
        <v>182</v>
      </c>
      <c r="AI117" s="47" t="s">
        <v>181</v>
      </c>
      <c r="AJ117" s="47" t="s">
        <v>102</v>
      </c>
      <c r="AK117" s="47"/>
      <c r="AL117" s="47" t="s">
        <v>63</v>
      </c>
      <c r="AM117" s="47" t="s">
        <v>70</v>
      </c>
      <c r="AN117" s="47" t="s">
        <v>76</v>
      </c>
      <c r="AO117" s="48">
        <v>42356</v>
      </c>
      <c r="AP117" s="47" t="s">
        <v>64</v>
      </c>
      <c r="AQ117" s="48">
        <v>42354</v>
      </c>
      <c r="AR117" s="47"/>
      <c r="AS117" s="47"/>
      <c r="AT117" s="47"/>
      <c r="AU117" s="47">
        <v>649275161750</v>
      </c>
      <c r="AV117" s="47" t="s">
        <v>77</v>
      </c>
      <c r="AW117" s="47" t="s">
        <v>717</v>
      </c>
    </row>
    <row r="118" spans="1:49" x14ac:dyDescent="0.2">
      <c r="A118" s="47">
        <v>10020151</v>
      </c>
      <c r="B118" s="47">
        <v>40</v>
      </c>
      <c r="C118" s="47" t="s">
        <v>18</v>
      </c>
      <c r="D118" s="47" t="s">
        <v>573</v>
      </c>
      <c r="E118" s="48">
        <v>42354</v>
      </c>
      <c r="F118" s="47">
        <v>93619746</v>
      </c>
      <c r="G118" s="47">
        <v>40</v>
      </c>
      <c r="H118" s="48">
        <v>42345</v>
      </c>
      <c r="I118" s="48">
        <v>42347</v>
      </c>
      <c r="J118" s="47">
        <v>1201566</v>
      </c>
      <c r="K118" s="47" t="s">
        <v>154</v>
      </c>
      <c r="L118" s="47">
        <v>1201566</v>
      </c>
      <c r="M118" s="47" t="s">
        <v>154</v>
      </c>
      <c r="N118" s="47">
        <v>1201566</v>
      </c>
      <c r="O118" s="47" t="s">
        <v>154</v>
      </c>
      <c r="P118" s="47">
        <v>3009501</v>
      </c>
      <c r="Q118" s="47"/>
      <c r="R118" s="47"/>
      <c r="S118" s="47">
        <v>456074413</v>
      </c>
      <c r="T118" s="47" t="s">
        <v>1452</v>
      </c>
      <c r="U118" s="47" t="s">
        <v>1340</v>
      </c>
      <c r="V118" s="47" t="s">
        <v>1453</v>
      </c>
      <c r="W118" s="47" t="s">
        <v>1331</v>
      </c>
      <c r="X118" s="47">
        <v>669401</v>
      </c>
      <c r="Y118" s="47">
        <v>24</v>
      </c>
      <c r="Z118" s="47">
        <v>6</v>
      </c>
      <c r="AA118" s="47" t="s">
        <v>1332</v>
      </c>
      <c r="AB118" s="47">
        <v>12</v>
      </c>
      <c r="AC118" s="47" t="s">
        <v>1333</v>
      </c>
      <c r="AD118" s="47">
        <v>44.52</v>
      </c>
      <c r="AE118" s="47" t="s">
        <v>182</v>
      </c>
      <c r="AF118" s="49">
        <v>1068.48</v>
      </c>
      <c r="AG118" s="47">
        <v>267.12</v>
      </c>
      <c r="AH118" s="47" t="s">
        <v>182</v>
      </c>
      <c r="AI118" s="47" t="s">
        <v>181</v>
      </c>
      <c r="AJ118" s="47" t="s">
        <v>67</v>
      </c>
      <c r="AK118" s="47"/>
      <c r="AL118" s="47" t="s">
        <v>63</v>
      </c>
      <c r="AM118" s="47" t="s">
        <v>70</v>
      </c>
      <c r="AN118" s="47" t="s">
        <v>76</v>
      </c>
      <c r="AO118" s="48">
        <v>42356</v>
      </c>
      <c r="AP118" s="47" t="s">
        <v>64</v>
      </c>
      <c r="AQ118" s="48">
        <v>42354</v>
      </c>
      <c r="AR118" s="47"/>
      <c r="AS118" s="47"/>
      <c r="AT118" s="47"/>
      <c r="AU118" s="47">
        <v>3511801005</v>
      </c>
      <c r="AV118" s="47" t="s">
        <v>77</v>
      </c>
      <c r="AW118" s="47" t="s">
        <v>170</v>
      </c>
    </row>
    <row r="119" spans="1:49" x14ac:dyDescent="0.2">
      <c r="A119" s="47">
        <v>10020152</v>
      </c>
      <c r="B119" s="47">
        <v>630</v>
      </c>
      <c r="C119" s="47" t="s">
        <v>26</v>
      </c>
      <c r="D119" s="47" t="s">
        <v>573</v>
      </c>
      <c r="E119" s="48">
        <v>42354</v>
      </c>
      <c r="F119" s="47">
        <v>93597016</v>
      </c>
      <c r="G119" s="47">
        <v>630</v>
      </c>
      <c r="H119" s="48">
        <v>42324</v>
      </c>
      <c r="I119" s="48">
        <v>42326</v>
      </c>
      <c r="J119" s="47">
        <v>1201566</v>
      </c>
      <c r="K119" s="47" t="s">
        <v>154</v>
      </c>
      <c r="L119" s="47">
        <v>1340365</v>
      </c>
      <c r="M119" s="47" t="s">
        <v>694</v>
      </c>
      <c r="N119" s="47">
        <v>1201566</v>
      </c>
      <c r="O119" s="47" t="s">
        <v>154</v>
      </c>
      <c r="P119" s="47">
        <v>2959583</v>
      </c>
      <c r="Q119" s="47"/>
      <c r="R119" s="47"/>
      <c r="S119" s="47">
        <v>228267311</v>
      </c>
      <c r="T119" s="47" t="s">
        <v>1642</v>
      </c>
      <c r="U119" s="47" t="s">
        <v>1322</v>
      </c>
      <c r="V119" s="47" t="s">
        <v>1643</v>
      </c>
      <c r="W119" s="47" t="s">
        <v>1331</v>
      </c>
      <c r="X119" s="47" t="s">
        <v>1644</v>
      </c>
      <c r="Y119" s="47">
        <v>12</v>
      </c>
      <c r="Z119" s="47">
        <v>11</v>
      </c>
      <c r="AA119" s="47" t="s">
        <v>1332</v>
      </c>
      <c r="AB119" s="47">
        <v>24</v>
      </c>
      <c r="AC119" s="47" t="s">
        <v>1333</v>
      </c>
      <c r="AD119" s="47">
        <v>73.5</v>
      </c>
      <c r="AE119" s="47" t="s">
        <v>182</v>
      </c>
      <c r="AF119" s="47">
        <v>882</v>
      </c>
      <c r="AG119" s="47">
        <v>808.5</v>
      </c>
      <c r="AH119" s="47" t="s">
        <v>182</v>
      </c>
      <c r="AI119" s="47" t="s">
        <v>181</v>
      </c>
      <c r="AJ119" s="47" t="s">
        <v>67</v>
      </c>
      <c r="AK119" s="47"/>
      <c r="AL119" s="47" t="s">
        <v>63</v>
      </c>
      <c r="AM119" s="47"/>
      <c r="AN119" s="47"/>
      <c r="AO119" s="47"/>
      <c r="AP119" s="47" t="s">
        <v>64</v>
      </c>
      <c r="AQ119" s="48">
        <v>42354</v>
      </c>
      <c r="AR119" s="47"/>
      <c r="AS119" s="47"/>
      <c r="AT119" s="47"/>
      <c r="AU119" s="47">
        <v>3527007746</v>
      </c>
      <c r="AV119" s="47"/>
      <c r="AW119" s="47"/>
    </row>
    <row r="120" spans="1:49" x14ac:dyDescent="0.2">
      <c r="A120" s="47">
        <v>10020153</v>
      </c>
      <c r="B120" s="47">
        <v>2140</v>
      </c>
      <c r="C120" s="47" t="s">
        <v>18</v>
      </c>
      <c r="D120" s="47" t="s">
        <v>573</v>
      </c>
      <c r="E120" s="48">
        <v>42354</v>
      </c>
      <c r="F120" s="47">
        <v>93627133</v>
      </c>
      <c r="G120" s="47">
        <v>2140</v>
      </c>
      <c r="H120" s="48">
        <v>42350</v>
      </c>
      <c r="I120" s="47"/>
      <c r="J120" s="47">
        <v>1201120</v>
      </c>
      <c r="K120" s="47" t="s">
        <v>117</v>
      </c>
      <c r="L120" s="47">
        <v>1307782</v>
      </c>
      <c r="M120" s="47" t="s">
        <v>119</v>
      </c>
      <c r="N120" s="47">
        <v>1171090</v>
      </c>
      <c r="O120" s="47" t="s">
        <v>118</v>
      </c>
      <c r="P120" s="47" t="s">
        <v>1260</v>
      </c>
      <c r="Q120" s="47"/>
      <c r="R120" s="47"/>
      <c r="S120" s="47">
        <v>52544055228</v>
      </c>
      <c r="T120" s="47" t="s">
        <v>1613</v>
      </c>
      <c r="U120" s="47" t="s">
        <v>1344</v>
      </c>
      <c r="V120" s="47" t="s">
        <v>1614</v>
      </c>
      <c r="W120" s="47" t="s">
        <v>1331</v>
      </c>
      <c r="X120" s="47" t="s">
        <v>1645</v>
      </c>
      <c r="Y120" s="47">
        <v>216</v>
      </c>
      <c r="Z120" s="47">
        <v>12</v>
      </c>
      <c r="AA120" s="47" t="s">
        <v>1332</v>
      </c>
      <c r="AB120" s="47">
        <v>12</v>
      </c>
      <c r="AC120" s="47" t="s">
        <v>1333</v>
      </c>
      <c r="AD120" s="47">
        <v>132.61000000000001</v>
      </c>
      <c r="AE120" s="47" t="s">
        <v>182</v>
      </c>
      <c r="AF120" s="49">
        <v>28643.759999999998</v>
      </c>
      <c r="AG120" s="49">
        <v>1591.32</v>
      </c>
      <c r="AH120" s="47" t="s">
        <v>182</v>
      </c>
      <c r="AI120" s="47" t="s">
        <v>181</v>
      </c>
      <c r="AJ120" s="47" t="s">
        <v>102</v>
      </c>
      <c r="AK120" s="47"/>
      <c r="AL120" s="47" t="s">
        <v>63</v>
      </c>
      <c r="AM120" s="47" t="s">
        <v>70</v>
      </c>
      <c r="AN120" s="47" t="s">
        <v>76</v>
      </c>
      <c r="AO120" s="48">
        <v>42356</v>
      </c>
      <c r="AP120" s="47" t="s">
        <v>64</v>
      </c>
      <c r="AQ120" s="48">
        <v>42354</v>
      </c>
      <c r="AR120" s="47"/>
      <c r="AS120" s="47"/>
      <c r="AT120" s="47"/>
      <c r="AU120" s="47">
        <v>649275173801</v>
      </c>
      <c r="AV120" s="47" t="s">
        <v>77</v>
      </c>
      <c r="AW120" s="47" t="s">
        <v>803</v>
      </c>
    </row>
    <row r="121" spans="1:49" x14ac:dyDescent="0.2">
      <c r="A121" s="47">
        <v>10020154</v>
      </c>
      <c r="B121" s="47">
        <v>560</v>
      </c>
      <c r="C121" s="47" t="s">
        <v>22</v>
      </c>
      <c r="D121" s="47" t="s">
        <v>78</v>
      </c>
      <c r="E121" s="48">
        <v>42354</v>
      </c>
      <c r="F121" s="47">
        <v>93628598</v>
      </c>
      <c r="G121" s="47">
        <v>560</v>
      </c>
      <c r="H121" s="48">
        <v>42352</v>
      </c>
      <c r="I121" s="48">
        <v>42353</v>
      </c>
      <c r="J121" s="47">
        <v>1319184</v>
      </c>
      <c r="K121" s="47" t="s">
        <v>479</v>
      </c>
      <c r="L121" s="47">
        <v>1319184</v>
      </c>
      <c r="M121" s="47" t="s">
        <v>479</v>
      </c>
      <c r="N121" s="47">
        <v>1319184</v>
      </c>
      <c r="O121" s="47" t="s">
        <v>479</v>
      </c>
      <c r="P121" s="47">
        <v>564333</v>
      </c>
      <c r="Q121" s="47"/>
      <c r="R121" s="47"/>
      <c r="S121" s="47">
        <v>45963053830</v>
      </c>
      <c r="T121" s="47" t="s">
        <v>1646</v>
      </c>
      <c r="U121" s="47" t="s">
        <v>1322</v>
      </c>
      <c r="V121" s="47" t="s">
        <v>1647</v>
      </c>
      <c r="W121" s="47" t="s">
        <v>1331</v>
      </c>
      <c r="X121" s="47"/>
      <c r="Y121" s="47">
        <v>240</v>
      </c>
      <c r="Z121" s="47">
        <v>12</v>
      </c>
      <c r="AA121" s="47" t="s">
        <v>1332</v>
      </c>
      <c r="AB121" s="47">
        <v>432</v>
      </c>
      <c r="AC121" s="47" t="s">
        <v>1333</v>
      </c>
      <c r="AD121" s="47">
        <v>1.82</v>
      </c>
      <c r="AE121" s="47" t="s">
        <v>182</v>
      </c>
      <c r="AF121" s="47">
        <v>436.8</v>
      </c>
      <c r="AG121" s="47">
        <v>21.84</v>
      </c>
      <c r="AH121" s="47" t="s">
        <v>182</v>
      </c>
      <c r="AI121" s="47" t="s">
        <v>181</v>
      </c>
      <c r="AJ121" s="47" t="s">
        <v>67</v>
      </c>
      <c r="AK121" s="47"/>
      <c r="AL121" s="47" t="s">
        <v>63</v>
      </c>
      <c r="AM121" s="47"/>
      <c r="AN121" s="47"/>
      <c r="AO121" s="47"/>
      <c r="AP121" s="47" t="s">
        <v>64</v>
      </c>
      <c r="AQ121" s="48">
        <v>42354</v>
      </c>
      <c r="AR121" s="47"/>
      <c r="AS121" s="47"/>
      <c r="AT121" s="47"/>
      <c r="AU121" s="47">
        <v>3511801650</v>
      </c>
      <c r="AV121" s="47"/>
      <c r="AW121" s="47"/>
    </row>
    <row r="122" spans="1:49" x14ac:dyDescent="0.2">
      <c r="A122" s="47">
        <v>10020154</v>
      </c>
      <c r="B122" s="47">
        <v>650</v>
      </c>
      <c r="C122" s="47" t="s">
        <v>22</v>
      </c>
      <c r="D122" s="47" t="s">
        <v>78</v>
      </c>
      <c r="E122" s="48">
        <v>42354</v>
      </c>
      <c r="F122" s="47">
        <v>93628598</v>
      </c>
      <c r="G122" s="47">
        <v>650</v>
      </c>
      <c r="H122" s="48">
        <v>42352</v>
      </c>
      <c r="I122" s="48">
        <v>42353</v>
      </c>
      <c r="J122" s="47">
        <v>1319184</v>
      </c>
      <c r="K122" s="47" t="s">
        <v>479</v>
      </c>
      <c r="L122" s="47">
        <v>1319184</v>
      </c>
      <c r="M122" s="47" t="s">
        <v>479</v>
      </c>
      <c r="N122" s="47">
        <v>1319184</v>
      </c>
      <c r="O122" s="47" t="s">
        <v>479</v>
      </c>
      <c r="P122" s="47">
        <v>564333</v>
      </c>
      <c r="Q122" s="47"/>
      <c r="R122" s="47"/>
      <c r="S122" s="47">
        <v>228291809</v>
      </c>
      <c r="T122" s="47" t="s">
        <v>1648</v>
      </c>
      <c r="U122" s="47" t="s">
        <v>1322</v>
      </c>
      <c r="V122" s="47" t="s">
        <v>1649</v>
      </c>
      <c r="W122" s="47" t="s">
        <v>1331</v>
      </c>
      <c r="X122" s="47" t="s">
        <v>1650</v>
      </c>
      <c r="Y122" s="47">
        <v>24</v>
      </c>
      <c r="Z122" s="47">
        <v>12</v>
      </c>
      <c r="AA122" s="47" t="s">
        <v>1332</v>
      </c>
      <c r="AB122" s="47">
        <v>12</v>
      </c>
      <c r="AC122" s="47" t="s">
        <v>1333</v>
      </c>
      <c r="AD122" s="47">
        <v>296.08</v>
      </c>
      <c r="AE122" s="47" t="s">
        <v>182</v>
      </c>
      <c r="AF122" s="49">
        <v>7105.92</v>
      </c>
      <c r="AG122" s="49">
        <v>3552.96</v>
      </c>
      <c r="AH122" s="47" t="s">
        <v>182</v>
      </c>
      <c r="AI122" s="47" t="s">
        <v>181</v>
      </c>
      <c r="AJ122" s="47" t="s">
        <v>67</v>
      </c>
      <c r="AK122" s="47"/>
      <c r="AL122" s="47" t="s">
        <v>63</v>
      </c>
      <c r="AM122" s="47"/>
      <c r="AN122" s="47"/>
      <c r="AO122" s="47"/>
      <c r="AP122" s="47" t="s">
        <v>64</v>
      </c>
      <c r="AQ122" s="48">
        <v>42354</v>
      </c>
      <c r="AR122" s="47"/>
      <c r="AS122" s="47"/>
      <c r="AT122" s="47"/>
      <c r="AU122" s="47">
        <v>3511801650</v>
      </c>
      <c r="AV122" s="47"/>
      <c r="AW122" s="47"/>
    </row>
    <row r="123" spans="1:49" x14ac:dyDescent="0.2">
      <c r="A123" s="47">
        <v>10020156</v>
      </c>
      <c r="B123" s="47">
        <v>90</v>
      </c>
      <c r="C123" s="47" t="s">
        <v>26</v>
      </c>
      <c r="D123" s="47" t="s">
        <v>573</v>
      </c>
      <c r="E123" s="48">
        <v>42354</v>
      </c>
      <c r="F123" s="47">
        <v>93626212</v>
      </c>
      <c r="G123" s="47">
        <v>90</v>
      </c>
      <c r="H123" s="48">
        <v>42349</v>
      </c>
      <c r="I123" s="47"/>
      <c r="J123" s="47">
        <v>1201120</v>
      </c>
      <c r="K123" s="47" t="s">
        <v>117</v>
      </c>
      <c r="L123" s="47">
        <v>1307782</v>
      </c>
      <c r="M123" s="47" t="s">
        <v>119</v>
      </c>
      <c r="N123" s="47">
        <v>1171090</v>
      </c>
      <c r="O123" s="47" t="s">
        <v>118</v>
      </c>
      <c r="P123" s="47" t="s">
        <v>1577</v>
      </c>
      <c r="Q123" s="47"/>
      <c r="R123" s="47"/>
      <c r="S123" s="47">
        <v>591381730</v>
      </c>
      <c r="T123" s="47" t="s">
        <v>1373</v>
      </c>
      <c r="U123" s="47" t="s">
        <v>1322</v>
      </c>
      <c r="V123" s="47" t="s">
        <v>1358</v>
      </c>
      <c r="W123" s="47" t="s">
        <v>1331</v>
      </c>
      <c r="X123" s="47"/>
      <c r="Y123" s="47">
        <v>13440</v>
      </c>
      <c r="Z123" s="47">
        <v>24</v>
      </c>
      <c r="AA123" s="47" t="s">
        <v>1332</v>
      </c>
      <c r="AB123" s="47">
        <v>24</v>
      </c>
      <c r="AC123" s="47" t="s">
        <v>1333</v>
      </c>
      <c r="AD123" s="47">
        <v>12</v>
      </c>
      <c r="AE123" s="47" t="s">
        <v>182</v>
      </c>
      <c r="AF123" s="49">
        <v>161280</v>
      </c>
      <c r="AG123" s="47">
        <v>288</v>
      </c>
      <c r="AH123" s="47" t="s">
        <v>182</v>
      </c>
      <c r="AI123" s="47" t="s">
        <v>181</v>
      </c>
      <c r="AJ123" s="47" t="s">
        <v>91</v>
      </c>
      <c r="AK123" s="47"/>
      <c r="AL123" s="47" t="s">
        <v>63</v>
      </c>
      <c r="AM123" s="47"/>
      <c r="AN123" s="47"/>
      <c r="AO123" s="47"/>
      <c r="AP123" s="47" t="s">
        <v>64</v>
      </c>
      <c r="AQ123" s="48">
        <v>42354</v>
      </c>
      <c r="AR123" s="47"/>
      <c r="AS123" s="47"/>
      <c r="AT123" s="47"/>
      <c r="AU123" s="47" t="s">
        <v>1578</v>
      </c>
      <c r="AV123" s="47"/>
      <c r="AW123" s="47"/>
    </row>
    <row r="124" spans="1:49" x14ac:dyDescent="0.2">
      <c r="A124" s="47">
        <v>10020157</v>
      </c>
      <c r="B124" s="47">
        <v>10</v>
      </c>
      <c r="C124" s="47" t="s">
        <v>21</v>
      </c>
      <c r="D124" s="47" t="s">
        <v>575</v>
      </c>
      <c r="E124" s="48">
        <v>42354</v>
      </c>
      <c r="F124" s="47">
        <v>93546352</v>
      </c>
      <c r="G124" s="47">
        <v>10</v>
      </c>
      <c r="H124" s="48">
        <v>42282</v>
      </c>
      <c r="I124" s="48">
        <v>42284</v>
      </c>
      <c r="J124" s="47">
        <v>1201399</v>
      </c>
      <c r="K124" s="47" t="s">
        <v>144</v>
      </c>
      <c r="L124" s="47">
        <v>1170569</v>
      </c>
      <c r="M124" s="47" t="s">
        <v>350</v>
      </c>
      <c r="N124" s="47">
        <v>1201086</v>
      </c>
      <c r="O124" s="47" t="s">
        <v>116</v>
      </c>
      <c r="P124" s="47" t="s">
        <v>1651</v>
      </c>
      <c r="Q124" s="47"/>
      <c r="R124" s="47"/>
      <c r="S124" s="47">
        <v>591040810</v>
      </c>
      <c r="T124" s="47" t="s">
        <v>1652</v>
      </c>
      <c r="U124" s="47" t="s">
        <v>1322</v>
      </c>
      <c r="V124" s="47" t="s">
        <v>1507</v>
      </c>
      <c r="W124" s="47" t="s">
        <v>1331</v>
      </c>
      <c r="X124" s="47" t="s">
        <v>1653</v>
      </c>
      <c r="Y124" s="47">
        <v>750</v>
      </c>
      <c r="Z124" s="47">
        <v>750</v>
      </c>
      <c r="AA124" s="47" t="s">
        <v>1324</v>
      </c>
      <c r="AB124" s="47">
        <v>12</v>
      </c>
      <c r="AC124" s="47" t="s">
        <v>1325</v>
      </c>
      <c r="AD124" s="47">
        <v>64.47</v>
      </c>
      <c r="AE124" s="47" t="s">
        <v>182</v>
      </c>
      <c r="AF124" s="49">
        <v>48352.5</v>
      </c>
      <c r="AG124" s="49">
        <v>48352.5</v>
      </c>
      <c r="AH124" s="47" t="s">
        <v>182</v>
      </c>
      <c r="AI124" s="47" t="s">
        <v>181</v>
      </c>
      <c r="AJ124" s="47" t="s">
        <v>67</v>
      </c>
      <c r="AK124" s="47"/>
      <c r="AL124" s="47" t="s">
        <v>63</v>
      </c>
      <c r="AM124" s="47" t="s">
        <v>104</v>
      </c>
      <c r="AN124" s="47" t="s">
        <v>71</v>
      </c>
      <c r="AO124" s="48">
        <v>42375</v>
      </c>
      <c r="AP124" s="47" t="s">
        <v>64</v>
      </c>
      <c r="AQ124" s="48">
        <v>42354</v>
      </c>
      <c r="AR124" s="47"/>
      <c r="AS124" s="47"/>
      <c r="AT124" s="47"/>
      <c r="AU124" s="47">
        <v>3527001181</v>
      </c>
      <c r="AV124" s="47" t="s">
        <v>352</v>
      </c>
      <c r="AW124" s="47" t="s">
        <v>1654</v>
      </c>
    </row>
    <row r="125" spans="1:49" x14ac:dyDescent="0.2">
      <c r="A125" s="47">
        <v>10020158</v>
      </c>
      <c r="B125" s="47">
        <v>60</v>
      </c>
      <c r="C125" s="47" t="s">
        <v>18</v>
      </c>
      <c r="D125" s="47" t="s">
        <v>573</v>
      </c>
      <c r="E125" s="48">
        <v>42354</v>
      </c>
      <c r="F125" s="47">
        <v>93624265</v>
      </c>
      <c r="G125" s="47">
        <v>60</v>
      </c>
      <c r="H125" s="48">
        <v>42348</v>
      </c>
      <c r="I125" s="48">
        <v>42352</v>
      </c>
      <c r="J125" s="47">
        <v>1201047</v>
      </c>
      <c r="K125" s="47" t="s">
        <v>79</v>
      </c>
      <c r="L125" s="47">
        <v>1340974</v>
      </c>
      <c r="M125" s="47" t="s">
        <v>93</v>
      </c>
      <c r="N125" s="47">
        <v>1171089</v>
      </c>
      <c r="O125" s="47" t="s">
        <v>75</v>
      </c>
      <c r="P125" s="47">
        <v>87103137</v>
      </c>
      <c r="Q125" s="47"/>
      <c r="R125" s="47"/>
      <c r="S125" s="47">
        <v>456120130</v>
      </c>
      <c r="T125" s="47" t="s">
        <v>1455</v>
      </c>
      <c r="U125" s="47" t="s">
        <v>1381</v>
      </c>
      <c r="V125" s="47" t="s">
        <v>1456</v>
      </c>
      <c r="W125" s="47" t="s">
        <v>1331</v>
      </c>
      <c r="X125" s="47"/>
      <c r="Y125" s="47">
        <v>16848</v>
      </c>
      <c r="Z125" s="47">
        <v>2</v>
      </c>
      <c r="AA125" s="47" t="s">
        <v>1332</v>
      </c>
      <c r="AB125" s="47">
        <v>144</v>
      </c>
      <c r="AC125" s="47" t="s">
        <v>1333</v>
      </c>
      <c r="AD125" s="47">
        <v>304.54000000000002</v>
      </c>
      <c r="AE125" s="47" t="s">
        <v>182</v>
      </c>
      <c r="AF125" s="49">
        <v>5130889.92</v>
      </c>
      <c r="AG125" s="47">
        <v>609.08000000000004</v>
      </c>
      <c r="AH125" s="47" t="s">
        <v>182</v>
      </c>
      <c r="AI125" s="47" t="s">
        <v>181</v>
      </c>
      <c r="AJ125" s="47" t="s">
        <v>67</v>
      </c>
      <c r="AK125" s="47"/>
      <c r="AL125" s="47" t="s">
        <v>63</v>
      </c>
      <c r="AM125" s="47" t="s">
        <v>70</v>
      </c>
      <c r="AN125" s="47" t="s">
        <v>76</v>
      </c>
      <c r="AO125" s="48">
        <v>42356</v>
      </c>
      <c r="AP125" s="47" t="s">
        <v>64</v>
      </c>
      <c r="AQ125" s="48">
        <v>42354</v>
      </c>
      <c r="AR125" s="47"/>
      <c r="AS125" s="47"/>
      <c r="AT125" s="47"/>
      <c r="AU125" s="47">
        <v>3511801484</v>
      </c>
      <c r="AV125" s="47" t="s">
        <v>77</v>
      </c>
      <c r="AW125" s="47" t="s">
        <v>211</v>
      </c>
    </row>
    <row r="126" spans="1:49" x14ac:dyDescent="0.2">
      <c r="A126" s="47">
        <v>10020159</v>
      </c>
      <c r="B126" s="47">
        <v>10</v>
      </c>
      <c r="C126" s="47" t="s">
        <v>21</v>
      </c>
      <c r="D126" s="47" t="s">
        <v>575</v>
      </c>
      <c r="E126" s="48">
        <v>42354</v>
      </c>
      <c r="F126" s="47"/>
      <c r="G126" s="47">
        <v>10</v>
      </c>
      <c r="H126" s="47"/>
      <c r="I126" s="47"/>
      <c r="J126" s="47">
        <v>1201399</v>
      </c>
      <c r="K126" s="47" t="s">
        <v>144</v>
      </c>
      <c r="L126" s="47">
        <v>1170569</v>
      </c>
      <c r="M126" s="47" t="s">
        <v>350</v>
      </c>
      <c r="N126" s="47">
        <v>1171970</v>
      </c>
      <c r="O126" s="47" t="s">
        <v>144</v>
      </c>
      <c r="P126" s="47" t="s">
        <v>1651</v>
      </c>
      <c r="Q126" s="47"/>
      <c r="R126" s="47"/>
      <c r="S126" s="47">
        <v>591040810</v>
      </c>
      <c r="T126" s="47" t="s">
        <v>1652</v>
      </c>
      <c r="U126" s="47" t="s">
        <v>1322</v>
      </c>
      <c r="V126" s="47" t="s">
        <v>1507</v>
      </c>
      <c r="W126" s="47" t="s">
        <v>1331</v>
      </c>
      <c r="X126" s="47" t="s">
        <v>1653</v>
      </c>
      <c r="Y126" s="47">
        <v>0</v>
      </c>
      <c r="Z126" s="47">
        <v>750</v>
      </c>
      <c r="AA126" s="47" t="s">
        <v>1324</v>
      </c>
      <c r="AB126" s="47">
        <v>12</v>
      </c>
      <c r="AC126" s="47" t="s">
        <v>1325</v>
      </c>
      <c r="AD126" s="47">
        <v>0</v>
      </c>
      <c r="AE126" s="47" t="s">
        <v>182</v>
      </c>
      <c r="AF126" s="47">
        <v>0</v>
      </c>
      <c r="AG126" s="47">
        <v>0</v>
      </c>
      <c r="AH126" s="47" t="s">
        <v>182</v>
      </c>
      <c r="AI126" s="47" t="s">
        <v>181</v>
      </c>
      <c r="AJ126" s="47"/>
      <c r="AK126" s="47"/>
      <c r="AL126" s="47" t="s">
        <v>63</v>
      </c>
      <c r="AM126" s="47"/>
      <c r="AN126" s="47"/>
      <c r="AO126" s="47"/>
      <c r="AP126" s="47" t="s">
        <v>64</v>
      </c>
      <c r="AQ126" s="48">
        <v>42354</v>
      </c>
      <c r="AR126" s="47"/>
      <c r="AS126" s="47"/>
      <c r="AT126" s="47"/>
      <c r="AU126" s="47"/>
      <c r="AV126" s="47"/>
      <c r="AW126" s="47"/>
    </row>
    <row r="127" spans="1:49" x14ac:dyDescent="0.2">
      <c r="A127" s="47">
        <v>10020160</v>
      </c>
      <c r="B127" s="47">
        <v>30</v>
      </c>
      <c r="C127" s="47" t="s">
        <v>22</v>
      </c>
      <c r="D127" s="47" t="s">
        <v>78</v>
      </c>
      <c r="E127" s="48">
        <v>42354</v>
      </c>
      <c r="F127" s="47">
        <v>93627214</v>
      </c>
      <c r="G127" s="47">
        <v>30</v>
      </c>
      <c r="H127" s="48">
        <v>42350</v>
      </c>
      <c r="I127" s="47"/>
      <c r="J127" s="47">
        <v>1201315</v>
      </c>
      <c r="K127" s="47" t="s">
        <v>256</v>
      </c>
      <c r="L127" s="47">
        <v>1319381</v>
      </c>
      <c r="M127" s="47" t="s">
        <v>256</v>
      </c>
      <c r="N127" s="47">
        <v>1201315</v>
      </c>
      <c r="O127" s="47" t="s">
        <v>256</v>
      </c>
      <c r="P127" s="47">
        <v>5675689</v>
      </c>
      <c r="Q127" s="47"/>
      <c r="R127" s="47"/>
      <c r="S127" s="47">
        <v>61874007560</v>
      </c>
      <c r="T127" s="47" t="s">
        <v>1655</v>
      </c>
      <c r="U127" s="47" t="s">
        <v>1381</v>
      </c>
      <c r="V127" s="47" t="s">
        <v>1656</v>
      </c>
      <c r="W127" s="47">
        <v>4</v>
      </c>
      <c r="X127" s="47">
        <v>3139283</v>
      </c>
      <c r="Y127" s="47">
        <v>24</v>
      </c>
      <c r="Z127" s="47">
        <v>24</v>
      </c>
      <c r="AA127" s="47" t="s">
        <v>1332</v>
      </c>
      <c r="AB127" s="47">
        <v>24</v>
      </c>
      <c r="AC127" s="47" t="s">
        <v>1333</v>
      </c>
      <c r="AD127" s="47">
        <v>936</v>
      </c>
      <c r="AE127" s="47" t="s">
        <v>182</v>
      </c>
      <c r="AF127" s="49">
        <v>22464</v>
      </c>
      <c r="AG127" s="49">
        <v>22464</v>
      </c>
      <c r="AH127" s="47" t="s">
        <v>182</v>
      </c>
      <c r="AI127" s="47" t="s">
        <v>181</v>
      </c>
      <c r="AJ127" s="47" t="s">
        <v>102</v>
      </c>
      <c r="AK127" s="47"/>
      <c r="AL127" s="47" t="s">
        <v>63</v>
      </c>
      <c r="AM127" s="47"/>
      <c r="AN127" s="47"/>
      <c r="AO127" s="47"/>
      <c r="AP127" s="47" t="s">
        <v>64</v>
      </c>
      <c r="AQ127" s="48">
        <v>42354</v>
      </c>
      <c r="AR127" s="47"/>
      <c r="AS127" s="47"/>
      <c r="AT127" s="47"/>
      <c r="AU127" s="47">
        <v>649275173797</v>
      </c>
      <c r="AV127" s="47"/>
      <c r="AW127" s="47"/>
    </row>
    <row r="128" spans="1:49" x14ac:dyDescent="0.2">
      <c r="A128" s="47">
        <v>10020161</v>
      </c>
      <c r="B128" s="47">
        <v>30</v>
      </c>
      <c r="C128" s="47" t="s">
        <v>22</v>
      </c>
      <c r="D128" s="47" t="s">
        <v>78</v>
      </c>
      <c r="E128" s="48">
        <v>42354</v>
      </c>
      <c r="F128" s="47">
        <v>93627215</v>
      </c>
      <c r="G128" s="47">
        <v>30</v>
      </c>
      <c r="H128" s="48">
        <v>42350</v>
      </c>
      <c r="I128" s="47"/>
      <c r="J128" s="47">
        <v>1201315</v>
      </c>
      <c r="K128" s="47" t="s">
        <v>256</v>
      </c>
      <c r="L128" s="47">
        <v>1319929</v>
      </c>
      <c r="M128" s="47" t="s">
        <v>558</v>
      </c>
      <c r="N128" s="47">
        <v>1201315</v>
      </c>
      <c r="O128" s="47" t="s">
        <v>256</v>
      </c>
      <c r="P128" s="47">
        <v>5675693</v>
      </c>
      <c r="Q128" s="47"/>
      <c r="R128" s="47"/>
      <c r="S128" s="47">
        <v>61874007560</v>
      </c>
      <c r="T128" s="47" t="s">
        <v>1655</v>
      </c>
      <c r="U128" s="47" t="s">
        <v>1381</v>
      </c>
      <c r="V128" s="47" t="s">
        <v>1656</v>
      </c>
      <c r="W128" s="47">
        <v>4</v>
      </c>
      <c r="X128" s="47">
        <v>3139283</v>
      </c>
      <c r="Y128" s="47">
        <v>24</v>
      </c>
      <c r="Z128" s="47">
        <v>24</v>
      </c>
      <c r="AA128" s="47" t="s">
        <v>1332</v>
      </c>
      <c r="AB128" s="47">
        <v>24</v>
      </c>
      <c r="AC128" s="47" t="s">
        <v>1333</v>
      </c>
      <c r="AD128" s="47">
        <v>936</v>
      </c>
      <c r="AE128" s="47" t="s">
        <v>182</v>
      </c>
      <c r="AF128" s="49">
        <v>22464</v>
      </c>
      <c r="AG128" s="49">
        <v>22464</v>
      </c>
      <c r="AH128" s="47" t="s">
        <v>182</v>
      </c>
      <c r="AI128" s="47" t="s">
        <v>181</v>
      </c>
      <c r="AJ128" s="47" t="s">
        <v>102</v>
      </c>
      <c r="AK128" s="47"/>
      <c r="AL128" s="47" t="s">
        <v>63</v>
      </c>
      <c r="AM128" s="47"/>
      <c r="AN128" s="47"/>
      <c r="AO128" s="47"/>
      <c r="AP128" s="47" t="s">
        <v>64</v>
      </c>
      <c r="AQ128" s="48">
        <v>42354</v>
      </c>
      <c r="AR128" s="47"/>
      <c r="AS128" s="47"/>
      <c r="AT128" s="47"/>
      <c r="AU128" s="47">
        <v>649275173812</v>
      </c>
      <c r="AV128" s="47"/>
      <c r="AW128" s="47"/>
    </row>
    <row r="129" spans="1:49" x14ac:dyDescent="0.2">
      <c r="A129" s="47">
        <v>10020162</v>
      </c>
      <c r="B129" s="47">
        <v>30</v>
      </c>
      <c r="C129" s="47" t="s">
        <v>22</v>
      </c>
      <c r="D129" s="47" t="s">
        <v>78</v>
      </c>
      <c r="E129" s="48">
        <v>42354</v>
      </c>
      <c r="F129" s="47">
        <v>93627216</v>
      </c>
      <c r="G129" s="47">
        <v>30</v>
      </c>
      <c r="H129" s="48">
        <v>42350</v>
      </c>
      <c r="I129" s="47"/>
      <c r="J129" s="47">
        <v>1201315</v>
      </c>
      <c r="K129" s="47" t="s">
        <v>256</v>
      </c>
      <c r="L129" s="47">
        <v>1321854</v>
      </c>
      <c r="M129" s="47" t="s">
        <v>256</v>
      </c>
      <c r="N129" s="47">
        <v>1201315</v>
      </c>
      <c r="O129" s="47" t="s">
        <v>256</v>
      </c>
      <c r="P129" s="47">
        <v>5675694</v>
      </c>
      <c r="Q129" s="47"/>
      <c r="R129" s="47"/>
      <c r="S129" s="47">
        <v>61874007560</v>
      </c>
      <c r="T129" s="47" t="s">
        <v>1655</v>
      </c>
      <c r="U129" s="47" t="s">
        <v>1381</v>
      </c>
      <c r="V129" s="47" t="s">
        <v>1656</v>
      </c>
      <c r="W129" s="47">
        <v>4</v>
      </c>
      <c r="X129" s="47">
        <v>3139283</v>
      </c>
      <c r="Y129" s="47">
        <v>24</v>
      </c>
      <c r="Z129" s="47">
        <v>24</v>
      </c>
      <c r="AA129" s="47" t="s">
        <v>1332</v>
      </c>
      <c r="AB129" s="47">
        <v>24</v>
      </c>
      <c r="AC129" s="47" t="s">
        <v>1333</v>
      </c>
      <c r="AD129" s="47">
        <v>936</v>
      </c>
      <c r="AE129" s="47" t="s">
        <v>182</v>
      </c>
      <c r="AF129" s="49">
        <v>22464</v>
      </c>
      <c r="AG129" s="49">
        <v>22464</v>
      </c>
      <c r="AH129" s="47" t="s">
        <v>182</v>
      </c>
      <c r="AI129" s="47" t="s">
        <v>181</v>
      </c>
      <c r="AJ129" s="47" t="s">
        <v>102</v>
      </c>
      <c r="AK129" s="47"/>
      <c r="AL129" s="47" t="s">
        <v>63</v>
      </c>
      <c r="AM129" s="47"/>
      <c r="AN129" s="47"/>
      <c r="AO129" s="47"/>
      <c r="AP129" s="47" t="s">
        <v>64</v>
      </c>
      <c r="AQ129" s="48">
        <v>42354</v>
      </c>
      <c r="AR129" s="47"/>
      <c r="AS129" s="47"/>
      <c r="AT129" s="47"/>
      <c r="AU129" s="47">
        <v>649275173775</v>
      </c>
      <c r="AV129" s="47"/>
      <c r="AW129" s="47"/>
    </row>
    <row r="130" spans="1:49" x14ac:dyDescent="0.2">
      <c r="A130" s="47">
        <v>10020163</v>
      </c>
      <c r="B130" s="47">
        <v>30</v>
      </c>
      <c r="C130" s="47" t="s">
        <v>22</v>
      </c>
      <c r="D130" s="47" t="s">
        <v>78</v>
      </c>
      <c r="E130" s="48">
        <v>42354</v>
      </c>
      <c r="F130" s="47">
        <v>93627217</v>
      </c>
      <c r="G130" s="47">
        <v>30</v>
      </c>
      <c r="H130" s="48">
        <v>42350</v>
      </c>
      <c r="I130" s="47"/>
      <c r="J130" s="47">
        <v>1201315</v>
      </c>
      <c r="K130" s="47" t="s">
        <v>256</v>
      </c>
      <c r="L130" s="47">
        <v>1317763</v>
      </c>
      <c r="M130" s="47" t="s">
        <v>256</v>
      </c>
      <c r="N130" s="47">
        <v>1201315</v>
      </c>
      <c r="O130" s="47" t="s">
        <v>256</v>
      </c>
      <c r="P130" s="47">
        <v>5675696</v>
      </c>
      <c r="Q130" s="47"/>
      <c r="R130" s="47"/>
      <c r="S130" s="47">
        <v>61874007560</v>
      </c>
      <c r="T130" s="47" t="s">
        <v>1655</v>
      </c>
      <c r="U130" s="47" t="s">
        <v>1381</v>
      </c>
      <c r="V130" s="47" t="s">
        <v>1656</v>
      </c>
      <c r="W130" s="47">
        <v>4</v>
      </c>
      <c r="X130" s="47">
        <v>3139283</v>
      </c>
      <c r="Y130" s="47">
        <v>24</v>
      </c>
      <c r="Z130" s="47">
        <v>24</v>
      </c>
      <c r="AA130" s="47" t="s">
        <v>1332</v>
      </c>
      <c r="AB130" s="47">
        <v>24</v>
      </c>
      <c r="AC130" s="47" t="s">
        <v>1333</v>
      </c>
      <c r="AD130" s="47">
        <v>936</v>
      </c>
      <c r="AE130" s="47" t="s">
        <v>182</v>
      </c>
      <c r="AF130" s="49">
        <v>22464</v>
      </c>
      <c r="AG130" s="49">
        <v>22464</v>
      </c>
      <c r="AH130" s="47" t="s">
        <v>182</v>
      </c>
      <c r="AI130" s="47" t="s">
        <v>181</v>
      </c>
      <c r="AJ130" s="47" t="s">
        <v>102</v>
      </c>
      <c r="AK130" s="47"/>
      <c r="AL130" s="47" t="s">
        <v>63</v>
      </c>
      <c r="AM130" s="47"/>
      <c r="AN130" s="47"/>
      <c r="AO130" s="47"/>
      <c r="AP130" s="47" t="s">
        <v>64</v>
      </c>
      <c r="AQ130" s="48">
        <v>42354</v>
      </c>
      <c r="AR130" s="47"/>
      <c r="AS130" s="47"/>
      <c r="AT130" s="47"/>
      <c r="AU130" s="47">
        <v>649275173764</v>
      </c>
      <c r="AV130" s="47"/>
      <c r="AW130" s="47"/>
    </row>
    <row r="131" spans="1:49" x14ac:dyDescent="0.2">
      <c r="A131" s="47">
        <v>10020164</v>
      </c>
      <c r="B131" s="47">
        <v>30</v>
      </c>
      <c r="C131" s="47" t="s">
        <v>22</v>
      </c>
      <c r="D131" s="47" t="s">
        <v>78</v>
      </c>
      <c r="E131" s="48">
        <v>42354</v>
      </c>
      <c r="F131" s="47">
        <v>93627218</v>
      </c>
      <c r="G131" s="47">
        <v>30</v>
      </c>
      <c r="H131" s="48">
        <v>42350</v>
      </c>
      <c r="I131" s="47"/>
      <c r="J131" s="47">
        <v>1201315</v>
      </c>
      <c r="K131" s="47" t="s">
        <v>256</v>
      </c>
      <c r="L131" s="47">
        <v>1319408</v>
      </c>
      <c r="M131" s="47" t="s">
        <v>256</v>
      </c>
      <c r="N131" s="47">
        <v>1201315</v>
      </c>
      <c r="O131" s="47" t="s">
        <v>256</v>
      </c>
      <c r="P131" s="47">
        <v>5675698</v>
      </c>
      <c r="Q131" s="47"/>
      <c r="R131" s="47"/>
      <c r="S131" s="47">
        <v>61874007560</v>
      </c>
      <c r="T131" s="47" t="s">
        <v>1655</v>
      </c>
      <c r="U131" s="47" t="s">
        <v>1381</v>
      </c>
      <c r="V131" s="47" t="s">
        <v>1656</v>
      </c>
      <c r="W131" s="47">
        <v>4</v>
      </c>
      <c r="X131" s="47">
        <v>3139283</v>
      </c>
      <c r="Y131" s="47">
        <v>24</v>
      </c>
      <c r="Z131" s="47">
        <v>24</v>
      </c>
      <c r="AA131" s="47" t="s">
        <v>1332</v>
      </c>
      <c r="AB131" s="47">
        <v>24</v>
      </c>
      <c r="AC131" s="47" t="s">
        <v>1333</v>
      </c>
      <c r="AD131" s="47">
        <v>936</v>
      </c>
      <c r="AE131" s="47" t="s">
        <v>182</v>
      </c>
      <c r="AF131" s="49">
        <v>22464</v>
      </c>
      <c r="AG131" s="49">
        <v>22464</v>
      </c>
      <c r="AH131" s="47" t="s">
        <v>182</v>
      </c>
      <c r="AI131" s="47" t="s">
        <v>181</v>
      </c>
      <c r="AJ131" s="47" t="s">
        <v>102</v>
      </c>
      <c r="AK131" s="47"/>
      <c r="AL131" s="47" t="s">
        <v>63</v>
      </c>
      <c r="AM131" s="47"/>
      <c r="AN131" s="47"/>
      <c r="AO131" s="47"/>
      <c r="AP131" s="47" t="s">
        <v>64</v>
      </c>
      <c r="AQ131" s="48">
        <v>42354</v>
      </c>
      <c r="AR131" s="47"/>
      <c r="AS131" s="47"/>
      <c r="AT131" s="47"/>
      <c r="AU131" s="47">
        <v>649275173845</v>
      </c>
      <c r="AV131" s="47"/>
      <c r="AW131" s="47"/>
    </row>
    <row r="132" spans="1:49" x14ac:dyDescent="0.2">
      <c r="A132" s="47">
        <v>10020165</v>
      </c>
      <c r="B132" s="47">
        <v>220</v>
      </c>
      <c r="C132" s="47" t="s">
        <v>18</v>
      </c>
      <c r="D132" s="47" t="s">
        <v>136</v>
      </c>
      <c r="E132" s="48">
        <v>42354</v>
      </c>
      <c r="F132" s="47">
        <v>93628247</v>
      </c>
      <c r="G132" s="47">
        <v>220</v>
      </c>
      <c r="H132" s="48">
        <v>42352</v>
      </c>
      <c r="I132" s="47"/>
      <c r="J132" s="47">
        <v>1201120</v>
      </c>
      <c r="K132" s="47" t="s">
        <v>117</v>
      </c>
      <c r="L132" s="47">
        <v>1307782</v>
      </c>
      <c r="M132" s="47" t="s">
        <v>119</v>
      </c>
      <c r="N132" s="47">
        <v>1171090</v>
      </c>
      <c r="O132" s="47" t="s">
        <v>118</v>
      </c>
      <c r="P132" s="47" t="s">
        <v>1657</v>
      </c>
      <c r="Q132" s="47"/>
      <c r="R132" s="47"/>
      <c r="S132" s="47">
        <v>430054050</v>
      </c>
      <c r="T132" s="47" t="s">
        <v>1449</v>
      </c>
      <c r="U132" s="47" t="s">
        <v>1450</v>
      </c>
      <c r="V132" s="47" t="s">
        <v>1451</v>
      </c>
      <c r="W132" s="47" t="s">
        <v>1331</v>
      </c>
      <c r="X132" s="47"/>
      <c r="Y132" s="47">
        <v>24737</v>
      </c>
      <c r="Z132" s="47">
        <v>56</v>
      </c>
      <c r="AA132" s="47" t="s">
        <v>1332</v>
      </c>
      <c r="AB132" s="47">
        <v>72</v>
      </c>
      <c r="AC132" s="47" t="s">
        <v>1333</v>
      </c>
      <c r="AD132" s="47">
        <v>645.45000000000005</v>
      </c>
      <c r="AE132" s="47" t="s">
        <v>182</v>
      </c>
      <c r="AF132" s="49">
        <v>15966496.65</v>
      </c>
      <c r="AG132" s="49">
        <v>36145.199999999997</v>
      </c>
      <c r="AH132" s="47" t="s">
        <v>182</v>
      </c>
      <c r="AI132" s="47" t="s">
        <v>181</v>
      </c>
      <c r="AJ132" s="47" t="s">
        <v>123</v>
      </c>
      <c r="AK132" s="47"/>
      <c r="AL132" s="47" t="s">
        <v>63</v>
      </c>
      <c r="AM132" s="47" t="s">
        <v>70</v>
      </c>
      <c r="AN132" s="47" t="s">
        <v>76</v>
      </c>
      <c r="AO132" s="48">
        <v>42356</v>
      </c>
      <c r="AP132" s="47" t="s">
        <v>83</v>
      </c>
      <c r="AQ132" s="48">
        <v>42366</v>
      </c>
      <c r="AR132" s="47"/>
      <c r="AS132" s="47"/>
      <c r="AT132" s="47"/>
      <c r="AU132" s="47" t="s">
        <v>1658</v>
      </c>
      <c r="AV132" s="47" t="s">
        <v>77</v>
      </c>
      <c r="AW132" s="47" t="s">
        <v>1659</v>
      </c>
    </row>
    <row r="133" spans="1:49" x14ac:dyDescent="0.2">
      <c r="A133" s="47">
        <v>10020166</v>
      </c>
      <c r="B133" s="47">
        <v>820</v>
      </c>
      <c r="C133" s="47" t="s">
        <v>18</v>
      </c>
      <c r="D133" s="47" t="s">
        <v>432</v>
      </c>
      <c r="E133" s="48">
        <v>42355</v>
      </c>
      <c r="F133" s="47">
        <v>93624418</v>
      </c>
      <c r="G133" s="47">
        <v>820</v>
      </c>
      <c r="H133" s="48">
        <v>42348</v>
      </c>
      <c r="I133" s="47"/>
      <c r="J133" s="47">
        <v>1201399</v>
      </c>
      <c r="K133" s="47" t="s">
        <v>144</v>
      </c>
      <c r="L133" s="47">
        <v>1334926</v>
      </c>
      <c r="M133" s="47" t="s">
        <v>145</v>
      </c>
      <c r="N133" s="47">
        <v>1171970</v>
      </c>
      <c r="O133" s="47" t="s">
        <v>144</v>
      </c>
      <c r="P133" s="47">
        <v>8106680625</v>
      </c>
      <c r="Q133" s="47"/>
      <c r="R133" s="47"/>
      <c r="S133" s="47">
        <v>472390115</v>
      </c>
      <c r="T133" s="47" t="s">
        <v>1660</v>
      </c>
      <c r="U133" s="47" t="s">
        <v>1322</v>
      </c>
      <c r="V133" s="47" t="s">
        <v>1661</v>
      </c>
      <c r="W133" s="47" t="s">
        <v>1331</v>
      </c>
      <c r="X133" s="47">
        <v>66300062</v>
      </c>
      <c r="Y133" s="47">
        <v>792</v>
      </c>
      <c r="Z133" s="47">
        <v>36</v>
      </c>
      <c r="AA133" s="47" t="s">
        <v>1332</v>
      </c>
      <c r="AB133" s="47">
        <v>36</v>
      </c>
      <c r="AC133" s="47" t="s">
        <v>1333</v>
      </c>
      <c r="AD133" s="47">
        <v>36.44</v>
      </c>
      <c r="AE133" s="47" t="s">
        <v>182</v>
      </c>
      <c r="AF133" s="49">
        <v>28860.48</v>
      </c>
      <c r="AG133" s="49">
        <v>1311.84</v>
      </c>
      <c r="AH133" s="47" t="s">
        <v>182</v>
      </c>
      <c r="AI133" s="47" t="s">
        <v>181</v>
      </c>
      <c r="AJ133" s="47" t="s">
        <v>91</v>
      </c>
      <c r="AK133" s="47"/>
      <c r="AL133" s="47" t="s">
        <v>63</v>
      </c>
      <c r="AM133" s="47" t="s">
        <v>70</v>
      </c>
      <c r="AN133" s="47" t="s">
        <v>76</v>
      </c>
      <c r="AO133" s="48">
        <v>42356</v>
      </c>
      <c r="AP133" s="47" t="s">
        <v>64</v>
      </c>
      <c r="AQ133" s="48">
        <v>42355</v>
      </c>
      <c r="AR133" s="47"/>
      <c r="AS133" s="47"/>
      <c r="AT133" s="47"/>
      <c r="AU133" s="47" t="s">
        <v>1662</v>
      </c>
      <c r="AV133" s="47" t="s">
        <v>77</v>
      </c>
      <c r="AW133" s="47" t="s">
        <v>658</v>
      </c>
    </row>
    <row r="134" spans="1:49" x14ac:dyDescent="0.2">
      <c r="A134" s="47">
        <v>10020167</v>
      </c>
      <c r="B134" s="47">
        <v>1070</v>
      </c>
      <c r="C134" s="47" t="s">
        <v>26</v>
      </c>
      <c r="D134" s="47" t="s">
        <v>573</v>
      </c>
      <c r="E134" s="48">
        <v>42355</v>
      </c>
      <c r="F134" s="47">
        <v>93602866</v>
      </c>
      <c r="G134" s="47">
        <v>1070</v>
      </c>
      <c r="H134" s="48">
        <v>42328</v>
      </c>
      <c r="I134" s="48">
        <v>42332</v>
      </c>
      <c r="J134" s="47">
        <v>1201605</v>
      </c>
      <c r="K134" s="47" t="s">
        <v>155</v>
      </c>
      <c r="L134" s="47">
        <v>1023292</v>
      </c>
      <c r="M134" s="47" t="s">
        <v>155</v>
      </c>
      <c r="N134" s="47">
        <v>1172017</v>
      </c>
      <c r="O134" s="47" t="s">
        <v>155</v>
      </c>
      <c r="P134" s="47">
        <v>546912</v>
      </c>
      <c r="Q134" s="47"/>
      <c r="R134" s="47"/>
      <c r="S134" s="47">
        <v>228253910</v>
      </c>
      <c r="T134" s="47" t="s">
        <v>1663</v>
      </c>
      <c r="U134" s="47" t="s">
        <v>1322</v>
      </c>
      <c r="V134" s="47" t="s">
        <v>1664</v>
      </c>
      <c r="W134" s="47" t="s">
        <v>1331</v>
      </c>
      <c r="X134" s="47"/>
      <c r="Y134" s="47">
        <v>156</v>
      </c>
      <c r="Z134" s="47">
        <v>2</v>
      </c>
      <c r="AA134" s="47" t="s">
        <v>1332</v>
      </c>
      <c r="AB134" s="47">
        <v>24</v>
      </c>
      <c r="AC134" s="47" t="s">
        <v>1333</v>
      </c>
      <c r="AD134" s="47">
        <v>29.7</v>
      </c>
      <c r="AE134" s="47" t="s">
        <v>182</v>
      </c>
      <c r="AF134" s="49">
        <v>4633.2</v>
      </c>
      <c r="AG134" s="47">
        <v>59.4</v>
      </c>
      <c r="AH134" s="47" t="s">
        <v>182</v>
      </c>
      <c r="AI134" s="47" t="s">
        <v>181</v>
      </c>
      <c r="AJ134" s="47" t="s">
        <v>67</v>
      </c>
      <c r="AK134" s="47"/>
      <c r="AL134" s="47" t="s">
        <v>63</v>
      </c>
      <c r="AM134" s="47" t="s">
        <v>94</v>
      </c>
      <c r="AN134" s="47" t="s">
        <v>95</v>
      </c>
      <c r="AO134" s="48">
        <v>42356</v>
      </c>
      <c r="AP134" s="47" t="s">
        <v>64</v>
      </c>
      <c r="AQ134" s="48">
        <v>42355</v>
      </c>
      <c r="AR134" s="47"/>
      <c r="AS134" s="47"/>
      <c r="AT134" s="47"/>
      <c r="AU134" s="47">
        <v>3511808996</v>
      </c>
      <c r="AV134" s="47" t="s">
        <v>96</v>
      </c>
      <c r="AW134" s="47" t="s">
        <v>1665</v>
      </c>
    </row>
    <row r="135" spans="1:49" x14ac:dyDescent="0.2">
      <c r="A135" s="47">
        <v>10020168</v>
      </c>
      <c r="B135" s="47">
        <v>10</v>
      </c>
      <c r="C135" s="47" t="s">
        <v>21</v>
      </c>
      <c r="D135" s="47" t="s">
        <v>78</v>
      </c>
      <c r="E135" s="48">
        <v>42355</v>
      </c>
      <c r="F135" s="47"/>
      <c r="G135" s="47">
        <v>10</v>
      </c>
      <c r="H135" s="47"/>
      <c r="I135" s="47"/>
      <c r="J135" s="47">
        <v>1201467</v>
      </c>
      <c r="K135" s="47" t="s">
        <v>146</v>
      </c>
      <c r="L135" s="47">
        <v>1336276</v>
      </c>
      <c r="M135" s="47" t="s">
        <v>293</v>
      </c>
      <c r="N135" s="47">
        <v>1336276</v>
      </c>
      <c r="O135" s="47" t="s">
        <v>293</v>
      </c>
      <c r="P135" s="47">
        <v>2100042638</v>
      </c>
      <c r="Q135" s="47"/>
      <c r="R135" s="47"/>
      <c r="S135" s="47">
        <v>52544093102</v>
      </c>
      <c r="T135" s="47" t="s">
        <v>1666</v>
      </c>
      <c r="U135" s="47" t="s">
        <v>1340</v>
      </c>
      <c r="V135" s="47" t="s">
        <v>1667</v>
      </c>
      <c r="W135" s="47" t="s">
        <v>1331</v>
      </c>
      <c r="X135" s="47"/>
      <c r="Y135" s="47">
        <v>0</v>
      </c>
      <c r="Z135" s="47">
        <v>1248</v>
      </c>
      <c r="AA135" s="47" t="s">
        <v>1621</v>
      </c>
      <c r="AB135" s="47">
        <v>24</v>
      </c>
      <c r="AC135" s="47" t="s">
        <v>1622</v>
      </c>
      <c r="AD135" s="47">
        <v>0</v>
      </c>
      <c r="AE135" s="47" t="s">
        <v>182</v>
      </c>
      <c r="AF135" s="47">
        <v>0</v>
      </c>
      <c r="AG135" s="47">
        <v>0</v>
      </c>
      <c r="AH135" s="47" t="s">
        <v>182</v>
      </c>
      <c r="AI135" s="47" t="s">
        <v>181</v>
      </c>
      <c r="AJ135" s="47"/>
      <c r="AK135" s="47"/>
      <c r="AL135" s="47" t="s">
        <v>63</v>
      </c>
      <c r="AM135" s="47"/>
      <c r="AN135" s="47"/>
      <c r="AO135" s="47"/>
      <c r="AP135" s="47" t="s">
        <v>64</v>
      </c>
      <c r="AQ135" s="48">
        <v>42355</v>
      </c>
      <c r="AR135" s="47"/>
      <c r="AS135" s="47"/>
      <c r="AT135" s="47"/>
      <c r="AU135" s="47"/>
      <c r="AV135" s="47"/>
      <c r="AW135" s="47"/>
    </row>
    <row r="136" spans="1:49" x14ac:dyDescent="0.2">
      <c r="A136" s="47">
        <v>10020168</v>
      </c>
      <c r="B136" s="47">
        <v>20</v>
      </c>
      <c r="C136" s="47" t="s">
        <v>21</v>
      </c>
      <c r="D136" s="47" t="s">
        <v>78</v>
      </c>
      <c r="E136" s="48">
        <v>42355</v>
      </c>
      <c r="F136" s="47"/>
      <c r="G136" s="47">
        <v>20</v>
      </c>
      <c r="H136" s="47"/>
      <c r="I136" s="47"/>
      <c r="J136" s="47">
        <v>1201467</v>
      </c>
      <c r="K136" s="47" t="s">
        <v>146</v>
      </c>
      <c r="L136" s="47">
        <v>1336276</v>
      </c>
      <c r="M136" s="47" t="s">
        <v>293</v>
      </c>
      <c r="N136" s="47">
        <v>1336276</v>
      </c>
      <c r="O136" s="47" t="s">
        <v>293</v>
      </c>
      <c r="P136" s="47">
        <v>2100042638</v>
      </c>
      <c r="Q136" s="47"/>
      <c r="R136" s="47"/>
      <c r="S136" s="47">
        <v>52544018976</v>
      </c>
      <c r="T136" s="47" t="s">
        <v>1668</v>
      </c>
      <c r="U136" s="47" t="s">
        <v>1636</v>
      </c>
      <c r="V136" s="47" t="s">
        <v>1637</v>
      </c>
      <c r="W136" s="47" t="s">
        <v>1331</v>
      </c>
      <c r="X136" s="47"/>
      <c r="Y136" s="47">
        <v>0</v>
      </c>
      <c r="Z136" s="47">
        <v>42</v>
      </c>
      <c r="AA136" s="47" t="s">
        <v>1324</v>
      </c>
      <c r="AB136" s="47">
        <v>50</v>
      </c>
      <c r="AC136" s="47" t="s">
        <v>1325</v>
      </c>
      <c r="AD136" s="47">
        <v>0</v>
      </c>
      <c r="AE136" s="47" t="s">
        <v>182</v>
      </c>
      <c r="AF136" s="47">
        <v>0</v>
      </c>
      <c r="AG136" s="47">
        <v>0</v>
      </c>
      <c r="AH136" s="47" t="s">
        <v>182</v>
      </c>
      <c r="AI136" s="47" t="s">
        <v>181</v>
      </c>
      <c r="AJ136" s="47"/>
      <c r="AK136" s="47"/>
      <c r="AL136" s="47" t="s">
        <v>63</v>
      </c>
      <c r="AM136" s="47"/>
      <c r="AN136" s="47"/>
      <c r="AO136" s="47"/>
      <c r="AP136" s="47" t="s">
        <v>64</v>
      </c>
      <c r="AQ136" s="48">
        <v>42355</v>
      </c>
      <c r="AR136" s="47"/>
      <c r="AS136" s="47"/>
      <c r="AT136" s="47"/>
      <c r="AU136" s="47"/>
      <c r="AV136" s="47"/>
      <c r="AW136" s="47"/>
    </row>
    <row r="137" spans="1:49" x14ac:dyDescent="0.2">
      <c r="A137" s="47">
        <v>10020168</v>
      </c>
      <c r="B137" s="47">
        <v>30</v>
      </c>
      <c r="C137" s="47" t="s">
        <v>21</v>
      </c>
      <c r="D137" s="47" t="s">
        <v>78</v>
      </c>
      <c r="E137" s="48">
        <v>42355</v>
      </c>
      <c r="F137" s="47"/>
      <c r="G137" s="47">
        <v>30</v>
      </c>
      <c r="H137" s="47"/>
      <c r="I137" s="47"/>
      <c r="J137" s="47">
        <v>1201467</v>
      </c>
      <c r="K137" s="47" t="s">
        <v>146</v>
      </c>
      <c r="L137" s="47">
        <v>1336276</v>
      </c>
      <c r="M137" s="47" t="s">
        <v>293</v>
      </c>
      <c r="N137" s="47">
        <v>1336276</v>
      </c>
      <c r="O137" s="47" t="s">
        <v>293</v>
      </c>
      <c r="P137" s="47">
        <v>2100042638</v>
      </c>
      <c r="Q137" s="47"/>
      <c r="R137" s="47"/>
      <c r="S137" s="47">
        <v>52544018876</v>
      </c>
      <c r="T137" s="47" t="s">
        <v>1669</v>
      </c>
      <c r="U137" s="47" t="s">
        <v>1636</v>
      </c>
      <c r="V137" s="47" t="s">
        <v>1637</v>
      </c>
      <c r="W137" s="47" t="s">
        <v>1331</v>
      </c>
      <c r="X137" s="47"/>
      <c r="Y137" s="47">
        <v>0</v>
      </c>
      <c r="Z137" s="47">
        <v>24</v>
      </c>
      <c r="AA137" s="47" t="s">
        <v>1324</v>
      </c>
      <c r="AB137" s="47">
        <v>50</v>
      </c>
      <c r="AC137" s="47" t="s">
        <v>1325</v>
      </c>
      <c r="AD137" s="47">
        <v>0</v>
      </c>
      <c r="AE137" s="47" t="s">
        <v>182</v>
      </c>
      <c r="AF137" s="47">
        <v>0</v>
      </c>
      <c r="AG137" s="47">
        <v>0</v>
      </c>
      <c r="AH137" s="47" t="s">
        <v>182</v>
      </c>
      <c r="AI137" s="47" t="s">
        <v>181</v>
      </c>
      <c r="AJ137" s="47"/>
      <c r="AK137" s="47"/>
      <c r="AL137" s="47" t="s">
        <v>63</v>
      </c>
      <c r="AM137" s="47"/>
      <c r="AN137" s="47"/>
      <c r="AO137" s="47"/>
      <c r="AP137" s="47" t="s">
        <v>64</v>
      </c>
      <c r="AQ137" s="48">
        <v>42355</v>
      </c>
      <c r="AR137" s="47"/>
      <c r="AS137" s="47"/>
      <c r="AT137" s="47"/>
      <c r="AU137" s="47"/>
      <c r="AV137" s="47"/>
      <c r="AW137" s="47"/>
    </row>
    <row r="138" spans="1:49" x14ac:dyDescent="0.2">
      <c r="A138" s="47">
        <v>10020168</v>
      </c>
      <c r="B138" s="47">
        <v>40</v>
      </c>
      <c r="C138" s="47" t="s">
        <v>21</v>
      </c>
      <c r="D138" s="47" t="s">
        <v>78</v>
      </c>
      <c r="E138" s="48">
        <v>42355</v>
      </c>
      <c r="F138" s="47"/>
      <c r="G138" s="47">
        <v>40</v>
      </c>
      <c r="H138" s="47"/>
      <c r="I138" s="47"/>
      <c r="J138" s="47">
        <v>1201467</v>
      </c>
      <c r="K138" s="47" t="s">
        <v>146</v>
      </c>
      <c r="L138" s="47">
        <v>1336276</v>
      </c>
      <c r="M138" s="47" t="s">
        <v>293</v>
      </c>
      <c r="N138" s="47">
        <v>1336276</v>
      </c>
      <c r="O138" s="47" t="s">
        <v>293</v>
      </c>
      <c r="P138" s="47">
        <v>2100042638</v>
      </c>
      <c r="Q138" s="47"/>
      <c r="R138" s="47"/>
      <c r="S138" s="47">
        <v>52544009276</v>
      </c>
      <c r="T138" s="47" t="s">
        <v>1635</v>
      </c>
      <c r="U138" s="47" t="s">
        <v>1636</v>
      </c>
      <c r="V138" s="47" t="s">
        <v>1637</v>
      </c>
      <c r="W138" s="47" t="s">
        <v>1331</v>
      </c>
      <c r="X138" s="47"/>
      <c r="Y138" s="47">
        <v>0</v>
      </c>
      <c r="Z138" s="47">
        <v>30</v>
      </c>
      <c r="AA138" s="47" t="s">
        <v>1324</v>
      </c>
      <c r="AB138" s="47">
        <v>50</v>
      </c>
      <c r="AC138" s="47" t="s">
        <v>1325</v>
      </c>
      <c r="AD138" s="47">
        <v>0</v>
      </c>
      <c r="AE138" s="47" t="s">
        <v>182</v>
      </c>
      <c r="AF138" s="47">
        <v>0</v>
      </c>
      <c r="AG138" s="47">
        <v>0</v>
      </c>
      <c r="AH138" s="47" t="s">
        <v>182</v>
      </c>
      <c r="AI138" s="47" t="s">
        <v>181</v>
      </c>
      <c r="AJ138" s="47"/>
      <c r="AK138" s="47"/>
      <c r="AL138" s="47" t="s">
        <v>63</v>
      </c>
      <c r="AM138" s="47"/>
      <c r="AN138" s="47"/>
      <c r="AO138" s="47"/>
      <c r="AP138" s="47" t="s">
        <v>64</v>
      </c>
      <c r="AQ138" s="48">
        <v>42355</v>
      </c>
      <c r="AR138" s="47"/>
      <c r="AS138" s="47"/>
      <c r="AT138" s="47"/>
      <c r="AU138" s="47"/>
      <c r="AV138" s="47"/>
      <c r="AW138" s="47"/>
    </row>
    <row r="139" spans="1:49" x14ac:dyDescent="0.2">
      <c r="A139" s="47">
        <v>10020169</v>
      </c>
      <c r="B139" s="47">
        <v>10</v>
      </c>
      <c r="C139" s="47" t="s">
        <v>21</v>
      </c>
      <c r="D139" s="47" t="s">
        <v>78</v>
      </c>
      <c r="E139" s="48">
        <v>42355</v>
      </c>
      <c r="F139" s="47">
        <v>93621184</v>
      </c>
      <c r="G139" s="47">
        <v>10</v>
      </c>
      <c r="H139" s="48">
        <v>42346</v>
      </c>
      <c r="I139" s="47"/>
      <c r="J139" s="47">
        <v>1201467</v>
      </c>
      <c r="K139" s="47" t="s">
        <v>146</v>
      </c>
      <c r="L139" s="47">
        <v>1336276</v>
      </c>
      <c r="M139" s="47" t="s">
        <v>293</v>
      </c>
      <c r="N139" s="47">
        <v>1201467</v>
      </c>
      <c r="O139" s="47" t="s">
        <v>146</v>
      </c>
      <c r="P139" s="47">
        <v>2100042638</v>
      </c>
      <c r="Q139" s="47"/>
      <c r="R139" s="47"/>
      <c r="S139" s="47">
        <v>52544093102</v>
      </c>
      <c r="T139" s="47" t="s">
        <v>1666</v>
      </c>
      <c r="U139" s="47" t="s">
        <v>1340</v>
      </c>
      <c r="V139" s="47" t="s">
        <v>1667</v>
      </c>
      <c r="W139" s="47" t="s">
        <v>1331</v>
      </c>
      <c r="X139" s="47" t="s">
        <v>1670</v>
      </c>
      <c r="Y139" s="47">
        <v>882</v>
      </c>
      <c r="Z139" s="47">
        <v>882</v>
      </c>
      <c r="AA139" s="47" t="s">
        <v>1621</v>
      </c>
      <c r="AB139" s="47">
        <v>24</v>
      </c>
      <c r="AC139" s="47" t="s">
        <v>1622</v>
      </c>
      <c r="AD139" s="47">
        <v>240.55</v>
      </c>
      <c r="AE139" s="47" t="s">
        <v>182</v>
      </c>
      <c r="AF139" s="49">
        <v>212165.1</v>
      </c>
      <c r="AG139" s="49">
        <v>212165.1</v>
      </c>
      <c r="AH139" s="47" t="s">
        <v>182</v>
      </c>
      <c r="AI139" s="47" t="s">
        <v>181</v>
      </c>
      <c r="AJ139" s="47" t="s">
        <v>102</v>
      </c>
      <c r="AK139" s="47"/>
      <c r="AL139" s="47" t="s">
        <v>69</v>
      </c>
      <c r="AM139" s="47" t="s">
        <v>104</v>
      </c>
      <c r="AN139" s="47" t="s">
        <v>71</v>
      </c>
      <c r="AO139" s="48">
        <v>42359</v>
      </c>
      <c r="AP139" s="47" t="s">
        <v>64</v>
      </c>
      <c r="AQ139" s="48">
        <v>42355</v>
      </c>
      <c r="AR139" s="47" t="s">
        <v>72</v>
      </c>
      <c r="AS139" s="47">
        <v>62049113</v>
      </c>
      <c r="AT139" s="48">
        <v>42361</v>
      </c>
      <c r="AU139" s="47">
        <v>649275161793</v>
      </c>
      <c r="AV139" s="47" t="s">
        <v>352</v>
      </c>
      <c r="AW139" s="47" t="s">
        <v>1671</v>
      </c>
    </row>
    <row r="140" spans="1:49" x14ac:dyDescent="0.2">
      <c r="A140" s="47">
        <v>10020169</v>
      </c>
      <c r="B140" s="47">
        <v>20</v>
      </c>
      <c r="C140" s="47" t="s">
        <v>21</v>
      </c>
      <c r="D140" s="47" t="s">
        <v>78</v>
      </c>
      <c r="E140" s="48">
        <v>42355</v>
      </c>
      <c r="F140" s="47">
        <v>93621184</v>
      </c>
      <c r="G140" s="47">
        <v>20</v>
      </c>
      <c r="H140" s="48">
        <v>42346</v>
      </c>
      <c r="I140" s="47"/>
      <c r="J140" s="47">
        <v>1201467</v>
      </c>
      <c r="K140" s="47" t="s">
        <v>146</v>
      </c>
      <c r="L140" s="47">
        <v>1336276</v>
      </c>
      <c r="M140" s="47" t="s">
        <v>293</v>
      </c>
      <c r="N140" s="47">
        <v>1201467</v>
      </c>
      <c r="O140" s="47" t="s">
        <v>146</v>
      </c>
      <c r="P140" s="47">
        <v>2100042638</v>
      </c>
      <c r="Q140" s="47"/>
      <c r="R140" s="47"/>
      <c r="S140" s="47">
        <v>52544018976</v>
      </c>
      <c r="T140" s="47" t="s">
        <v>1668</v>
      </c>
      <c r="U140" s="47" t="s">
        <v>1636</v>
      </c>
      <c r="V140" s="47" t="s">
        <v>1637</v>
      </c>
      <c r="W140" s="47" t="s">
        <v>1331</v>
      </c>
      <c r="X140" s="47" t="s">
        <v>1672</v>
      </c>
      <c r="Y140" s="47">
        <v>42</v>
      </c>
      <c r="Z140" s="47">
        <v>42</v>
      </c>
      <c r="AA140" s="47" t="s">
        <v>1324</v>
      </c>
      <c r="AB140" s="47">
        <v>50</v>
      </c>
      <c r="AC140" s="47" t="s">
        <v>1325</v>
      </c>
      <c r="AD140" s="47">
        <v>813.24</v>
      </c>
      <c r="AE140" s="47" t="s">
        <v>182</v>
      </c>
      <c r="AF140" s="49">
        <v>34156.080000000002</v>
      </c>
      <c r="AG140" s="49">
        <v>34156.080000000002</v>
      </c>
      <c r="AH140" s="47" t="s">
        <v>182</v>
      </c>
      <c r="AI140" s="47" t="s">
        <v>181</v>
      </c>
      <c r="AJ140" s="47" t="s">
        <v>102</v>
      </c>
      <c r="AK140" s="47"/>
      <c r="AL140" s="47" t="s">
        <v>69</v>
      </c>
      <c r="AM140" s="47" t="s">
        <v>104</v>
      </c>
      <c r="AN140" s="47" t="s">
        <v>71</v>
      </c>
      <c r="AO140" s="48">
        <v>42359</v>
      </c>
      <c r="AP140" s="47" t="s">
        <v>64</v>
      </c>
      <c r="AQ140" s="48">
        <v>42355</v>
      </c>
      <c r="AR140" s="47" t="s">
        <v>72</v>
      </c>
      <c r="AS140" s="47">
        <v>62049113</v>
      </c>
      <c r="AT140" s="48">
        <v>42361</v>
      </c>
      <c r="AU140" s="47">
        <v>649275161793</v>
      </c>
      <c r="AV140" s="47" t="s">
        <v>352</v>
      </c>
      <c r="AW140" s="47" t="s">
        <v>1671</v>
      </c>
    </row>
    <row r="141" spans="1:49" x14ac:dyDescent="0.2">
      <c r="A141" s="47">
        <v>10020169</v>
      </c>
      <c r="B141" s="47">
        <v>30</v>
      </c>
      <c r="C141" s="47" t="s">
        <v>21</v>
      </c>
      <c r="D141" s="47" t="s">
        <v>78</v>
      </c>
      <c r="E141" s="48">
        <v>42355</v>
      </c>
      <c r="F141" s="47">
        <v>93621184</v>
      </c>
      <c r="G141" s="47">
        <v>30</v>
      </c>
      <c r="H141" s="48">
        <v>42346</v>
      </c>
      <c r="I141" s="47"/>
      <c r="J141" s="47">
        <v>1201467</v>
      </c>
      <c r="K141" s="47" t="s">
        <v>146</v>
      </c>
      <c r="L141" s="47">
        <v>1336276</v>
      </c>
      <c r="M141" s="47" t="s">
        <v>293</v>
      </c>
      <c r="N141" s="47">
        <v>1201467</v>
      </c>
      <c r="O141" s="47" t="s">
        <v>146</v>
      </c>
      <c r="P141" s="47">
        <v>2100042638</v>
      </c>
      <c r="Q141" s="47"/>
      <c r="R141" s="47"/>
      <c r="S141" s="47">
        <v>52544018876</v>
      </c>
      <c r="T141" s="47" t="s">
        <v>1669</v>
      </c>
      <c r="U141" s="47" t="s">
        <v>1636</v>
      </c>
      <c r="V141" s="47" t="s">
        <v>1637</v>
      </c>
      <c r="W141" s="47" t="s">
        <v>1331</v>
      </c>
      <c r="X141" s="47" t="s">
        <v>1673</v>
      </c>
      <c r="Y141" s="47">
        <v>24</v>
      </c>
      <c r="Z141" s="47">
        <v>24</v>
      </c>
      <c r="AA141" s="47" t="s">
        <v>1324</v>
      </c>
      <c r="AB141" s="47">
        <v>50</v>
      </c>
      <c r="AC141" s="47" t="s">
        <v>1325</v>
      </c>
      <c r="AD141" s="49">
        <v>2439.7199999999998</v>
      </c>
      <c r="AE141" s="47" t="s">
        <v>182</v>
      </c>
      <c r="AF141" s="49">
        <v>58553.279999999999</v>
      </c>
      <c r="AG141" s="49">
        <v>58553.279999999999</v>
      </c>
      <c r="AH141" s="47" t="s">
        <v>182</v>
      </c>
      <c r="AI141" s="47" t="s">
        <v>181</v>
      </c>
      <c r="AJ141" s="47" t="s">
        <v>102</v>
      </c>
      <c r="AK141" s="47"/>
      <c r="AL141" s="47" t="s">
        <v>69</v>
      </c>
      <c r="AM141" s="47" t="s">
        <v>104</v>
      </c>
      <c r="AN141" s="47" t="s">
        <v>71</v>
      </c>
      <c r="AO141" s="48">
        <v>42359</v>
      </c>
      <c r="AP141" s="47" t="s">
        <v>64</v>
      </c>
      <c r="AQ141" s="48">
        <v>42355</v>
      </c>
      <c r="AR141" s="47" t="s">
        <v>72</v>
      </c>
      <c r="AS141" s="47">
        <v>62049113</v>
      </c>
      <c r="AT141" s="48">
        <v>42361</v>
      </c>
      <c r="AU141" s="47">
        <v>649275161793</v>
      </c>
      <c r="AV141" s="47" t="s">
        <v>352</v>
      </c>
      <c r="AW141" s="47" t="s">
        <v>1671</v>
      </c>
    </row>
    <row r="142" spans="1:49" x14ac:dyDescent="0.2">
      <c r="A142" s="47">
        <v>10020169</v>
      </c>
      <c r="B142" s="47">
        <v>40</v>
      </c>
      <c r="C142" s="47" t="s">
        <v>21</v>
      </c>
      <c r="D142" s="47" t="s">
        <v>78</v>
      </c>
      <c r="E142" s="48">
        <v>42355</v>
      </c>
      <c r="F142" s="47">
        <v>93621184</v>
      </c>
      <c r="G142" s="47">
        <v>40</v>
      </c>
      <c r="H142" s="48">
        <v>42346</v>
      </c>
      <c r="I142" s="47"/>
      <c r="J142" s="47">
        <v>1201467</v>
      </c>
      <c r="K142" s="47" t="s">
        <v>146</v>
      </c>
      <c r="L142" s="47">
        <v>1336276</v>
      </c>
      <c r="M142" s="47" t="s">
        <v>293</v>
      </c>
      <c r="N142" s="47">
        <v>1201467</v>
      </c>
      <c r="O142" s="47" t="s">
        <v>146</v>
      </c>
      <c r="P142" s="47">
        <v>2100042638</v>
      </c>
      <c r="Q142" s="47"/>
      <c r="R142" s="47"/>
      <c r="S142" s="47">
        <v>52544009276</v>
      </c>
      <c r="T142" s="47" t="s">
        <v>1635</v>
      </c>
      <c r="U142" s="47" t="s">
        <v>1636</v>
      </c>
      <c r="V142" s="47" t="s">
        <v>1637</v>
      </c>
      <c r="W142" s="47" t="s">
        <v>1331</v>
      </c>
      <c r="X142" s="47" t="s">
        <v>1638</v>
      </c>
      <c r="Y142" s="47">
        <v>30</v>
      </c>
      <c r="Z142" s="47">
        <v>30</v>
      </c>
      <c r="AA142" s="47" t="s">
        <v>1324</v>
      </c>
      <c r="AB142" s="47">
        <v>50</v>
      </c>
      <c r="AC142" s="47" t="s">
        <v>1325</v>
      </c>
      <c r="AD142" s="49">
        <v>4879.4399999999996</v>
      </c>
      <c r="AE142" s="47" t="s">
        <v>182</v>
      </c>
      <c r="AF142" s="49">
        <v>146383.20000000001</v>
      </c>
      <c r="AG142" s="49">
        <v>146383.20000000001</v>
      </c>
      <c r="AH142" s="47" t="s">
        <v>182</v>
      </c>
      <c r="AI142" s="47" t="s">
        <v>181</v>
      </c>
      <c r="AJ142" s="47" t="s">
        <v>102</v>
      </c>
      <c r="AK142" s="47"/>
      <c r="AL142" s="47" t="s">
        <v>69</v>
      </c>
      <c r="AM142" s="47" t="s">
        <v>104</v>
      </c>
      <c r="AN142" s="47" t="s">
        <v>71</v>
      </c>
      <c r="AO142" s="48">
        <v>42359</v>
      </c>
      <c r="AP142" s="47" t="s">
        <v>64</v>
      </c>
      <c r="AQ142" s="48">
        <v>42355</v>
      </c>
      <c r="AR142" s="47" t="s">
        <v>72</v>
      </c>
      <c r="AS142" s="47">
        <v>62049113</v>
      </c>
      <c r="AT142" s="48">
        <v>42361</v>
      </c>
      <c r="AU142" s="47">
        <v>649275161793</v>
      </c>
      <c r="AV142" s="47" t="s">
        <v>352</v>
      </c>
      <c r="AW142" s="47" t="s">
        <v>1671</v>
      </c>
    </row>
    <row r="143" spans="1:49" x14ac:dyDescent="0.2">
      <c r="A143" s="47">
        <v>10020170</v>
      </c>
      <c r="B143" s="47">
        <v>90</v>
      </c>
      <c r="C143" s="47" t="s">
        <v>26</v>
      </c>
      <c r="D143" s="47" t="s">
        <v>573</v>
      </c>
      <c r="E143" s="48">
        <v>42355</v>
      </c>
      <c r="F143" s="47">
        <v>93626019</v>
      </c>
      <c r="G143" s="47">
        <v>90</v>
      </c>
      <c r="H143" s="48">
        <v>42349</v>
      </c>
      <c r="I143" s="47"/>
      <c r="J143" s="47">
        <v>1201047</v>
      </c>
      <c r="K143" s="47" t="s">
        <v>79</v>
      </c>
      <c r="L143" s="47">
        <v>1051549</v>
      </c>
      <c r="M143" s="47" t="s">
        <v>85</v>
      </c>
      <c r="N143" s="47">
        <v>1171089</v>
      </c>
      <c r="O143" s="47" t="s">
        <v>75</v>
      </c>
      <c r="P143" s="47">
        <v>12916971</v>
      </c>
      <c r="Q143" s="47"/>
      <c r="R143" s="47"/>
      <c r="S143" s="47">
        <v>591379783</v>
      </c>
      <c r="T143" s="47" t="s">
        <v>1674</v>
      </c>
      <c r="U143" s="47" t="s">
        <v>1322</v>
      </c>
      <c r="V143" s="47" t="s">
        <v>1412</v>
      </c>
      <c r="W143" s="47" t="s">
        <v>1331</v>
      </c>
      <c r="X143" s="47"/>
      <c r="Y143" s="47">
        <v>145</v>
      </c>
      <c r="Z143" s="47">
        <v>1</v>
      </c>
      <c r="AA143" s="47" t="s">
        <v>1332</v>
      </c>
      <c r="AB143" s="47">
        <v>24</v>
      </c>
      <c r="AC143" s="47" t="s">
        <v>1333</v>
      </c>
      <c r="AD143" s="47">
        <v>4</v>
      </c>
      <c r="AE143" s="47" t="s">
        <v>182</v>
      </c>
      <c r="AF143" s="47">
        <v>580</v>
      </c>
      <c r="AG143" s="47">
        <v>4</v>
      </c>
      <c r="AH143" s="47" t="s">
        <v>182</v>
      </c>
      <c r="AI143" s="47" t="s">
        <v>181</v>
      </c>
      <c r="AJ143" s="47" t="s">
        <v>91</v>
      </c>
      <c r="AK143" s="47"/>
      <c r="AL143" s="47" t="s">
        <v>63</v>
      </c>
      <c r="AM143" s="47"/>
      <c r="AN143" s="47"/>
      <c r="AO143" s="47"/>
      <c r="AP143" s="47" t="s">
        <v>64</v>
      </c>
      <c r="AQ143" s="48">
        <v>42355</v>
      </c>
      <c r="AR143" s="47"/>
      <c r="AS143" s="47"/>
      <c r="AT143" s="47"/>
      <c r="AU143" s="47" t="s">
        <v>1675</v>
      </c>
      <c r="AV143" s="47"/>
      <c r="AW143" s="47"/>
    </row>
    <row r="144" spans="1:49" x14ac:dyDescent="0.2">
      <c r="A144" s="47">
        <v>10020175</v>
      </c>
      <c r="B144" s="47">
        <v>20</v>
      </c>
      <c r="C144" s="47" t="s">
        <v>26</v>
      </c>
      <c r="D144" s="47" t="s">
        <v>432</v>
      </c>
      <c r="E144" s="48">
        <v>42355</v>
      </c>
      <c r="F144" s="47">
        <v>93614146</v>
      </c>
      <c r="G144" s="47">
        <v>20</v>
      </c>
      <c r="H144" s="48">
        <v>42340</v>
      </c>
      <c r="I144" s="47"/>
      <c r="J144" s="47">
        <v>1201399</v>
      </c>
      <c r="K144" s="47" t="s">
        <v>144</v>
      </c>
      <c r="L144" s="47">
        <v>1334926</v>
      </c>
      <c r="M144" s="47" t="s">
        <v>145</v>
      </c>
      <c r="N144" s="47">
        <v>1171970</v>
      </c>
      <c r="O144" s="47" t="s">
        <v>144</v>
      </c>
      <c r="P144" s="47">
        <v>3005124606</v>
      </c>
      <c r="Q144" s="47"/>
      <c r="R144" s="47"/>
      <c r="S144" s="47">
        <v>228212910</v>
      </c>
      <c r="T144" s="47" t="s">
        <v>1676</v>
      </c>
      <c r="U144" s="47" t="s">
        <v>1322</v>
      </c>
      <c r="V144" s="47" t="s">
        <v>1677</v>
      </c>
      <c r="W144" s="47" t="s">
        <v>1331</v>
      </c>
      <c r="X144" s="47" t="s">
        <v>1678</v>
      </c>
      <c r="Y144" s="47">
        <v>720</v>
      </c>
      <c r="Z144" s="47">
        <v>24</v>
      </c>
      <c r="AA144" s="47" t="s">
        <v>1332</v>
      </c>
      <c r="AB144" s="47">
        <v>24</v>
      </c>
      <c r="AC144" s="47" t="s">
        <v>1333</v>
      </c>
      <c r="AD144" s="47">
        <v>6.46</v>
      </c>
      <c r="AE144" s="47" t="s">
        <v>182</v>
      </c>
      <c r="AF144" s="49">
        <v>4651.2</v>
      </c>
      <c r="AG144" s="47">
        <v>155.04</v>
      </c>
      <c r="AH144" s="47" t="s">
        <v>182</v>
      </c>
      <c r="AI144" s="47" t="s">
        <v>181</v>
      </c>
      <c r="AJ144" s="47" t="s">
        <v>97</v>
      </c>
      <c r="AK144" s="47"/>
      <c r="AL144" s="47" t="s">
        <v>63</v>
      </c>
      <c r="AM144" s="47" t="s">
        <v>94</v>
      </c>
      <c r="AN144" s="47" t="s">
        <v>95</v>
      </c>
      <c r="AO144" s="48">
        <v>42356</v>
      </c>
      <c r="AP144" s="47" t="s">
        <v>64</v>
      </c>
      <c r="AQ144" s="48">
        <v>42355</v>
      </c>
      <c r="AR144" s="47"/>
      <c r="AS144" s="47"/>
      <c r="AT144" s="47"/>
      <c r="AU144" s="47">
        <v>87944972756383</v>
      </c>
      <c r="AV144" s="47" t="s">
        <v>96</v>
      </c>
      <c r="AW144" s="47" t="s">
        <v>1679</v>
      </c>
    </row>
    <row r="145" spans="1:49" x14ac:dyDescent="0.2">
      <c r="A145" s="47">
        <v>10020181</v>
      </c>
      <c r="B145" s="47">
        <v>20</v>
      </c>
      <c r="C145" s="47" t="s">
        <v>26</v>
      </c>
      <c r="D145" s="47" t="s">
        <v>573</v>
      </c>
      <c r="E145" s="48">
        <v>42355</v>
      </c>
      <c r="F145" s="47">
        <v>93620872</v>
      </c>
      <c r="G145" s="47">
        <v>20</v>
      </c>
      <c r="H145" s="48">
        <v>42346</v>
      </c>
      <c r="I145" s="48">
        <v>42347</v>
      </c>
      <c r="J145" s="47">
        <v>1201047</v>
      </c>
      <c r="K145" s="47" t="s">
        <v>79</v>
      </c>
      <c r="L145" s="47">
        <v>1317086</v>
      </c>
      <c r="M145" s="47" t="s">
        <v>85</v>
      </c>
      <c r="N145" s="47">
        <v>1171089</v>
      </c>
      <c r="O145" s="47" t="s">
        <v>75</v>
      </c>
      <c r="P145" s="47">
        <v>23617436</v>
      </c>
      <c r="Q145" s="47"/>
      <c r="R145" s="47"/>
      <c r="S145" s="47">
        <v>591569550</v>
      </c>
      <c r="T145" s="47" t="s">
        <v>1680</v>
      </c>
      <c r="U145" s="47" t="s">
        <v>1322</v>
      </c>
      <c r="V145" s="47" t="s">
        <v>1681</v>
      </c>
      <c r="W145" s="47" t="s">
        <v>1331</v>
      </c>
      <c r="X145" s="47" t="s">
        <v>1682</v>
      </c>
      <c r="Y145" s="47">
        <v>444</v>
      </c>
      <c r="Z145" s="47">
        <v>12</v>
      </c>
      <c r="AA145" s="47" t="s">
        <v>1332</v>
      </c>
      <c r="AB145" s="47">
        <v>48</v>
      </c>
      <c r="AC145" s="47" t="s">
        <v>1333</v>
      </c>
      <c r="AD145" s="47">
        <v>27.85</v>
      </c>
      <c r="AE145" s="47" t="s">
        <v>182</v>
      </c>
      <c r="AF145" s="49">
        <v>12365.4</v>
      </c>
      <c r="AG145" s="47">
        <v>334.2</v>
      </c>
      <c r="AH145" s="47" t="s">
        <v>182</v>
      </c>
      <c r="AI145" s="47" t="s">
        <v>181</v>
      </c>
      <c r="AJ145" s="47" t="s">
        <v>86</v>
      </c>
      <c r="AK145" s="47"/>
      <c r="AL145" s="47" t="s">
        <v>63</v>
      </c>
      <c r="AM145" s="47" t="s">
        <v>81</v>
      </c>
      <c r="AN145" s="47" t="s">
        <v>88</v>
      </c>
      <c r="AO145" s="48">
        <v>42359</v>
      </c>
      <c r="AP145" s="47" t="s">
        <v>64</v>
      </c>
      <c r="AQ145" s="48">
        <v>42355</v>
      </c>
      <c r="AR145" s="47"/>
      <c r="AS145" s="47"/>
      <c r="AT145" s="47"/>
      <c r="AU145" s="47" t="s">
        <v>1683</v>
      </c>
      <c r="AV145" s="47" t="s">
        <v>89</v>
      </c>
      <c r="AW145" s="47" t="s">
        <v>274</v>
      </c>
    </row>
    <row r="146" spans="1:49" x14ac:dyDescent="0.2">
      <c r="A146" s="47">
        <v>10020182</v>
      </c>
      <c r="B146" s="47">
        <v>20</v>
      </c>
      <c r="C146" s="47" t="s">
        <v>26</v>
      </c>
      <c r="D146" s="47" t="s">
        <v>136</v>
      </c>
      <c r="E146" s="48">
        <v>42355</v>
      </c>
      <c r="F146" s="47">
        <v>93621239</v>
      </c>
      <c r="G146" s="47">
        <v>20</v>
      </c>
      <c r="H146" s="48">
        <v>42346</v>
      </c>
      <c r="I146" s="47"/>
      <c r="J146" s="47">
        <v>1201675</v>
      </c>
      <c r="K146" s="47" t="s">
        <v>165</v>
      </c>
      <c r="L146" s="47">
        <v>1201675</v>
      </c>
      <c r="M146" s="47" t="s">
        <v>165</v>
      </c>
      <c r="N146" s="47">
        <v>1172015</v>
      </c>
      <c r="O146" s="47" t="s">
        <v>165</v>
      </c>
      <c r="P146" s="47" t="s">
        <v>1454</v>
      </c>
      <c r="Q146" s="47"/>
      <c r="R146" s="47"/>
      <c r="S146" s="47">
        <v>430021014</v>
      </c>
      <c r="T146" s="47" t="s">
        <v>1684</v>
      </c>
      <c r="U146" s="47" t="s">
        <v>1340</v>
      </c>
      <c r="V146" s="47" t="s">
        <v>1685</v>
      </c>
      <c r="W146" s="47" t="s">
        <v>1331</v>
      </c>
      <c r="X146" s="47" t="s">
        <v>1686</v>
      </c>
      <c r="Y146" s="47">
        <v>2</v>
      </c>
      <c r="Z146" s="47">
        <v>2</v>
      </c>
      <c r="AA146" s="47" t="s">
        <v>1332</v>
      </c>
      <c r="AB146" s="47">
        <v>72</v>
      </c>
      <c r="AC146" s="47" t="s">
        <v>1333</v>
      </c>
      <c r="AD146" s="47">
        <v>396.74</v>
      </c>
      <c r="AE146" s="47" t="s">
        <v>182</v>
      </c>
      <c r="AF146" s="47">
        <v>793.48</v>
      </c>
      <c r="AG146" s="47">
        <v>793.48</v>
      </c>
      <c r="AH146" s="47" t="s">
        <v>182</v>
      </c>
      <c r="AI146" s="47" t="s">
        <v>181</v>
      </c>
      <c r="AJ146" s="47" t="s">
        <v>102</v>
      </c>
      <c r="AK146" s="47"/>
      <c r="AL146" s="47" t="s">
        <v>63</v>
      </c>
      <c r="AM146" s="47"/>
      <c r="AN146" s="47"/>
      <c r="AO146" s="47"/>
      <c r="AP146" s="47"/>
      <c r="AQ146" s="47"/>
      <c r="AR146" s="47"/>
      <c r="AS146" s="47"/>
      <c r="AT146" s="47"/>
      <c r="AU146" s="47"/>
      <c r="AV146" s="47"/>
      <c r="AW146" s="47"/>
    </row>
    <row r="147" spans="1:49" x14ac:dyDescent="0.2">
      <c r="A147" s="47">
        <v>10020182</v>
      </c>
      <c r="B147" s="47">
        <v>70</v>
      </c>
      <c r="C147" s="47" t="s">
        <v>26</v>
      </c>
      <c r="D147" s="47" t="s">
        <v>136</v>
      </c>
      <c r="E147" s="48">
        <v>42355</v>
      </c>
      <c r="F147" s="47">
        <v>93621239</v>
      </c>
      <c r="G147" s="47">
        <v>70</v>
      </c>
      <c r="H147" s="48">
        <v>42346</v>
      </c>
      <c r="I147" s="47"/>
      <c r="J147" s="47">
        <v>1201675</v>
      </c>
      <c r="K147" s="47" t="s">
        <v>165</v>
      </c>
      <c r="L147" s="47">
        <v>1201675</v>
      </c>
      <c r="M147" s="47" t="s">
        <v>165</v>
      </c>
      <c r="N147" s="47">
        <v>1172015</v>
      </c>
      <c r="O147" s="47" t="s">
        <v>165</v>
      </c>
      <c r="P147" s="47" t="s">
        <v>1454</v>
      </c>
      <c r="Q147" s="47"/>
      <c r="R147" s="47"/>
      <c r="S147" s="47">
        <v>456340733</v>
      </c>
      <c r="T147" s="47" t="s">
        <v>1687</v>
      </c>
      <c r="U147" s="47" t="s">
        <v>1335</v>
      </c>
      <c r="V147" s="47" t="s">
        <v>1418</v>
      </c>
      <c r="W147" s="47" t="s">
        <v>1331</v>
      </c>
      <c r="X147" s="47"/>
      <c r="Y147" s="47">
        <v>120</v>
      </c>
      <c r="Z147" s="47">
        <v>120</v>
      </c>
      <c r="AA147" s="47" t="s">
        <v>1332</v>
      </c>
      <c r="AB147" s="47">
        <v>144</v>
      </c>
      <c r="AC147" s="47" t="s">
        <v>1333</v>
      </c>
      <c r="AD147" s="47">
        <v>322.11</v>
      </c>
      <c r="AE147" s="47" t="s">
        <v>182</v>
      </c>
      <c r="AF147" s="49">
        <v>38653.199999999997</v>
      </c>
      <c r="AG147" s="49">
        <v>38653.199999999997</v>
      </c>
      <c r="AH147" s="47" t="s">
        <v>182</v>
      </c>
      <c r="AI147" s="47" t="s">
        <v>181</v>
      </c>
      <c r="AJ147" s="47" t="s">
        <v>102</v>
      </c>
      <c r="AK147" s="47"/>
      <c r="AL147" s="47" t="s">
        <v>63</v>
      </c>
      <c r="AM147" s="47"/>
      <c r="AN147" s="47"/>
      <c r="AO147" s="47"/>
      <c r="AP147" s="47"/>
      <c r="AQ147" s="47"/>
      <c r="AR147" s="47"/>
      <c r="AS147" s="47"/>
      <c r="AT147" s="47"/>
      <c r="AU147" s="47"/>
      <c r="AV147" s="47"/>
      <c r="AW147" s="47"/>
    </row>
    <row r="148" spans="1:49" x14ac:dyDescent="0.2">
      <c r="A148" s="47">
        <v>10020182</v>
      </c>
      <c r="B148" s="47">
        <v>80</v>
      </c>
      <c r="C148" s="47" t="s">
        <v>26</v>
      </c>
      <c r="D148" s="47" t="s">
        <v>136</v>
      </c>
      <c r="E148" s="48">
        <v>42355</v>
      </c>
      <c r="F148" s="47">
        <v>93621239</v>
      </c>
      <c r="G148" s="47">
        <v>80</v>
      </c>
      <c r="H148" s="48">
        <v>42346</v>
      </c>
      <c r="I148" s="47"/>
      <c r="J148" s="47">
        <v>1201675</v>
      </c>
      <c r="K148" s="47" t="s">
        <v>165</v>
      </c>
      <c r="L148" s="47">
        <v>1201675</v>
      </c>
      <c r="M148" s="47" t="s">
        <v>165</v>
      </c>
      <c r="N148" s="47">
        <v>1172015</v>
      </c>
      <c r="O148" s="47" t="s">
        <v>165</v>
      </c>
      <c r="P148" s="47" t="s">
        <v>1454</v>
      </c>
      <c r="Q148" s="47"/>
      <c r="R148" s="47"/>
      <c r="S148" s="47">
        <v>456342833</v>
      </c>
      <c r="T148" s="47" t="s">
        <v>1417</v>
      </c>
      <c r="U148" s="47" t="s">
        <v>1335</v>
      </c>
      <c r="V148" s="47" t="s">
        <v>1418</v>
      </c>
      <c r="W148" s="47" t="s">
        <v>1331</v>
      </c>
      <c r="X148" s="47" t="s">
        <v>1688</v>
      </c>
      <c r="Y148" s="47">
        <v>600</v>
      </c>
      <c r="Z148" s="47">
        <v>600</v>
      </c>
      <c r="AA148" s="47" t="s">
        <v>1332</v>
      </c>
      <c r="AB148" s="47">
        <v>144</v>
      </c>
      <c r="AC148" s="47" t="s">
        <v>1333</v>
      </c>
      <c r="AD148" s="47">
        <v>322.11</v>
      </c>
      <c r="AE148" s="47" t="s">
        <v>182</v>
      </c>
      <c r="AF148" s="49">
        <v>193266</v>
      </c>
      <c r="AG148" s="49">
        <v>193266</v>
      </c>
      <c r="AH148" s="47" t="s">
        <v>182</v>
      </c>
      <c r="AI148" s="47" t="s">
        <v>181</v>
      </c>
      <c r="AJ148" s="47" t="s">
        <v>102</v>
      </c>
      <c r="AK148" s="47"/>
      <c r="AL148" s="47" t="s">
        <v>63</v>
      </c>
      <c r="AM148" s="47"/>
      <c r="AN148" s="47"/>
      <c r="AO148" s="47"/>
      <c r="AP148" s="47"/>
      <c r="AQ148" s="47"/>
      <c r="AR148" s="47"/>
      <c r="AS148" s="47"/>
      <c r="AT148" s="47"/>
      <c r="AU148" s="47">
        <v>649275161885</v>
      </c>
      <c r="AV148" s="47"/>
      <c r="AW148" s="47"/>
    </row>
    <row r="149" spans="1:49" x14ac:dyDescent="0.2">
      <c r="A149" s="47">
        <v>10020182</v>
      </c>
      <c r="B149" s="47">
        <v>90</v>
      </c>
      <c r="C149" s="47" t="s">
        <v>26</v>
      </c>
      <c r="D149" s="47" t="s">
        <v>136</v>
      </c>
      <c r="E149" s="48">
        <v>42355</v>
      </c>
      <c r="F149" s="47">
        <v>93621239</v>
      </c>
      <c r="G149" s="47">
        <v>90</v>
      </c>
      <c r="H149" s="48">
        <v>42346</v>
      </c>
      <c r="I149" s="47"/>
      <c r="J149" s="47">
        <v>1201675</v>
      </c>
      <c r="K149" s="47" t="s">
        <v>165</v>
      </c>
      <c r="L149" s="47">
        <v>1201675</v>
      </c>
      <c r="M149" s="47" t="s">
        <v>165</v>
      </c>
      <c r="N149" s="47">
        <v>1172015</v>
      </c>
      <c r="O149" s="47" t="s">
        <v>165</v>
      </c>
      <c r="P149" s="47" t="s">
        <v>1454</v>
      </c>
      <c r="Q149" s="47"/>
      <c r="R149" s="47"/>
      <c r="S149" s="47">
        <v>456341433</v>
      </c>
      <c r="T149" s="47" t="s">
        <v>1689</v>
      </c>
      <c r="U149" s="47" t="s">
        <v>1335</v>
      </c>
      <c r="V149" s="47" t="s">
        <v>1418</v>
      </c>
      <c r="W149" s="47" t="s">
        <v>1331</v>
      </c>
      <c r="X149" s="47">
        <v>1151220</v>
      </c>
      <c r="Y149" s="47">
        <v>120</v>
      </c>
      <c r="Z149" s="47">
        <v>120</v>
      </c>
      <c r="AA149" s="47" t="s">
        <v>1332</v>
      </c>
      <c r="AB149" s="47">
        <v>144</v>
      </c>
      <c r="AC149" s="47" t="s">
        <v>1333</v>
      </c>
      <c r="AD149" s="47">
        <v>322.11</v>
      </c>
      <c r="AE149" s="47" t="s">
        <v>182</v>
      </c>
      <c r="AF149" s="49">
        <v>38653.199999999997</v>
      </c>
      <c r="AG149" s="49">
        <v>38653.199999999997</v>
      </c>
      <c r="AH149" s="47" t="s">
        <v>182</v>
      </c>
      <c r="AI149" s="47" t="s">
        <v>181</v>
      </c>
      <c r="AJ149" s="47" t="s">
        <v>102</v>
      </c>
      <c r="AK149" s="47"/>
      <c r="AL149" s="47" t="s">
        <v>63</v>
      </c>
      <c r="AM149" s="47"/>
      <c r="AN149" s="47"/>
      <c r="AO149" s="47"/>
      <c r="AP149" s="47"/>
      <c r="AQ149" s="47"/>
      <c r="AR149" s="47"/>
      <c r="AS149" s="47"/>
      <c r="AT149" s="47"/>
      <c r="AU149" s="47"/>
      <c r="AV149" s="47"/>
      <c r="AW149" s="47"/>
    </row>
    <row r="150" spans="1:49" x14ac:dyDescent="0.2">
      <c r="A150" s="47">
        <v>10020182</v>
      </c>
      <c r="B150" s="47">
        <v>100</v>
      </c>
      <c r="C150" s="47" t="s">
        <v>26</v>
      </c>
      <c r="D150" s="47" t="s">
        <v>136</v>
      </c>
      <c r="E150" s="48">
        <v>42355</v>
      </c>
      <c r="F150" s="47">
        <v>93621239</v>
      </c>
      <c r="G150" s="47">
        <v>100</v>
      </c>
      <c r="H150" s="48">
        <v>42346</v>
      </c>
      <c r="I150" s="47"/>
      <c r="J150" s="47">
        <v>1201675</v>
      </c>
      <c r="K150" s="47" t="s">
        <v>165</v>
      </c>
      <c r="L150" s="47">
        <v>1201675</v>
      </c>
      <c r="M150" s="47" t="s">
        <v>165</v>
      </c>
      <c r="N150" s="47">
        <v>1172015</v>
      </c>
      <c r="O150" s="47" t="s">
        <v>165</v>
      </c>
      <c r="P150" s="47" t="s">
        <v>1454</v>
      </c>
      <c r="Q150" s="47"/>
      <c r="R150" s="47"/>
      <c r="S150" s="47">
        <v>456342890</v>
      </c>
      <c r="T150" s="47" t="s">
        <v>1575</v>
      </c>
      <c r="U150" s="47" t="s">
        <v>1335</v>
      </c>
      <c r="V150" s="47" t="s">
        <v>1418</v>
      </c>
      <c r="W150" s="47" t="s">
        <v>1331</v>
      </c>
      <c r="X150" s="47">
        <v>1153094</v>
      </c>
      <c r="Y150" s="47">
        <v>84</v>
      </c>
      <c r="Z150" s="47">
        <v>84</v>
      </c>
      <c r="AA150" s="47" t="s">
        <v>1332</v>
      </c>
      <c r="AB150" s="47">
        <v>144</v>
      </c>
      <c r="AC150" s="47" t="s">
        <v>1333</v>
      </c>
      <c r="AD150" s="47">
        <v>966.32</v>
      </c>
      <c r="AE150" s="47" t="s">
        <v>182</v>
      </c>
      <c r="AF150" s="49">
        <v>81170.880000000005</v>
      </c>
      <c r="AG150" s="49">
        <v>81170.880000000005</v>
      </c>
      <c r="AH150" s="47" t="s">
        <v>182</v>
      </c>
      <c r="AI150" s="47" t="s">
        <v>181</v>
      </c>
      <c r="AJ150" s="47" t="s">
        <v>102</v>
      </c>
      <c r="AK150" s="47"/>
      <c r="AL150" s="47" t="s">
        <v>63</v>
      </c>
      <c r="AM150" s="47"/>
      <c r="AN150" s="47"/>
      <c r="AO150" s="47"/>
      <c r="AP150" s="47"/>
      <c r="AQ150" s="47"/>
      <c r="AR150" s="47"/>
      <c r="AS150" s="47"/>
      <c r="AT150" s="47"/>
      <c r="AU150" s="47"/>
      <c r="AV150" s="47"/>
      <c r="AW150" s="47"/>
    </row>
    <row r="151" spans="1:49" x14ac:dyDescent="0.2">
      <c r="A151" s="47">
        <v>10020182</v>
      </c>
      <c r="B151" s="47">
        <v>110</v>
      </c>
      <c r="C151" s="47" t="s">
        <v>26</v>
      </c>
      <c r="D151" s="47" t="s">
        <v>136</v>
      </c>
      <c r="E151" s="48">
        <v>42355</v>
      </c>
      <c r="F151" s="47">
        <v>93621239</v>
      </c>
      <c r="G151" s="47">
        <v>110</v>
      </c>
      <c r="H151" s="48">
        <v>42346</v>
      </c>
      <c r="I151" s="47"/>
      <c r="J151" s="47">
        <v>1201675</v>
      </c>
      <c r="K151" s="47" t="s">
        <v>165</v>
      </c>
      <c r="L151" s="47">
        <v>1201675</v>
      </c>
      <c r="M151" s="47" t="s">
        <v>165</v>
      </c>
      <c r="N151" s="47">
        <v>1172015</v>
      </c>
      <c r="O151" s="47" t="s">
        <v>165</v>
      </c>
      <c r="P151" s="47" t="s">
        <v>1454</v>
      </c>
      <c r="Q151" s="47"/>
      <c r="R151" s="47"/>
      <c r="S151" s="47">
        <v>456341490</v>
      </c>
      <c r="T151" s="47" t="s">
        <v>1690</v>
      </c>
      <c r="U151" s="47" t="s">
        <v>1335</v>
      </c>
      <c r="V151" s="47" t="s">
        <v>1418</v>
      </c>
      <c r="W151" s="47" t="s">
        <v>1331</v>
      </c>
      <c r="X151" s="47">
        <v>1151221</v>
      </c>
      <c r="Y151" s="47">
        <v>12</v>
      </c>
      <c r="Z151" s="47">
        <v>12</v>
      </c>
      <c r="AA151" s="47" t="s">
        <v>1332</v>
      </c>
      <c r="AB151" s="47">
        <v>144</v>
      </c>
      <c r="AC151" s="47" t="s">
        <v>1333</v>
      </c>
      <c r="AD151" s="47">
        <v>966.32</v>
      </c>
      <c r="AE151" s="47" t="s">
        <v>182</v>
      </c>
      <c r="AF151" s="49">
        <v>11595.84</v>
      </c>
      <c r="AG151" s="49">
        <v>11595.84</v>
      </c>
      <c r="AH151" s="47" t="s">
        <v>182</v>
      </c>
      <c r="AI151" s="47" t="s">
        <v>181</v>
      </c>
      <c r="AJ151" s="47" t="s">
        <v>102</v>
      </c>
      <c r="AK151" s="47"/>
      <c r="AL151" s="47" t="s">
        <v>63</v>
      </c>
      <c r="AM151" s="47"/>
      <c r="AN151" s="47"/>
      <c r="AO151" s="47"/>
      <c r="AP151" s="47"/>
      <c r="AQ151" s="47"/>
      <c r="AR151" s="47"/>
      <c r="AS151" s="47"/>
      <c r="AT151" s="47"/>
      <c r="AU151" s="47"/>
      <c r="AV151" s="47"/>
      <c r="AW151" s="47"/>
    </row>
    <row r="152" spans="1:49" x14ac:dyDescent="0.2">
      <c r="A152" s="47">
        <v>10020182</v>
      </c>
      <c r="B152" s="47">
        <v>120</v>
      </c>
      <c r="C152" s="47" t="s">
        <v>26</v>
      </c>
      <c r="D152" s="47" t="s">
        <v>136</v>
      </c>
      <c r="E152" s="48">
        <v>42355</v>
      </c>
      <c r="F152" s="47">
        <v>93621239</v>
      </c>
      <c r="G152" s="47">
        <v>120</v>
      </c>
      <c r="H152" s="48">
        <v>42346</v>
      </c>
      <c r="I152" s="47"/>
      <c r="J152" s="47">
        <v>1201675</v>
      </c>
      <c r="K152" s="47" t="s">
        <v>165</v>
      </c>
      <c r="L152" s="47">
        <v>1201675</v>
      </c>
      <c r="M152" s="47" t="s">
        <v>165</v>
      </c>
      <c r="N152" s="47">
        <v>1172015</v>
      </c>
      <c r="O152" s="47" t="s">
        <v>165</v>
      </c>
      <c r="P152" s="47" t="s">
        <v>1454</v>
      </c>
      <c r="Q152" s="47"/>
      <c r="R152" s="47"/>
      <c r="S152" s="47">
        <v>456342133</v>
      </c>
      <c r="T152" s="47" t="s">
        <v>1691</v>
      </c>
      <c r="U152" s="47" t="s">
        <v>1335</v>
      </c>
      <c r="V152" s="47" t="s">
        <v>1418</v>
      </c>
      <c r="W152" s="47" t="s">
        <v>1331</v>
      </c>
      <c r="X152" s="47"/>
      <c r="Y152" s="47">
        <v>72</v>
      </c>
      <c r="Z152" s="47">
        <v>72</v>
      </c>
      <c r="AA152" s="47" t="s">
        <v>1332</v>
      </c>
      <c r="AB152" s="47">
        <v>144</v>
      </c>
      <c r="AC152" s="47" t="s">
        <v>1333</v>
      </c>
      <c r="AD152" s="47">
        <v>322.11</v>
      </c>
      <c r="AE152" s="47" t="s">
        <v>182</v>
      </c>
      <c r="AF152" s="49">
        <v>23191.919999999998</v>
      </c>
      <c r="AG152" s="49">
        <v>23191.919999999998</v>
      </c>
      <c r="AH152" s="47" t="s">
        <v>182</v>
      </c>
      <c r="AI152" s="47" t="s">
        <v>181</v>
      </c>
      <c r="AJ152" s="47" t="s">
        <v>102</v>
      </c>
      <c r="AK152" s="47"/>
      <c r="AL152" s="47" t="s">
        <v>63</v>
      </c>
      <c r="AM152" s="47"/>
      <c r="AN152" s="47"/>
      <c r="AO152" s="47"/>
      <c r="AP152" s="47"/>
      <c r="AQ152" s="47"/>
      <c r="AR152" s="47"/>
      <c r="AS152" s="47"/>
      <c r="AT152" s="47"/>
      <c r="AU152" s="47"/>
      <c r="AV152" s="47"/>
      <c r="AW152" s="47"/>
    </row>
    <row r="153" spans="1:49" x14ac:dyDescent="0.2">
      <c r="A153" s="47">
        <v>10020182</v>
      </c>
      <c r="B153" s="47">
        <v>130</v>
      </c>
      <c r="C153" s="47" t="s">
        <v>26</v>
      </c>
      <c r="D153" s="47" t="s">
        <v>136</v>
      </c>
      <c r="E153" s="48">
        <v>42355</v>
      </c>
      <c r="F153" s="47">
        <v>93621239</v>
      </c>
      <c r="G153" s="47">
        <v>130</v>
      </c>
      <c r="H153" s="48">
        <v>42346</v>
      </c>
      <c r="I153" s="47"/>
      <c r="J153" s="47">
        <v>1201675</v>
      </c>
      <c r="K153" s="47" t="s">
        <v>165</v>
      </c>
      <c r="L153" s="47">
        <v>1201675</v>
      </c>
      <c r="M153" s="47" t="s">
        <v>165</v>
      </c>
      <c r="N153" s="47">
        <v>1172015</v>
      </c>
      <c r="O153" s="47" t="s">
        <v>165</v>
      </c>
      <c r="P153" s="47" t="s">
        <v>1454</v>
      </c>
      <c r="Q153" s="47"/>
      <c r="R153" s="47"/>
      <c r="S153" s="47">
        <v>456222030</v>
      </c>
      <c r="T153" s="47" t="s">
        <v>1692</v>
      </c>
      <c r="U153" s="47" t="s">
        <v>1335</v>
      </c>
      <c r="V153" s="47" t="s">
        <v>1336</v>
      </c>
      <c r="W153" s="47" t="s">
        <v>1331</v>
      </c>
      <c r="X153" s="47" t="s">
        <v>1693</v>
      </c>
      <c r="Y153" s="47">
        <v>12</v>
      </c>
      <c r="Z153" s="47">
        <v>12</v>
      </c>
      <c r="AA153" s="47" t="s">
        <v>1332</v>
      </c>
      <c r="AB153" s="47">
        <v>144</v>
      </c>
      <c r="AC153" s="47" t="s">
        <v>1333</v>
      </c>
      <c r="AD153" s="47">
        <v>272.23</v>
      </c>
      <c r="AE153" s="47" t="s">
        <v>182</v>
      </c>
      <c r="AF153" s="49">
        <v>3266.76</v>
      </c>
      <c r="AG153" s="49">
        <v>3266.76</v>
      </c>
      <c r="AH153" s="47" t="s">
        <v>182</v>
      </c>
      <c r="AI153" s="47" t="s">
        <v>181</v>
      </c>
      <c r="AJ153" s="47" t="s">
        <v>102</v>
      </c>
      <c r="AK153" s="47"/>
      <c r="AL153" s="47" t="s">
        <v>63</v>
      </c>
      <c r="AM153" s="47"/>
      <c r="AN153" s="47"/>
      <c r="AO153" s="47"/>
      <c r="AP153" s="47"/>
      <c r="AQ153" s="47"/>
      <c r="AR153" s="47"/>
      <c r="AS153" s="47"/>
      <c r="AT153" s="47"/>
      <c r="AU153" s="47"/>
      <c r="AV153" s="47"/>
      <c r="AW153" s="47"/>
    </row>
    <row r="154" spans="1:49" x14ac:dyDescent="0.2">
      <c r="A154" s="47">
        <v>10020182</v>
      </c>
      <c r="B154" s="47">
        <v>140</v>
      </c>
      <c r="C154" s="47" t="s">
        <v>26</v>
      </c>
      <c r="D154" s="47" t="s">
        <v>136</v>
      </c>
      <c r="E154" s="48">
        <v>42355</v>
      </c>
      <c r="F154" s="47">
        <v>93621239</v>
      </c>
      <c r="G154" s="47">
        <v>140</v>
      </c>
      <c r="H154" s="48">
        <v>42346</v>
      </c>
      <c r="I154" s="47"/>
      <c r="J154" s="47">
        <v>1201675</v>
      </c>
      <c r="K154" s="47" t="s">
        <v>165</v>
      </c>
      <c r="L154" s="47">
        <v>1201675</v>
      </c>
      <c r="M154" s="47" t="s">
        <v>165</v>
      </c>
      <c r="N154" s="47">
        <v>1172015</v>
      </c>
      <c r="O154" s="47" t="s">
        <v>165</v>
      </c>
      <c r="P154" s="47" t="s">
        <v>1454</v>
      </c>
      <c r="Q154" s="47"/>
      <c r="R154" s="47"/>
      <c r="S154" s="47">
        <v>456224030</v>
      </c>
      <c r="T154" s="47" t="s">
        <v>1694</v>
      </c>
      <c r="U154" s="47" t="s">
        <v>1335</v>
      </c>
      <c r="V154" s="47" t="s">
        <v>1336</v>
      </c>
      <c r="W154" s="47" t="s">
        <v>1331</v>
      </c>
      <c r="X154" s="47">
        <v>1145462</v>
      </c>
      <c r="Y154" s="47">
        <v>36</v>
      </c>
      <c r="Z154" s="47">
        <v>36</v>
      </c>
      <c r="AA154" s="47" t="s">
        <v>1332</v>
      </c>
      <c r="AB154" s="47">
        <v>144</v>
      </c>
      <c r="AC154" s="47" t="s">
        <v>1333</v>
      </c>
      <c r="AD154" s="47">
        <v>272.23</v>
      </c>
      <c r="AE154" s="47" t="s">
        <v>182</v>
      </c>
      <c r="AF154" s="49">
        <v>9800.2800000000007</v>
      </c>
      <c r="AG154" s="49">
        <v>9800.2800000000007</v>
      </c>
      <c r="AH154" s="47" t="s">
        <v>182</v>
      </c>
      <c r="AI154" s="47" t="s">
        <v>181</v>
      </c>
      <c r="AJ154" s="47" t="s">
        <v>102</v>
      </c>
      <c r="AK154" s="47"/>
      <c r="AL154" s="47" t="s">
        <v>63</v>
      </c>
      <c r="AM154" s="47"/>
      <c r="AN154" s="47"/>
      <c r="AO154" s="47"/>
      <c r="AP154" s="47"/>
      <c r="AQ154" s="47"/>
      <c r="AR154" s="47"/>
      <c r="AS154" s="47"/>
      <c r="AT154" s="47"/>
      <c r="AU154" s="47"/>
      <c r="AV154" s="47"/>
      <c r="AW154" s="47"/>
    </row>
    <row r="155" spans="1:49" x14ac:dyDescent="0.2">
      <c r="A155" s="47">
        <v>10020182</v>
      </c>
      <c r="B155" s="47">
        <v>150</v>
      </c>
      <c r="C155" s="47" t="s">
        <v>26</v>
      </c>
      <c r="D155" s="47" t="s">
        <v>136</v>
      </c>
      <c r="E155" s="48">
        <v>42355</v>
      </c>
      <c r="F155" s="47">
        <v>93621239</v>
      </c>
      <c r="G155" s="47">
        <v>150</v>
      </c>
      <c r="H155" s="48">
        <v>42346</v>
      </c>
      <c r="I155" s="47"/>
      <c r="J155" s="47">
        <v>1201675</v>
      </c>
      <c r="K155" s="47" t="s">
        <v>165</v>
      </c>
      <c r="L155" s="47">
        <v>1201675</v>
      </c>
      <c r="M155" s="47" t="s">
        <v>165</v>
      </c>
      <c r="N155" s="47">
        <v>1172015</v>
      </c>
      <c r="O155" s="47" t="s">
        <v>165</v>
      </c>
      <c r="P155" s="47" t="s">
        <v>1454</v>
      </c>
      <c r="Q155" s="47"/>
      <c r="R155" s="47"/>
      <c r="S155" s="47">
        <v>456228030</v>
      </c>
      <c r="T155" s="47" t="s">
        <v>1695</v>
      </c>
      <c r="U155" s="47" t="s">
        <v>1335</v>
      </c>
      <c r="V155" s="47" t="s">
        <v>1336</v>
      </c>
      <c r="W155" s="47" t="s">
        <v>1331</v>
      </c>
      <c r="X155" s="47">
        <v>1149488</v>
      </c>
      <c r="Y155" s="47">
        <v>36</v>
      </c>
      <c r="Z155" s="47">
        <v>36</v>
      </c>
      <c r="AA155" s="47" t="s">
        <v>1332</v>
      </c>
      <c r="AB155" s="47">
        <v>144</v>
      </c>
      <c r="AC155" s="47" t="s">
        <v>1333</v>
      </c>
      <c r="AD155" s="47">
        <v>272.23</v>
      </c>
      <c r="AE155" s="47" t="s">
        <v>182</v>
      </c>
      <c r="AF155" s="49">
        <v>9800.2800000000007</v>
      </c>
      <c r="AG155" s="49">
        <v>9800.2800000000007</v>
      </c>
      <c r="AH155" s="47" t="s">
        <v>182</v>
      </c>
      <c r="AI155" s="47" t="s">
        <v>181</v>
      </c>
      <c r="AJ155" s="47" t="s">
        <v>102</v>
      </c>
      <c r="AK155" s="47"/>
      <c r="AL155" s="47" t="s">
        <v>63</v>
      </c>
      <c r="AM155" s="47"/>
      <c r="AN155" s="47"/>
      <c r="AO155" s="47"/>
      <c r="AP155" s="47"/>
      <c r="AQ155" s="47"/>
      <c r="AR155" s="47"/>
      <c r="AS155" s="47"/>
      <c r="AT155" s="47"/>
      <c r="AU155" s="47"/>
      <c r="AV155" s="47"/>
      <c r="AW155" s="47"/>
    </row>
    <row r="156" spans="1:49" x14ac:dyDescent="0.2">
      <c r="A156" s="47">
        <v>10020182</v>
      </c>
      <c r="B156" s="47">
        <v>160</v>
      </c>
      <c r="C156" s="47" t="s">
        <v>26</v>
      </c>
      <c r="D156" s="47" t="s">
        <v>136</v>
      </c>
      <c r="E156" s="48">
        <v>42355</v>
      </c>
      <c r="F156" s="47">
        <v>93621239</v>
      </c>
      <c r="G156" s="47">
        <v>160</v>
      </c>
      <c r="H156" s="48">
        <v>42346</v>
      </c>
      <c r="I156" s="47"/>
      <c r="J156" s="47">
        <v>1201675</v>
      </c>
      <c r="K156" s="47" t="s">
        <v>165</v>
      </c>
      <c r="L156" s="47">
        <v>1201675</v>
      </c>
      <c r="M156" s="47" t="s">
        <v>165</v>
      </c>
      <c r="N156" s="47">
        <v>1172015</v>
      </c>
      <c r="O156" s="47" t="s">
        <v>165</v>
      </c>
      <c r="P156" s="47" t="s">
        <v>1454</v>
      </c>
      <c r="Q156" s="47"/>
      <c r="R156" s="47"/>
      <c r="S156" s="47">
        <v>456221230</v>
      </c>
      <c r="T156" s="47" t="s">
        <v>1334</v>
      </c>
      <c r="U156" s="47" t="s">
        <v>1335</v>
      </c>
      <c r="V156" s="47" t="s">
        <v>1336</v>
      </c>
      <c r="W156" s="47" t="s">
        <v>1331</v>
      </c>
      <c r="X156" s="47">
        <v>1150893</v>
      </c>
      <c r="Y156" s="47">
        <v>24</v>
      </c>
      <c r="Z156" s="47">
        <v>24</v>
      </c>
      <c r="AA156" s="47" t="s">
        <v>1332</v>
      </c>
      <c r="AB156" s="47">
        <v>144</v>
      </c>
      <c r="AC156" s="47" t="s">
        <v>1333</v>
      </c>
      <c r="AD156" s="47">
        <v>272.23</v>
      </c>
      <c r="AE156" s="47" t="s">
        <v>182</v>
      </c>
      <c r="AF156" s="49">
        <v>6533.52</v>
      </c>
      <c r="AG156" s="49">
        <v>6533.52</v>
      </c>
      <c r="AH156" s="47" t="s">
        <v>182</v>
      </c>
      <c r="AI156" s="47" t="s">
        <v>181</v>
      </c>
      <c r="AJ156" s="47" t="s">
        <v>102</v>
      </c>
      <c r="AK156" s="47"/>
      <c r="AL156" s="47" t="s">
        <v>63</v>
      </c>
      <c r="AM156" s="47"/>
      <c r="AN156" s="47"/>
      <c r="AO156" s="47"/>
      <c r="AP156" s="47"/>
      <c r="AQ156" s="47"/>
      <c r="AR156" s="47"/>
      <c r="AS156" s="47"/>
      <c r="AT156" s="47"/>
      <c r="AU156" s="47"/>
      <c r="AV156" s="47"/>
      <c r="AW156" s="47"/>
    </row>
    <row r="157" spans="1:49" x14ac:dyDescent="0.2">
      <c r="A157" s="47">
        <v>10020182</v>
      </c>
      <c r="B157" s="47">
        <v>180</v>
      </c>
      <c r="C157" s="47" t="s">
        <v>26</v>
      </c>
      <c r="D157" s="47" t="s">
        <v>136</v>
      </c>
      <c r="E157" s="48">
        <v>42355</v>
      </c>
      <c r="F157" s="47">
        <v>93621239</v>
      </c>
      <c r="G157" s="47">
        <v>180</v>
      </c>
      <c r="H157" s="48">
        <v>42346</v>
      </c>
      <c r="I157" s="47"/>
      <c r="J157" s="47">
        <v>1201675</v>
      </c>
      <c r="K157" s="47" t="s">
        <v>165</v>
      </c>
      <c r="L157" s="47">
        <v>1201675</v>
      </c>
      <c r="M157" s="47" t="s">
        <v>165</v>
      </c>
      <c r="N157" s="47">
        <v>1172015</v>
      </c>
      <c r="O157" s="47" t="s">
        <v>165</v>
      </c>
      <c r="P157" s="47" t="s">
        <v>1454</v>
      </c>
      <c r="Q157" s="47"/>
      <c r="R157" s="47"/>
      <c r="S157" s="47">
        <v>456142090</v>
      </c>
      <c r="T157" s="47" t="s">
        <v>1696</v>
      </c>
      <c r="U157" s="47" t="s">
        <v>1335</v>
      </c>
      <c r="V157" s="47" t="s">
        <v>1697</v>
      </c>
      <c r="W157" s="47" t="s">
        <v>1331</v>
      </c>
      <c r="X157" s="47">
        <v>1152682</v>
      </c>
      <c r="Y157" s="47">
        <v>24</v>
      </c>
      <c r="Z157" s="47">
        <v>24</v>
      </c>
      <c r="AA157" s="47" t="s">
        <v>1332</v>
      </c>
      <c r="AB157" s="47">
        <v>144</v>
      </c>
      <c r="AC157" s="47" t="s">
        <v>1333</v>
      </c>
      <c r="AD157" s="47">
        <v>306.32</v>
      </c>
      <c r="AE157" s="47" t="s">
        <v>182</v>
      </c>
      <c r="AF157" s="49">
        <v>7351.68</v>
      </c>
      <c r="AG157" s="49">
        <v>7351.68</v>
      </c>
      <c r="AH157" s="47" t="s">
        <v>182</v>
      </c>
      <c r="AI157" s="47" t="s">
        <v>181</v>
      </c>
      <c r="AJ157" s="47" t="s">
        <v>102</v>
      </c>
      <c r="AK157" s="47"/>
      <c r="AL157" s="47" t="s">
        <v>63</v>
      </c>
      <c r="AM157" s="47"/>
      <c r="AN157" s="47"/>
      <c r="AO157" s="47"/>
      <c r="AP157" s="47"/>
      <c r="AQ157" s="47"/>
      <c r="AR157" s="47"/>
      <c r="AS157" s="47"/>
      <c r="AT157" s="47"/>
      <c r="AU157" s="47"/>
      <c r="AV157" s="47"/>
      <c r="AW157" s="47"/>
    </row>
    <row r="158" spans="1:49" x14ac:dyDescent="0.2">
      <c r="A158" s="47">
        <v>10020182</v>
      </c>
      <c r="B158" s="47">
        <v>230</v>
      </c>
      <c r="C158" s="47" t="s">
        <v>26</v>
      </c>
      <c r="D158" s="47" t="s">
        <v>136</v>
      </c>
      <c r="E158" s="48">
        <v>42355</v>
      </c>
      <c r="F158" s="47">
        <v>93621239</v>
      </c>
      <c r="G158" s="47">
        <v>230</v>
      </c>
      <c r="H158" s="48">
        <v>42346</v>
      </c>
      <c r="I158" s="47"/>
      <c r="J158" s="47">
        <v>1201675</v>
      </c>
      <c r="K158" s="47" t="s">
        <v>165</v>
      </c>
      <c r="L158" s="47">
        <v>1201675</v>
      </c>
      <c r="M158" s="47" t="s">
        <v>165</v>
      </c>
      <c r="N158" s="47">
        <v>1172015</v>
      </c>
      <c r="O158" s="47" t="s">
        <v>165</v>
      </c>
      <c r="P158" s="47" t="s">
        <v>1454</v>
      </c>
      <c r="Q158" s="47"/>
      <c r="R158" s="47"/>
      <c r="S158" s="47">
        <v>42865030402</v>
      </c>
      <c r="T158" s="47" t="s">
        <v>1698</v>
      </c>
      <c r="U158" s="47" t="s">
        <v>1381</v>
      </c>
      <c r="V158" s="47" t="s">
        <v>1382</v>
      </c>
      <c r="W158" s="47" t="s">
        <v>1331</v>
      </c>
      <c r="X158" s="47" t="s">
        <v>1699</v>
      </c>
      <c r="Y158" s="47">
        <v>1</v>
      </c>
      <c r="Z158" s="47">
        <v>1</v>
      </c>
      <c r="AA158" s="47" t="s">
        <v>1332</v>
      </c>
      <c r="AB158" s="47">
        <v>100</v>
      </c>
      <c r="AC158" s="47" t="s">
        <v>1333</v>
      </c>
      <c r="AD158" s="47">
        <v>124.81</v>
      </c>
      <c r="AE158" s="47" t="s">
        <v>182</v>
      </c>
      <c r="AF158" s="47">
        <v>124.81</v>
      </c>
      <c r="AG158" s="47">
        <v>124.81</v>
      </c>
      <c r="AH158" s="47" t="s">
        <v>182</v>
      </c>
      <c r="AI158" s="47" t="s">
        <v>181</v>
      </c>
      <c r="AJ158" s="47" t="s">
        <v>102</v>
      </c>
      <c r="AK158" s="47"/>
      <c r="AL158" s="47" t="s">
        <v>63</v>
      </c>
      <c r="AM158" s="47"/>
      <c r="AN158" s="47"/>
      <c r="AO158" s="47"/>
      <c r="AP158" s="47"/>
      <c r="AQ158" s="47"/>
      <c r="AR158" s="47"/>
      <c r="AS158" s="47"/>
      <c r="AT158" s="47"/>
      <c r="AU158" s="47"/>
      <c r="AV158" s="47"/>
      <c r="AW158" s="47"/>
    </row>
    <row r="159" spans="1:49" x14ac:dyDescent="0.2">
      <c r="A159" s="47">
        <v>10020182</v>
      </c>
      <c r="B159" s="47">
        <v>260</v>
      </c>
      <c r="C159" s="47" t="s">
        <v>26</v>
      </c>
      <c r="D159" s="47" t="s">
        <v>136</v>
      </c>
      <c r="E159" s="48">
        <v>42355</v>
      </c>
      <c r="F159" s="47">
        <v>93621239</v>
      </c>
      <c r="G159" s="47">
        <v>260</v>
      </c>
      <c r="H159" s="48">
        <v>42346</v>
      </c>
      <c r="I159" s="47"/>
      <c r="J159" s="47">
        <v>1201675</v>
      </c>
      <c r="K159" s="47" t="s">
        <v>165</v>
      </c>
      <c r="L159" s="47">
        <v>1201675</v>
      </c>
      <c r="M159" s="47" t="s">
        <v>165</v>
      </c>
      <c r="N159" s="47">
        <v>1172015</v>
      </c>
      <c r="O159" s="47" t="s">
        <v>165</v>
      </c>
      <c r="P159" s="47" t="s">
        <v>1454</v>
      </c>
      <c r="Q159" s="47"/>
      <c r="R159" s="47"/>
      <c r="S159" s="47">
        <v>42865030202</v>
      </c>
      <c r="T159" s="47" t="s">
        <v>1700</v>
      </c>
      <c r="U159" s="47" t="s">
        <v>1381</v>
      </c>
      <c r="V159" s="47" t="s">
        <v>1382</v>
      </c>
      <c r="W159" s="47" t="s">
        <v>1331</v>
      </c>
      <c r="X159" s="47" t="s">
        <v>1701</v>
      </c>
      <c r="Y159" s="47">
        <v>25</v>
      </c>
      <c r="Z159" s="47">
        <v>25</v>
      </c>
      <c r="AA159" s="47" t="s">
        <v>1332</v>
      </c>
      <c r="AB159" s="47">
        <v>25</v>
      </c>
      <c r="AC159" s="47" t="s">
        <v>1333</v>
      </c>
      <c r="AD159" s="47">
        <v>339.97</v>
      </c>
      <c r="AE159" s="47" t="s">
        <v>182</v>
      </c>
      <c r="AF159" s="49">
        <v>8499.25</v>
      </c>
      <c r="AG159" s="49">
        <v>8499.25</v>
      </c>
      <c r="AH159" s="47" t="s">
        <v>182</v>
      </c>
      <c r="AI159" s="47" t="s">
        <v>181</v>
      </c>
      <c r="AJ159" s="47" t="s">
        <v>102</v>
      </c>
      <c r="AK159" s="47"/>
      <c r="AL159" s="47" t="s">
        <v>63</v>
      </c>
      <c r="AM159" s="47"/>
      <c r="AN159" s="47"/>
      <c r="AO159" s="47"/>
      <c r="AP159" s="47"/>
      <c r="AQ159" s="47"/>
      <c r="AR159" s="47"/>
      <c r="AS159" s="47"/>
      <c r="AT159" s="47"/>
      <c r="AU159" s="47">
        <v>649275161885</v>
      </c>
      <c r="AV159" s="47"/>
      <c r="AW159" s="47"/>
    </row>
    <row r="160" spans="1:49" x14ac:dyDescent="0.2">
      <c r="A160" s="47">
        <v>10020182</v>
      </c>
      <c r="B160" s="47">
        <v>280</v>
      </c>
      <c r="C160" s="47" t="s">
        <v>26</v>
      </c>
      <c r="D160" s="47" t="s">
        <v>136</v>
      </c>
      <c r="E160" s="48">
        <v>42355</v>
      </c>
      <c r="F160" s="47">
        <v>93621239</v>
      </c>
      <c r="G160" s="47">
        <v>280</v>
      </c>
      <c r="H160" s="48">
        <v>42346</v>
      </c>
      <c r="I160" s="47"/>
      <c r="J160" s="47">
        <v>1201675</v>
      </c>
      <c r="K160" s="47" t="s">
        <v>165</v>
      </c>
      <c r="L160" s="47">
        <v>1201675</v>
      </c>
      <c r="M160" s="47" t="s">
        <v>165</v>
      </c>
      <c r="N160" s="47">
        <v>1172015</v>
      </c>
      <c r="O160" s="47" t="s">
        <v>165</v>
      </c>
      <c r="P160" s="47" t="s">
        <v>1454</v>
      </c>
      <c r="Q160" s="47"/>
      <c r="R160" s="47"/>
      <c r="S160" s="47">
        <v>58914093099</v>
      </c>
      <c r="T160" s="47" t="s">
        <v>1702</v>
      </c>
      <c r="U160" s="47" t="s">
        <v>1340</v>
      </c>
      <c r="V160" s="47" t="s">
        <v>1703</v>
      </c>
      <c r="W160" s="47" t="s">
        <v>1331</v>
      </c>
      <c r="X160" s="47">
        <v>69483</v>
      </c>
      <c r="Y160" s="47">
        <v>2</v>
      </c>
      <c r="Z160" s="47">
        <v>2</v>
      </c>
      <c r="AA160" s="47" t="s">
        <v>1332</v>
      </c>
      <c r="AB160" s="47">
        <v>12</v>
      </c>
      <c r="AC160" s="47" t="s">
        <v>1333</v>
      </c>
      <c r="AD160" s="47">
        <v>36</v>
      </c>
      <c r="AE160" s="47" t="s">
        <v>182</v>
      </c>
      <c r="AF160" s="47">
        <v>72</v>
      </c>
      <c r="AG160" s="47">
        <v>72</v>
      </c>
      <c r="AH160" s="47" t="s">
        <v>182</v>
      </c>
      <c r="AI160" s="47" t="s">
        <v>181</v>
      </c>
      <c r="AJ160" s="47" t="s">
        <v>102</v>
      </c>
      <c r="AK160" s="47"/>
      <c r="AL160" s="47" t="s">
        <v>63</v>
      </c>
      <c r="AM160" s="47"/>
      <c r="AN160" s="47"/>
      <c r="AO160" s="47"/>
      <c r="AP160" s="47"/>
      <c r="AQ160" s="47"/>
      <c r="AR160" s="47"/>
      <c r="AS160" s="47"/>
      <c r="AT160" s="47"/>
      <c r="AU160" s="47"/>
      <c r="AV160" s="47"/>
      <c r="AW160" s="47"/>
    </row>
    <row r="161" spans="1:49" x14ac:dyDescent="0.2">
      <c r="A161" s="47">
        <v>10020182</v>
      </c>
      <c r="B161" s="47">
        <v>300</v>
      </c>
      <c r="C161" s="47" t="s">
        <v>26</v>
      </c>
      <c r="D161" s="47" t="s">
        <v>136</v>
      </c>
      <c r="E161" s="48">
        <v>42355</v>
      </c>
      <c r="F161" s="47">
        <v>93621239</v>
      </c>
      <c r="G161" s="47">
        <v>300</v>
      </c>
      <c r="H161" s="48">
        <v>42346</v>
      </c>
      <c r="I161" s="47"/>
      <c r="J161" s="47">
        <v>1201675</v>
      </c>
      <c r="K161" s="47" t="s">
        <v>165</v>
      </c>
      <c r="L161" s="47">
        <v>1201675</v>
      </c>
      <c r="M161" s="47" t="s">
        <v>165</v>
      </c>
      <c r="N161" s="47">
        <v>1172015</v>
      </c>
      <c r="O161" s="47" t="s">
        <v>165</v>
      </c>
      <c r="P161" s="47" t="s">
        <v>1454</v>
      </c>
      <c r="Q161" s="47"/>
      <c r="R161" s="47"/>
      <c r="S161" s="47">
        <v>456430001</v>
      </c>
      <c r="T161" s="47" t="s">
        <v>1377</v>
      </c>
      <c r="U161" s="47" t="s">
        <v>1340</v>
      </c>
      <c r="V161" s="47" t="s">
        <v>1378</v>
      </c>
      <c r="W161" s="47" t="s">
        <v>1331</v>
      </c>
      <c r="X161" s="47">
        <v>337457</v>
      </c>
      <c r="Y161" s="47">
        <v>48</v>
      </c>
      <c r="Z161" s="47">
        <v>48</v>
      </c>
      <c r="AA161" s="47" t="s">
        <v>1332</v>
      </c>
      <c r="AB161" s="47">
        <v>48</v>
      </c>
      <c r="AC161" s="47" t="s">
        <v>1333</v>
      </c>
      <c r="AD161" s="47">
        <v>60.51</v>
      </c>
      <c r="AE161" s="47" t="s">
        <v>182</v>
      </c>
      <c r="AF161" s="49">
        <v>2904.48</v>
      </c>
      <c r="AG161" s="49">
        <v>2904.48</v>
      </c>
      <c r="AH161" s="47" t="s">
        <v>182</v>
      </c>
      <c r="AI161" s="47" t="s">
        <v>181</v>
      </c>
      <c r="AJ161" s="47" t="s">
        <v>102</v>
      </c>
      <c r="AK161" s="47"/>
      <c r="AL161" s="47" t="s">
        <v>63</v>
      </c>
      <c r="AM161" s="47"/>
      <c r="AN161" s="47"/>
      <c r="AO161" s="47"/>
      <c r="AP161" s="47"/>
      <c r="AQ161" s="47"/>
      <c r="AR161" s="47"/>
      <c r="AS161" s="47"/>
      <c r="AT161" s="47"/>
      <c r="AU161" s="47">
        <v>649275161885</v>
      </c>
      <c r="AV161" s="47"/>
      <c r="AW161" s="47"/>
    </row>
    <row r="162" spans="1:49" x14ac:dyDescent="0.2">
      <c r="A162" s="47">
        <v>10020182</v>
      </c>
      <c r="B162" s="47">
        <v>330</v>
      </c>
      <c r="C162" s="47" t="s">
        <v>26</v>
      </c>
      <c r="D162" s="47" t="s">
        <v>136</v>
      </c>
      <c r="E162" s="48">
        <v>42355</v>
      </c>
      <c r="F162" s="47">
        <v>93621239</v>
      </c>
      <c r="G162" s="47">
        <v>330</v>
      </c>
      <c r="H162" s="48">
        <v>42346</v>
      </c>
      <c r="I162" s="47"/>
      <c r="J162" s="47">
        <v>1201675</v>
      </c>
      <c r="K162" s="47" t="s">
        <v>165</v>
      </c>
      <c r="L162" s="47">
        <v>1201675</v>
      </c>
      <c r="M162" s="47" t="s">
        <v>165</v>
      </c>
      <c r="N162" s="47">
        <v>1172015</v>
      </c>
      <c r="O162" s="47" t="s">
        <v>165</v>
      </c>
      <c r="P162" s="47" t="s">
        <v>1454</v>
      </c>
      <c r="Q162" s="47"/>
      <c r="R162" s="47"/>
      <c r="S162" s="47">
        <v>456240260</v>
      </c>
      <c r="T162" s="47" t="s">
        <v>1704</v>
      </c>
      <c r="U162" s="47" t="s">
        <v>1335</v>
      </c>
      <c r="V162" s="47" t="s">
        <v>1705</v>
      </c>
      <c r="W162" s="47" t="s">
        <v>1331</v>
      </c>
      <c r="X162" s="47" t="s">
        <v>1706</v>
      </c>
      <c r="Y162" s="47">
        <v>3</v>
      </c>
      <c r="Z162" s="47">
        <v>3</v>
      </c>
      <c r="AA162" s="47" t="s">
        <v>1332</v>
      </c>
      <c r="AB162" s="47">
        <v>32</v>
      </c>
      <c r="AC162" s="47" t="s">
        <v>1333</v>
      </c>
      <c r="AD162" s="47">
        <v>915.45</v>
      </c>
      <c r="AE162" s="47" t="s">
        <v>182</v>
      </c>
      <c r="AF162" s="49">
        <v>2746.35</v>
      </c>
      <c r="AG162" s="49">
        <v>2746.35</v>
      </c>
      <c r="AH162" s="47" t="s">
        <v>182</v>
      </c>
      <c r="AI162" s="47" t="s">
        <v>181</v>
      </c>
      <c r="AJ162" s="47" t="s">
        <v>102</v>
      </c>
      <c r="AK162" s="47"/>
      <c r="AL162" s="47" t="s">
        <v>63</v>
      </c>
      <c r="AM162" s="47"/>
      <c r="AN162" s="47"/>
      <c r="AO162" s="47"/>
      <c r="AP162" s="47"/>
      <c r="AQ162" s="47"/>
      <c r="AR162" s="47"/>
      <c r="AS162" s="47"/>
      <c r="AT162" s="47"/>
      <c r="AU162" s="47"/>
      <c r="AV162" s="47"/>
      <c r="AW162" s="47"/>
    </row>
    <row r="163" spans="1:49" x14ac:dyDescent="0.2">
      <c r="A163" s="47">
        <v>10020182</v>
      </c>
      <c r="B163" s="47">
        <v>370</v>
      </c>
      <c r="C163" s="47" t="s">
        <v>26</v>
      </c>
      <c r="D163" s="47" t="s">
        <v>136</v>
      </c>
      <c r="E163" s="48">
        <v>42355</v>
      </c>
      <c r="F163" s="47">
        <v>93621239</v>
      </c>
      <c r="G163" s="47">
        <v>370</v>
      </c>
      <c r="H163" s="48">
        <v>42346</v>
      </c>
      <c r="I163" s="47"/>
      <c r="J163" s="47">
        <v>1201675</v>
      </c>
      <c r="K163" s="47" t="s">
        <v>165</v>
      </c>
      <c r="L163" s="47">
        <v>1201675</v>
      </c>
      <c r="M163" s="47" t="s">
        <v>165</v>
      </c>
      <c r="N163" s="47">
        <v>1172015</v>
      </c>
      <c r="O163" s="47" t="s">
        <v>165</v>
      </c>
      <c r="P163" s="47" t="s">
        <v>1454</v>
      </c>
      <c r="Q163" s="47"/>
      <c r="R163" s="47"/>
      <c r="S163" s="47">
        <v>456046201</v>
      </c>
      <c r="T163" s="47" t="s">
        <v>1707</v>
      </c>
      <c r="U163" s="47" t="s">
        <v>1340</v>
      </c>
      <c r="V163" s="47" t="s">
        <v>1708</v>
      </c>
      <c r="W163" s="47" t="s">
        <v>1331</v>
      </c>
      <c r="X163" s="47">
        <v>1152451</v>
      </c>
      <c r="Y163" s="47">
        <v>12</v>
      </c>
      <c r="Z163" s="47">
        <v>12</v>
      </c>
      <c r="AA163" s="47" t="s">
        <v>1332</v>
      </c>
      <c r="AB163" s="47">
        <v>96</v>
      </c>
      <c r="AC163" s="47" t="s">
        <v>1333</v>
      </c>
      <c r="AD163" s="47">
        <v>105</v>
      </c>
      <c r="AE163" s="47" t="s">
        <v>182</v>
      </c>
      <c r="AF163" s="49">
        <v>1260</v>
      </c>
      <c r="AG163" s="49">
        <v>1260</v>
      </c>
      <c r="AH163" s="47" t="s">
        <v>182</v>
      </c>
      <c r="AI163" s="47" t="s">
        <v>181</v>
      </c>
      <c r="AJ163" s="47" t="s">
        <v>102</v>
      </c>
      <c r="AK163" s="47"/>
      <c r="AL163" s="47" t="s">
        <v>63</v>
      </c>
      <c r="AM163" s="47"/>
      <c r="AN163" s="47"/>
      <c r="AO163" s="47"/>
      <c r="AP163" s="47"/>
      <c r="AQ163" s="47"/>
      <c r="AR163" s="47"/>
      <c r="AS163" s="47"/>
      <c r="AT163" s="47"/>
      <c r="AU163" s="47"/>
      <c r="AV163" s="47"/>
      <c r="AW163" s="47"/>
    </row>
    <row r="164" spans="1:49" x14ac:dyDescent="0.2">
      <c r="A164" s="47">
        <v>10020182</v>
      </c>
      <c r="B164" s="47">
        <v>380</v>
      </c>
      <c r="C164" s="47" t="s">
        <v>26</v>
      </c>
      <c r="D164" s="47" t="s">
        <v>136</v>
      </c>
      <c r="E164" s="48">
        <v>42355</v>
      </c>
      <c r="F164" s="47">
        <v>93621239</v>
      </c>
      <c r="G164" s="47">
        <v>380</v>
      </c>
      <c r="H164" s="48">
        <v>42346</v>
      </c>
      <c r="I164" s="47"/>
      <c r="J164" s="47">
        <v>1201675</v>
      </c>
      <c r="K164" s="47" t="s">
        <v>165</v>
      </c>
      <c r="L164" s="47">
        <v>1201675</v>
      </c>
      <c r="M164" s="47" t="s">
        <v>165</v>
      </c>
      <c r="N164" s="47">
        <v>1172015</v>
      </c>
      <c r="O164" s="47" t="s">
        <v>165</v>
      </c>
      <c r="P164" s="47" t="s">
        <v>1454</v>
      </c>
      <c r="Q164" s="47"/>
      <c r="R164" s="47"/>
      <c r="S164" s="47">
        <v>456046401</v>
      </c>
      <c r="T164" s="47" t="s">
        <v>1709</v>
      </c>
      <c r="U164" s="47" t="s">
        <v>1340</v>
      </c>
      <c r="V164" s="47" t="s">
        <v>1708</v>
      </c>
      <c r="W164" s="47" t="s">
        <v>1331</v>
      </c>
      <c r="X164" s="47">
        <v>1152452</v>
      </c>
      <c r="Y164" s="47">
        <v>12</v>
      </c>
      <c r="Z164" s="47">
        <v>12</v>
      </c>
      <c r="AA164" s="47" t="s">
        <v>1332</v>
      </c>
      <c r="AB164" s="47">
        <v>96</v>
      </c>
      <c r="AC164" s="47" t="s">
        <v>1333</v>
      </c>
      <c r="AD164" s="47">
        <v>150</v>
      </c>
      <c r="AE164" s="47" t="s">
        <v>182</v>
      </c>
      <c r="AF164" s="49">
        <v>1800</v>
      </c>
      <c r="AG164" s="49">
        <v>1800</v>
      </c>
      <c r="AH164" s="47" t="s">
        <v>182</v>
      </c>
      <c r="AI164" s="47" t="s">
        <v>181</v>
      </c>
      <c r="AJ164" s="47" t="s">
        <v>102</v>
      </c>
      <c r="AK164" s="47"/>
      <c r="AL164" s="47" t="s">
        <v>63</v>
      </c>
      <c r="AM164" s="47"/>
      <c r="AN164" s="47"/>
      <c r="AO164" s="47"/>
      <c r="AP164" s="47"/>
      <c r="AQ164" s="47"/>
      <c r="AR164" s="47"/>
      <c r="AS164" s="47"/>
      <c r="AT164" s="47"/>
      <c r="AU164" s="47"/>
      <c r="AV164" s="47"/>
      <c r="AW164" s="47"/>
    </row>
    <row r="165" spans="1:49" x14ac:dyDescent="0.2">
      <c r="A165" s="47">
        <v>10020182</v>
      </c>
      <c r="B165" s="47">
        <v>450</v>
      </c>
      <c r="C165" s="47" t="s">
        <v>26</v>
      </c>
      <c r="D165" s="47" t="s">
        <v>136</v>
      </c>
      <c r="E165" s="48">
        <v>42355</v>
      </c>
      <c r="F165" s="47">
        <v>93621239</v>
      </c>
      <c r="G165" s="47">
        <v>450</v>
      </c>
      <c r="H165" s="48">
        <v>42346</v>
      </c>
      <c r="I165" s="47"/>
      <c r="J165" s="47">
        <v>1201675</v>
      </c>
      <c r="K165" s="47" t="s">
        <v>165</v>
      </c>
      <c r="L165" s="47">
        <v>1201675</v>
      </c>
      <c r="M165" s="47" t="s">
        <v>165</v>
      </c>
      <c r="N165" s="47">
        <v>1172015</v>
      </c>
      <c r="O165" s="47" t="s">
        <v>165</v>
      </c>
      <c r="P165" s="47" t="s">
        <v>1454</v>
      </c>
      <c r="Q165" s="47"/>
      <c r="R165" s="47"/>
      <c r="S165" s="47">
        <v>52544015230</v>
      </c>
      <c r="T165" s="47" t="s">
        <v>1710</v>
      </c>
      <c r="U165" s="47" t="s">
        <v>1636</v>
      </c>
      <c r="V165" s="47" t="s">
        <v>1711</v>
      </c>
      <c r="W165" s="47" t="s">
        <v>1331</v>
      </c>
      <c r="X165" s="47" t="s">
        <v>1712</v>
      </c>
      <c r="Y165" s="47">
        <v>240</v>
      </c>
      <c r="Z165" s="47">
        <v>240</v>
      </c>
      <c r="AA165" s="47" t="s">
        <v>1332</v>
      </c>
      <c r="AB165" s="47">
        <v>48</v>
      </c>
      <c r="AC165" s="47" t="s">
        <v>1333</v>
      </c>
      <c r="AD165" s="47">
        <v>189.16</v>
      </c>
      <c r="AE165" s="47" t="s">
        <v>182</v>
      </c>
      <c r="AF165" s="49">
        <v>45398.400000000001</v>
      </c>
      <c r="AG165" s="49">
        <v>45398.400000000001</v>
      </c>
      <c r="AH165" s="47" t="s">
        <v>182</v>
      </c>
      <c r="AI165" s="47" t="s">
        <v>181</v>
      </c>
      <c r="AJ165" s="47" t="s">
        <v>102</v>
      </c>
      <c r="AK165" s="47"/>
      <c r="AL165" s="47" t="s">
        <v>63</v>
      </c>
      <c r="AM165" s="47"/>
      <c r="AN165" s="47"/>
      <c r="AO165" s="47"/>
      <c r="AP165" s="47"/>
      <c r="AQ165" s="47"/>
      <c r="AR165" s="47"/>
      <c r="AS165" s="47"/>
      <c r="AT165" s="47"/>
      <c r="AU165" s="47">
        <v>649275161885</v>
      </c>
      <c r="AV165" s="47"/>
      <c r="AW165" s="47"/>
    </row>
    <row r="166" spans="1:49" x14ac:dyDescent="0.2">
      <c r="A166" s="47">
        <v>10020182</v>
      </c>
      <c r="B166" s="47">
        <v>490</v>
      </c>
      <c r="C166" s="47" t="s">
        <v>26</v>
      </c>
      <c r="D166" s="47" t="s">
        <v>136</v>
      </c>
      <c r="E166" s="48">
        <v>42355</v>
      </c>
      <c r="F166" s="47">
        <v>93621239</v>
      </c>
      <c r="G166" s="47">
        <v>490</v>
      </c>
      <c r="H166" s="48">
        <v>42346</v>
      </c>
      <c r="I166" s="47"/>
      <c r="J166" s="47">
        <v>1201675</v>
      </c>
      <c r="K166" s="47" t="s">
        <v>165</v>
      </c>
      <c r="L166" s="47">
        <v>1201675</v>
      </c>
      <c r="M166" s="47" t="s">
        <v>165</v>
      </c>
      <c r="N166" s="47">
        <v>1172015</v>
      </c>
      <c r="O166" s="47" t="s">
        <v>165</v>
      </c>
      <c r="P166" s="47" t="s">
        <v>1454</v>
      </c>
      <c r="Q166" s="47"/>
      <c r="R166" s="47"/>
      <c r="S166" s="47">
        <v>456152560</v>
      </c>
      <c r="T166" s="47" t="s">
        <v>1713</v>
      </c>
      <c r="U166" s="47" t="s">
        <v>1335</v>
      </c>
      <c r="V166" s="47" t="s">
        <v>1714</v>
      </c>
      <c r="W166" s="47" t="s">
        <v>1331</v>
      </c>
      <c r="X166" s="47" t="s">
        <v>1715</v>
      </c>
      <c r="Y166" s="47">
        <v>12</v>
      </c>
      <c r="Z166" s="47">
        <v>12</v>
      </c>
      <c r="AA166" s="47" t="s">
        <v>1332</v>
      </c>
      <c r="AB166" s="47">
        <v>144</v>
      </c>
      <c r="AC166" s="47" t="s">
        <v>1333</v>
      </c>
      <c r="AD166" s="47">
        <v>248.24</v>
      </c>
      <c r="AE166" s="47" t="s">
        <v>182</v>
      </c>
      <c r="AF166" s="49">
        <v>2978.88</v>
      </c>
      <c r="AG166" s="49">
        <v>2978.88</v>
      </c>
      <c r="AH166" s="47" t="s">
        <v>182</v>
      </c>
      <c r="AI166" s="47" t="s">
        <v>181</v>
      </c>
      <c r="AJ166" s="47" t="s">
        <v>102</v>
      </c>
      <c r="AK166" s="47"/>
      <c r="AL166" s="47" t="s">
        <v>63</v>
      </c>
      <c r="AM166" s="47"/>
      <c r="AN166" s="47"/>
      <c r="AO166" s="47"/>
      <c r="AP166" s="47"/>
      <c r="AQ166" s="47"/>
      <c r="AR166" s="47"/>
      <c r="AS166" s="47"/>
      <c r="AT166" s="47"/>
      <c r="AU166" s="47"/>
      <c r="AV166" s="47"/>
      <c r="AW166" s="47"/>
    </row>
    <row r="167" spans="1:49" x14ac:dyDescent="0.2">
      <c r="A167" s="47">
        <v>10020182</v>
      </c>
      <c r="B167" s="47">
        <v>510</v>
      </c>
      <c r="C167" s="47" t="s">
        <v>26</v>
      </c>
      <c r="D167" s="47" t="s">
        <v>136</v>
      </c>
      <c r="E167" s="48">
        <v>42355</v>
      </c>
      <c r="F167" s="47">
        <v>93621239</v>
      </c>
      <c r="G167" s="47">
        <v>510</v>
      </c>
      <c r="H167" s="48">
        <v>42346</v>
      </c>
      <c r="I167" s="47"/>
      <c r="J167" s="47">
        <v>1201675</v>
      </c>
      <c r="K167" s="47" t="s">
        <v>165</v>
      </c>
      <c r="L167" s="47">
        <v>1201675</v>
      </c>
      <c r="M167" s="47" t="s">
        <v>165</v>
      </c>
      <c r="N167" s="47">
        <v>1172015</v>
      </c>
      <c r="O167" s="47" t="s">
        <v>165</v>
      </c>
      <c r="P167" s="47" t="s">
        <v>1454</v>
      </c>
      <c r="Q167" s="47"/>
      <c r="R167" s="47"/>
      <c r="S167" s="47">
        <v>456151060</v>
      </c>
      <c r="T167" s="47" t="s">
        <v>1716</v>
      </c>
      <c r="U167" s="47" t="s">
        <v>1335</v>
      </c>
      <c r="V167" s="47" t="s">
        <v>1714</v>
      </c>
      <c r="W167" s="47" t="s">
        <v>1331</v>
      </c>
      <c r="X167" s="47" t="s">
        <v>1717</v>
      </c>
      <c r="Y167" s="47">
        <v>36</v>
      </c>
      <c r="Z167" s="47">
        <v>36</v>
      </c>
      <c r="AA167" s="47" t="s">
        <v>1332</v>
      </c>
      <c r="AB167" s="47">
        <v>144</v>
      </c>
      <c r="AC167" s="47" t="s">
        <v>1333</v>
      </c>
      <c r="AD167" s="47">
        <v>248.24</v>
      </c>
      <c r="AE167" s="47" t="s">
        <v>182</v>
      </c>
      <c r="AF167" s="49">
        <v>8936.64</v>
      </c>
      <c r="AG167" s="49">
        <v>8936.64</v>
      </c>
      <c r="AH167" s="47" t="s">
        <v>182</v>
      </c>
      <c r="AI167" s="47" t="s">
        <v>181</v>
      </c>
      <c r="AJ167" s="47" t="s">
        <v>102</v>
      </c>
      <c r="AK167" s="47"/>
      <c r="AL167" s="47" t="s">
        <v>63</v>
      </c>
      <c r="AM167" s="47"/>
      <c r="AN167" s="47"/>
      <c r="AO167" s="47"/>
      <c r="AP167" s="47"/>
      <c r="AQ167" s="47"/>
      <c r="AR167" s="47"/>
      <c r="AS167" s="47"/>
      <c r="AT167" s="47"/>
      <c r="AU167" s="47"/>
      <c r="AV167" s="47"/>
      <c r="AW167" s="47"/>
    </row>
    <row r="168" spans="1:49" x14ac:dyDescent="0.2">
      <c r="A168" s="47">
        <v>10020182</v>
      </c>
      <c r="B168" s="47">
        <v>520</v>
      </c>
      <c r="C168" s="47" t="s">
        <v>26</v>
      </c>
      <c r="D168" s="47" t="s">
        <v>136</v>
      </c>
      <c r="E168" s="48">
        <v>42355</v>
      </c>
      <c r="F168" s="47">
        <v>93621239</v>
      </c>
      <c r="G168" s="47">
        <v>520</v>
      </c>
      <c r="H168" s="48">
        <v>42346</v>
      </c>
      <c r="I168" s="47"/>
      <c r="J168" s="47">
        <v>1201675</v>
      </c>
      <c r="K168" s="47" t="s">
        <v>165</v>
      </c>
      <c r="L168" s="47">
        <v>1201675</v>
      </c>
      <c r="M168" s="47" t="s">
        <v>165</v>
      </c>
      <c r="N168" s="47">
        <v>1172015</v>
      </c>
      <c r="O168" s="47" t="s">
        <v>165</v>
      </c>
      <c r="P168" s="47" t="s">
        <v>1454</v>
      </c>
      <c r="Q168" s="47"/>
      <c r="R168" s="47"/>
      <c r="S168" s="47">
        <v>456150055</v>
      </c>
      <c r="T168" s="47" t="s">
        <v>1718</v>
      </c>
      <c r="U168" s="47" t="s">
        <v>1335</v>
      </c>
      <c r="V168" s="47" t="s">
        <v>1714</v>
      </c>
      <c r="W168" s="47" t="s">
        <v>1331</v>
      </c>
      <c r="X168" s="47">
        <v>1147601</v>
      </c>
      <c r="Y168" s="47">
        <v>6</v>
      </c>
      <c r="Z168" s="47">
        <v>6</v>
      </c>
      <c r="AA168" s="47" t="s">
        <v>1332</v>
      </c>
      <c r="AB168" s="47">
        <v>36</v>
      </c>
      <c r="AC168" s="47" t="s">
        <v>1333</v>
      </c>
      <c r="AD168" s="47">
        <v>227.56</v>
      </c>
      <c r="AE168" s="47" t="s">
        <v>182</v>
      </c>
      <c r="AF168" s="49">
        <v>1365.36</v>
      </c>
      <c r="AG168" s="49">
        <v>1365.36</v>
      </c>
      <c r="AH168" s="47" t="s">
        <v>182</v>
      </c>
      <c r="AI168" s="47" t="s">
        <v>181</v>
      </c>
      <c r="AJ168" s="47" t="s">
        <v>102</v>
      </c>
      <c r="AK168" s="47"/>
      <c r="AL168" s="47" t="s">
        <v>63</v>
      </c>
      <c r="AM168" s="47"/>
      <c r="AN168" s="47"/>
      <c r="AO168" s="47"/>
      <c r="AP168" s="47"/>
      <c r="AQ168" s="47"/>
      <c r="AR168" s="47"/>
      <c r="AS168" s="47"/>
      <c r="AT168" s="47"/>
      <c r="AU168" s="47"/>
      <c r="AV168" s="47"/>
      <c r="AW168" s="47"/>
    </row>
    <row r="169" spans="1:49" x14ac:dyDescent="0.2">
      <c r="A169" s="47">
        <v>10020182</v>
      </c>
      <c r="B169" s="47">
        <v>550</v>
      </c>
      <c r="C169" s="47" t="s">
        <v>26</v>
      </c>
      <c r="D169" s="47" t="s">
        <v>136</v>
      </c>
      <c r="E169" s="48">
        <v>42355</v>
      </c>
      <c r="F169" s="47">
        <v>93621239</v>
      </c>
      <c r="G169" s="47">
        <v>550</v>
      </c>
      <c r="H169" s="48">
        <v>42346</v>
      </c>
      <c r="I169" s="47"/>
      <c r="J169" s="47">
        <v>1201675</v>
      </c>
      <c r="K169" s="47" t="s">
        <v>165</v>
      </c>
      <c r="L169" s="47">
        <v>1201675</v>
      </c>
      <c r="M169" s="47" t="s">
        <v>165</v>
      </c>
      <c r="N169" s="47">
        <v>1172015</v>
      </c>
      <c r="O169" s="47" t="s">
        <v>165</v>
      </c>
      <c r="P169" s="47" t="s">
        <v>1454</v>
      </c>
      <c r="Q169" s="47"/>
      <c r="R169" s="47"/>
      <c r="S169" s="47">
        <v>456046001</v>
      </c>
      <c r="T169" s="47" t="s">
        <v>1719</v>
      </c>
      <c r="U169" s="47" t="s">
        <v>1340</v>
      </c>
      <c r="V169" s="47" t="s">
        <v>1708</v>
      </c>
      <c r="W169" s="47" t="s">
        <v>1331</v>
      </c>
      <c r="X169" s="47">
        <v>1152932</v>
      </c>
      <c r="Y169" s="47">
        <v>84</v>
      </c>
      <c r="Z169" s="47">
        <v>84</v>
      </c>
      <c r="AA169" s="47" t="s">
        <v>1332</v>
      </c>
      <c r="AB169" s="47">
        <v>144</v>
      </c>
      <c r="AC169" s="47" t="s">
        <v>1333</v>
      </c>
      <c r="AD169" s="47">
        <v>88.13</v>
      </c>
      <c r="AE169" s="47" t="s">
        <v>182</v>
      </c>
      <c r="AF169" s="49">
        <v>7402.92</v>
      </c>
      <c r="AG169" s="49">
        <v>7402.92</v>
      </c>
      <c r="AH169" s="47" t="s">
        <v>182</v>
      </c>
      <c r="AI169" s="47" t="s">
        <v>181</v>
      </c>
      <c r="AJ169" s="47" t="s">
        <v>102</v>
      </c>
      <c r="AK169" s="47"/>
      <c r="AL169" s="47" t="s">
        <v>63</v>
      </c>
      <c r="AM169" s="47"/>
      <c r="AN169" s="47"/>
      <c r="AO169" s="47"/>
      <c r="AP169" s="47"/>
      <c r="AQ169" s="47"/>
      <c r="AR169" s="47"/>
      <c r="AS169" s="47"/>
      <c r="AT169" s="47"/>
      <c r="AU169" s="47"/>
      <c r="AV169" s="47"/>
      <c r="AW169" s="47"/>
    </row>
    <row r="170" spans="1:49" x14ac:dyDescent="0.2">
      <c r="A170" s="47">
        <v>10020182</v>
      </c>
      <c r="B170" s="47">
        <v>560</v>
      </c>
      <c r="C170" s="47" t="s">
        <v>26</v>
      </c>
      <c r="D170" s="47" t="s">
        <v>136</v>
      </c>
      <c r="E170" s="48">
        <v>42355</v>
      </c>
      <c r="F170" s="47">
        <v>93621239</v>
      </c>
      <c r="G170" s="47">
        <v>560</v>
      </c>
      <c r="H170" s="48">
        <v>42346</v>
      </c>
      <c r="I170" s="47"/>
      <c r="J170" s="47">
        <v>1201675</v>
      </c>
      <c r="K170" s="47" t="s">
        <v>165</v>
      </c>
      <c r="L170" s="47">
        <v>1201675</v>
      </c>
      <c r="M170" s="47" t="s">
        <v>165</v>
      </c>
      <c r="N170" s="47">
        <v>1172015</v>
      </c>
      <c r="O170" s="47" t="s">
        <v>165</v>
      </c>
      <c r="P170" s="47" t="s">
        <v>1454</v>
      </c>
      <c r="Q170" s="47"/>
      <c r="R170" s="47"/>
      <c r="S170" s="47">
        <v>58914050156</v>
      </c>
      <c r="T170" s="47" t="s">
        <v>1531</v>
      </c>
      <c r="U170" s="47" t="s">
        <v>1381</v>
      </c>
      <c r="V170" s="47" t="s">
        <v>1532</v>
      </c>
      <c r="W170" s="47" t="s">
        <v>1331</v>
      </c>
      <c r="X170" s="47">
        <v>5221775</v>
      </c>
      <c r="Y170" s="47">
        <v>36</v>
      </c>
      <c r="Z170" s="47">
        <v>36</v>
      </c>
      <c r="AA170" s="47" t="s">
        <v>1332</v>
      </c>
      <c r="AB170" s="47">
        <v>36</v>
      </c>
      <c r="AC170" s="47" t="s">
        <v>1333</v>
      </c>
      <c r="AD170" s="47">
        <v>815.54</v>
      </c>
      <c r="AE170" s="47" t="s">
        <v>182</v>
      </c>
      <c r="AF170" s="49">
        <v>29359.439999999999</v>
      </c>
      <c r="AG170" s="49">
        <v>29359.439999999999</v>
      </c>
      <c r="AH170" s="47" t="s">
        <v>182</v>
      </c>
      <c r="AI170" s="47" t="s">
        <v>181</v>
      </c>
      <c r="AJ170" s="47" t="s">
        <v>102</v>
      </c>
      <c r="AK170" s="47"/>
      <c r="AL170" s="47" t="s">
        <v>63</v>
      </c>
      <c r="AM170" s="47"/>
      <c r="AN170" s="47"/>
      <c r="AO170" s="47"/>
      <c r="AP170" s="47"/>
      <c r="AQ170" s="47"/>
      <c r="AR170" s="47"/>
      <c r="AS170" s="47"/>
      <c r="AT170" s="47"/>
      <c r="AU170" s="47">
        <v>649275161885</v>
      </c>
      <c r="AV170" s="47"/>
      <c r="AW170" s="47"/>
    </row>
    <row r="171" spans="1:49" x14ac:dyDescent="0.2">
      <c r="A171" s="47">
        <v>10020182</v>
      </c>
      <c r="B171" s="47">
        <v>650</v>
      </c>
      <c r="C171" s="47" t="s">
        <v>26</v>
      </c>
      <c r="D171" s="47" t="s">
        <v>136</v>
      </c>
      <c r="E171" s="48">
        <v>42355</v>
      </c>
      <c r="F171" s="47">
        <v>93621239</v>
      </c>
      <c r="G171" s="47">
        <v>650</v>
      </c>
      <c r="H171" s="48">
        <v>42346</v>
      </c>
      <c r="I171" s="47"/>
      <c r="J171" s="47">
        <v>1201675</v>
      </c>
      <c r="K171" s="47" t="s">
        <v>165</v>
      </c>
      <c r="L171" s="47">
        <v>1201675</v>
      </c>
      <c r="M171" s="47" t="s">
        <v>165</v>
      </c>
      <c r="N171" s="47">
        <v>1172015</v>
      </c>
      <c r="O171" s="47" t="s">
        <v>165</v>
      </c>
      <c r="P171" s="47" t="s">
        <v>1454</v>
      </c>
      <c r="Q171" s="47"/>
      <c r="R171" s="47"/>
      <c r="S171" s="47">
        <v>456140530</v>
      </c>
      <c r="T171" s="47" t="s">
        <v>1720</v>
      </c>
      <c r="U171" s="47" t="s">
        <v>1335</v>
      </c>
      <c r="V171" s="47" t="s">
        <v>1697</v>
      </c>
      <c r="W171" s="47" t="s">
        <v>1331</v>
      </c>
      <c r="X171" s="47"/>
      <c r="Y171" s="47">
        <v>312</v>
      </c>
      <c r="Z171" s="47">
        <v>312</v>
      </c>
      <c r="AA171" s="47" t="s">
        <v>1332</v>
      </c>
      <c r="AB171" s="47">
        <v>144</v>
      </c>
      <c r="AC171" s="47" t="s">
        <v>1333</v>
      </c>
      <c r="AD171" s="47">
        <v>100.55</v>
      </c>
      <c r="AE171" s="47" t="s">
        <v>182</v>
      </c>
      <c r="AF171" s="49">
        <v>31371.599999999999</v>
      </c>
      <c r="AG171" s="49">
        <v>31371.599999999999</v>
      </c>
      <c r="AH171" s="47" t="s">
        <v>182</v>
      </c>
      <c r="AI171" s="47" t="s">
        <v>181</v>
      </c>
      <c r="AJ171" s="47" t="s">
        <v>102</v>
      </c>
      <c r="AK171" s="47"/>
      <c r="AL171" s="47" t="s">
        <v>63</v>
      </c>
      <c r="AM171" s="47"/>
      <c r="AN171" s="47"/>
      <c r="AO171" s="47"/>
      <c r="AP171" s="47"/>
      <c r="AQ171" s="47"/>
      <c r="AR171" s="47"/>
      <c r="AS171" s="47"/>
      <c r="AT171" s="47"/>
      <c r="AU171" s="47">
        <v>649275161885</v>
      </c>
      <c r="AV171" s="47"/>
      <c r="AW171" s="47"/>
    </row>
    <row r="172" spans="1:49" x14ac:dyDescent="0.2">
      <c r="A172" s="47">
        <v>10020182</v>
      </c>
      <c r="B172" s="47">
        <v>730</v>
      </c>
      <c r="C172" s="47" t="s">
        <v>26</v>
      </c>
      <c r="D172" s="47" t="s">
        <v>136</v>
      </c>
      <c r="E172" s="48">
        <v>42355</v>
      </c>
      <c r="F172" s="47">
        <v>93621239</v>
      </c>
      <c r="G172" s="47">
        <v>730</v>
      </c>
      <c r="H172" s="48">
        <v>42346</v>
      </c>
      <c r="I172" s="47"/>
      <c r="J172" s="47">
        <v>1201675</v>
      </c>
      <c r="K172" s="47" t="s">
        <v>165</v>
      </c>
      <c r="L172" s="47">
        <v>1201675</v>
      </c>
      <c r="M172" s="47" t="s">
        <v>165</v>
      </c>
      <c r="N172" s="47">
        <v>1172015</v>
      </c>
      <c r="O172" s="47" t="s">
        <v>165</v>
      </c>
      <c r="P172" s="47" t="s">
        <v>1454</v>
      </c>
      <c r="Q172" s="47"/>
      <c r="R172" s="47"/>
      <c r="S172" s="47">
        <v>430042014</v>
      </c>
      <c r="T172" s="47" t="s">
        <v>1536</v>
      </c>
      <c r="U172" s="47" t="s">
        <v>1450</v>
      </c>
      <c r="V172" s="47" t="s">
        <v>1537</v>
      </c>
      <c r="W172" s="47" t="s">
        <v>1331</v>
      </c>
      <c r="X172" s="47" t="s">
        <v>1721</v>
      </c>
      <c r="Y172" s="47">
        <v>60</v>
      </c>
      <c r="Z172" s="47">
        <v>60</v>
      </c>
      <c r="AA172" s="47" t="s">
        <v>1332</v>
      </c>
      <c r="AB172" s="47">
        <v>72</v>
      </c>
      <c r="AC172" s="47" t="s">
        <v>1333</v>
      </c>
      <c r="AD172" s="47">
        <v>489.85</v>
      </c>
      <c r="AE172" s="47" t="s">
        <v>182</v>
      </c>
      <c r="AF172" s="49">
        <v>29391</v>
      </c>
      <c r="AG172" s="49">
        <v>29391</v>
      </c>
      <c r="AH172" s="47" t="s">
        <v>182</v>
      </c>
      <c r="AI172" s="47" t="s">
        <v>181</v>
      </c>
      <c r="AJ172" s="47" t="s">
        <v>102</v>
      </c>
      <c r="AK172" s="47"/>
      <c r="AL172" s="47" t="s">
        <v>63</v>
      </c>
      <c r="AM172" s="47"/>
      <c r="AN172" s="47"/>
      <c r="AO172" s="47"/>
      <c r="AP172" s="47"/>
      <c r="AQ172" s="47"/>
      <c r="AR172" s="47"/>
      <c r="AS172" s="47"/>
      <c r="AT172" s="47"/>
      <c r="AU172" s="47"/>
      <c r="AV172" s="47"/>
      <c r="AW172" s="47"/>
    </row>
    <row r="173" spans="1:49" x14ac:dyDescent="0.2">
      <c r="A173" s="47">
        <v>10020182</v>
      </c>
      <c r="B173" s="47">
        <v>760</v>
      </c>
      <c r="C173" s="47" t="s">
        <v>26</v>
      </c>
      <c r="D173" s="47" t="s">
        <v>136</v>
      </c>
      <c r="E173" s="48">
        <v>42355</v>
      </c>
      <c r="F173" s="47">
        <v>93621239</v>
      </c>
      <c r="G173" s="47">
        <v>760</v>
      </c>
      <c r="H173" s="48">
        <v>42346</v>
      </c>
      <c r="I173" s="47"/>
      <c r="J173" s="47">
        <v>1201675</v>
      </c>
      <c r="K173" s="47" t="s">
        <v>165</v>
      </c>
      <c r="L173" s="47">
        <v>1201675</v>
      </c>
      <c r="M173" s="47" t="s">
        <v>165</v>
      </c>
      <c r="N173" s="47">
        <v>1172015</v>
      </c>
      <c r="O173" s="47" t="s">
        <v>165</v>
      </c>
      <c r="P173" s="47" t="s">
        <v>1454</v>
      </c>
      <c r="Q173" s="47"/>
      <c r="R173" s="47"/>
      <c r="S173" s="47">
        <v>456111030</v>
      </c>
      <c r="T173" s="47" t="s">
        <v>1722</v>
      </c>
      <c r="U173" s="47" t="s">
        <v>1335</v>
      </c>
      <c r="V173" s="47" t="s">
        <v>1535</v>
      </c>
      <c r="W173" s="47" t="s">
        <v>1331</v>
      </c>
      <c r="X173" s="47">
        <v>1149153</v>
      </c>
      <c r="Y173" s="47">
        <v>24</v>
      </c>
      <c r="Z173" s="47">
        <v>24</v>
      </c>
      <c r="AA173" s="47" t="s">
        <v>1332</v>
      </c>
      <c r="AB173" s="47">
        <v>144</v>
      </c>
      <c r="AC173" s="47" t="s">
        <v>1333</v>
      </c>
      <c r="AD173" s="47">
        <v>189.54</v>
      </c>
      <c r="AE173" s="47" t="s">
        <v>182</v>
      </c>
      <c r="AF173" s="49">
        <v>4548.96</v>
      </c>
      <c r="AG173" s="49">
        <v>4548.96</v>
      </c>
      <c r="AH173" s="47" t="s">
        <v>182</v>
      </c>
      <c r="AI173" s="47" t="s">
        <v>181</v>
      </c>
      <c r="AJ173" s="47" t="s">
        <v>102</v>
      </c>
      <c r="AK173" s="47"/>
      <c r="AL173" s="47" t="s">
        <v>63</v>
      </c>
      <c r="AM173" s="47"/>
      <c r="AN173" s="47"/>
      <c r="AO173" s="47"/>
      <c r="AP173" s="47"/>
      <c r="AQ173" s="47"/>
      <c r="AR173" s="47"/>
      <c r="AS173" s="47"/>
      <c r="AT173" s="47"/>
      <c r="AU173" s="47"/>
      <c r="AV173" s="47"/>
      <c r="AW173" s="47"/>
    </row>
    <row r="174" spans="1:49" x14ac:dyDescent="0.2">
      <c r="A174" s="47">
        <v>10020182</v>
      </c>
      <c r="B174" s="47">
        <v>780</v>
      </c>
      <c r="C174" s="47" t="s">
        <v>26</v>
      </c>
      <c r="D174" s="47" t="s">
        <v>136</v>
      </c>
      <c r="E174" s="48">
        <v>42355</v>
      </c>
      <c r="F174" s="47">
        <v>93621239</v>
      </c>
      <c r="G174" s="47">
        <v>780</v>
      </c>
      <c r="H174" s="48">
        <v>42346</v>
      </c>
      <c r="I174" s="47"/>
      <c r="J174" s="47">
        <v>1201675</v>
      </c>
      <c r="K174" s="47" t="s">
        <v>165</v>
      </c>
      <c r="L174" s="47">
        <v>1201675</v>
      </c>
      <c r="M174" s="47" t="s">
        <v>165</v>
      </c>
      <c r="N174" s="47">
        <v>1172015</v>
      </c>
      <c r="O174" s="47" t="s">
        <v>165</v>
      </c>
      <c r="P174" s="47" t="s">
        <v>1454</v>
      </c>
      <c r="Q174" s="47"/>
      <c r="R174" s="47"/>
      <c r="S174" s="47">
        <v>456114030</v>
      </c>
      <c r="T174" s="47" t="s">
        <v>1630</v>
      </c>
      <c r="U174" s="47" t="s">
        <v>1335</v>
      </c>
      <c r="V174" s="47" t="s">
        <v>1535</v>
      </c>
      <c r="W174" s="47" t="s">
        <v>1331</v>
      </c>
      <c r="X174" s="47" t="s">
        <v>1723</v>
      </c>
      <c r="Y174" s="47">
        <v>288</v>
      </c>
      <c r="Z174" s="47">
        <v>288</v>
      </c>
      <c r="AA174" s="47" t="s">
        <v>1332</v>
      </c>
      <c r="AB174" s="47">
        <v>144</v>
      </c>
      <c r="AC174" s="47" t="s">
        <v>1333</v>
      </c>
      <c r="AD174" s="47">
        <v>189.54</v>
      </c>
      <c r="AE174" s="47" t="s">
        <v>182</v>
      </c>
      <c r="AF174" s="49">
        <v>54587.519999999997</v>
      </c>
      <c r="AG174" s="49">
        <v>54587.519999999997</v>
      </c>
      <c r="AH174" s="47" t="s">
        <v>182</v>
      </c>
      <c r="AI174" s="47" t="s">
        <v>181</v>
      </c>
      <c r="AJ174" s="47" t="s">
        <v>102</v>
      </c>
      <c r="AK174" s="47"/>
      <c r="AL174" s="47" t="s">
        <v>63</v>
      </c>
      <c r="AM174" s="47"/>
      <c r="AN174" s="47"/>
      <c r="AO174" s="47"/>
      <c r="AP174" s="47"/>
      <c r="AQ174" s="47"/>
      <c r="AR174" s="47"/>
      <c r="AS174" s="47"/>
      <c r="AT174" s="47"/>
      <c r="AU174" s="47">
        <v>649275161885</v>
      </c>
      <c r="AV174" s="47"/>
      <c r="AW174" s="47"/>
    </row>
    <row r="175" spans="1:49" x14ac:dyDescent="0.2">
      <c r="A175" s="47">
        <v>10020182</v>
      </c>
      <c r="B175" s="47">
        <v>800</v>
      </c>
      <c r="C175" s="47" t="s">
        <v>26</v>
      </c>
      <c r="D175" s="47" t="s">
        <v>136</v>
      </c>
      <c r="E175" s="48">
        <v>42355</v>
      </c>
      <c r="F175" s="47">
        <v>93621239</v>
      </c>
      <c r="G175" s="47">
        <v>800</v>
      </c>
      <c r="H175" s="48">
        <v>42346</v>
      </c>
      <c r="I175" s="47"/>
      <c r="J175" s="47">
        <v>1201675</v>
      </c>
      <c r="K175" s="47" t="s">
        <v>165</v>
      </c>
      <c r="L175" s="47">
        <v>1201675</v>
      </c>
      <c r="M175" s="47" t="s">
        <v>165</v>
      </c>
      <c r="N175" s="47">
        <v>1172015</v>
      </c>
      <c r="O175" s="47" t="s">
        <v>165</v>
      </c>
      <c r="P175" s="47" t="s">
        <v>1454</v>
      </c>
      <c r="Q175" s="47"/>
      <c r="R175" s="47"/>
      <c r="S175" s="47">
        <v>456402001</v>
      </c>
      <c r="T175" s="47" t="s">
        <v>1724</v>
      </c>
      <c r="U175" s="47" t="s">
        <v>1340</v>
      </c>
      <c r="V175" s="47" t="s">
        <v>1725</v>
      </c>
      <c r="W175" s="47" t="s">
        <v>1331</v>
      </c>
      <c r="X175" s="47" t="s">
        <v>1726</v>
      </c>
      <c r="Y175" s="47">
        <v>6</v>
      </c>
      <c r="Z175" s="47">
        <v>6</v>
      </c>
      <c r="AA175" s="47" t="s">
        <v>1332</v>
      </c>
      <c r="AB175" s="47">
        <v>144</v>
      </c>
      <c r="AC175" s="47" t="s">
        <v>1333</v>
      </c>
      <c r="AD175" s="47">
        <v>699.68</v>
      </c>
      <c r="AE175" s="47" t="s">
        <v>182</v>
      </c>
      <c r="AF175" s="49">
        <v>4198.08</v>
      </c>
      <c r="AG175" s="49">
        <v>4198.08</v>
      </c>
      <c r="AH175" s="47" t="s">
        <v>182</v>
      </c>
      <c r="AI175" s="47" t="s">
        <v>181</v>
      </c>
      <c r="AJ175" s="47" t="s">
        <v>102</v>
      </c>
      <c r="AK175" s="47"/>
      <c r="AL175" s="47" t="s">
        <v>63</v>
      </c>
      <c r="AM175" s="47"/>
      <c r="AN175" s="47"/>
      <c r="AO175" s="47"/>
      <c r="AP175" s="47"/>
      <c r="AQ175" s="47"/>
      <c r="AR175" s="47"/>
      <c r="AS175" s="47"/>
      <c r="AT175" s="47"/>
      <c r="AU175" s="47"/>
      <c r="AV175" s="47"/>
      <c r="AW175" s="47"/>
    </row>
    <row r="176" spans="1:49" x14ac:dyDescent="0.2">
      <c r="A176" s="47">
        <v>10020183</v>
      </c>
      <c r="B176" s="47">
        <v>80</v>
      </c>
      <c r="C176" s="47" t="s">
        <v>18</v>
      </c>
      <c r="D176" s="47" t="s">
        <v>573</v>
      </c>
      <c r="E176" s="48">
        <v>42355</v>
      </c>
      <c r="F176" s="47">
        <v>93628229</v>
      </c>
      <c r="G176" s="47">
        <v>80</v>
      </c>
      <c r="H176" s="48">
        <v>42352</v>
      </c>
      <c r="I176" s="48">
        <v>42353</v>
      </c>
      <c r="J176" s="47">
        <v>1201120</v>
      </c>
      <c r="K176" s="47" t="s">
        <v>117</v>
      </c>
      <c r="L176" s="47">
        <v>1307782</v>
      </c>
      <c r="M176" s="47" t="s">
        <v>119</v>
      </c>
      <c r="N176" s="47">
        <v>1171090</v>
      </c>
      <c r="O176" s="47" t="s">
        <v>118</v>
      </c>
      <c r="P176" s="47" t="s">
        <v>1727</v>
      </c>
      <c r="Q176" s="47"/>
      <c r="R176" s="47"/>
      <c r="S176" s="47">
        <v>591322247</v>
      </c>
      <c r="T176" s="47" t="s">
        <v>1728</v>
      </c>
      <c r="U176" s="47" t="s">
        <v>1322</v>
      </c>
      <c r="V176" s="47" t="s">
        <v>1729</v>
      </c>
      <c r="W176" s="47" t="s">
        <v>1331</v>
      </c>
      <c r="X176" s="47">
        <v>153170.1</v>
      </c>
      <c r="Y176" s="47">
        <v>96</v>
      </c>
      <c r="Z176" s="47">
        <v>11</v>
      </c>
      <c r="AA176" s="47" t="s">
        <v>1332</v>
      </c>
      <c r="AB176" s="47">
        <v>48</v>
      </c>
      <c r="AC176" s="47" t="s">
        <v>1333</v>
      </c>
      <c r="AD176" s="47">
        <v>160.69999999999999</v>
      </c>
      <c r="AE176" s="47" t="s">
        <v>182</v>
      </c>
      <c r="AF176" s="49">
        <v>15427.2</v>
      </c>
      <c r="AG176" s="49">
        <v>1767.7</v>
      </c>
      <c r="AH176" s="47" t="s">
        <v>182</v>
      </c>
      <c r="AI176" s="47" t="s">
        <v>181</v>
      </c>
      <c r="AJ176" s="47" t="s">
        <v>870</v>
      </c>
      <c r="AK176" s="47"/>
      <c r="AL176" s="47" t="s">
        <v>63</v>
      </c>
      <c r="AM176" s="47" t="s">
        <v>70</v>
      </c>
      <c r="AN176" s="47" t="s">
        <v>76</v>
      </c>
      <c r="AO176" s="48">
        <v>42356</v>
      </c>
      <c r="AP176" s="47" t="s">
        <v>64</v>
      </c>
      <c r="AQ176" s="48">
        <v>42355</v>
      </c>
      <c r="AR176" s="47"/>
      <c r="AS176" s="47"/>
      <c r="AT176" s="47"/>
      <c r="AU176" s="47" t="s">
        <v>1730</v>
      </c>
      <c r="AV176" s="47" t="s">
        <v>77</v>
      </c>
      <c r="AW176" s="47" t="s">
        <v>774</v>
      </c>
    </row>
    <row r="177" spans="1:49" x14ac:dyDescent="0.2">
      <c r="A177" s="47">
        <v>10020189</v>
      </c>
      <c r="B177" s="47">
        <v>60</v>
      </c>
      <c r="C177" s="47" t="s">
        <v>26</v>
      </c>
      <c r="D177" s="47" t="s">
        <v>149</v>
      </c>
      <c r="E177" s="48">
        <v>42359</v>
      </c>
      <c r="F177" s="47">
        <v>93620923</v>
      </c>
      <c r="G177" s="47">
        <v>60</v>
      </c>
      <c r="H177" s="48">
        <v>42346</v>
      </c>
      <c r="I177" s="47"/>
      <c r="J177" s="47">
        <v>1201047</v>
      </c>
      <c r="K177" s="47" t="s">
        <v>79</v>
      </c>
      <c r="L177" s="47">
        <v>1019056</v>
      </c>
      <c r="M177" s="47" t="s">
        <v>80</v>
      </c>
      <c r="N177" s="47">
        <v>1171089</v>
      </c>
      <c r="O177" s="47" t="s">
        <v>75</v>
      </c>
      <c r="P177" s="47">
        <v>41402132</v>
      </c>
      <c r="Q177" s="47"/>
      <c r="R177" s="47"/>
      <c r="S177" s="47">
        <v>591321272</v>
      </c>
      <c r="T177" s="47" t="s">
        <v>1731</v>
      </c>
      <c r="U177" s="47" t="s">
        <v>1322</v>
      </c>
      <c r="V177" s="47" t="s">
        <v>1732</v>
      </c>
      <c r="W177" s="47">
        <v>2</v>
      </c>
      <c r="X177" s="47" t="s">
        <v>1733</v>
      </c>
      <c r="Y177" s="47">
        <v>840</v>
      </c>
      <c r="Z177" s="47">
        <v>1</v>
      </c>
      <c r="AA177" s="47" t="s">
        <v>1332</v>
      </c>
      <c r="AB177" s="47">
        <v>24</v>
      </c>
      <c r="AC177" s="47" t="s">
        <v>1333</v>
      </c>
      <c r="AD177" s="47">
        <v>63.33</v>
      </c>
      <c r="AE177" s="47" t="s">
        <v>182</v>
      </c>
      <c r="AF177" s="49">
        <v>53197.2</v>
      </c>
      <c r="AG177" s="47">
        <v>63.33</v>
      </c>
      <c r="AH177" s="47" t="s">
        <v>182</v>
      </c>
      <c r="AI177" s="47" t="s">
        <v>181</v>
      </c>
      <c r="AJ177" s="47" t="s">
        <v>86</v>
      </c>
      <c r="AK177" s="47"/>
      <c r="AL177" s="47" t="s">
        <v>63</v>
      </c>
      <c r="AM177" s="47" t="s">
        <v>105</v>
      </c>
      <c r="AN177" s="47" t="s">
        <v>82</v>
      </c>
      <c r="AO177" s="48">
        <v>42360</v>
      </c>
      <c r="AP177" s="47" t="s">
        <v>83</v>
      </c>
      <c r="AQ177" s="48">
        <v>42366</v>
      </c>
      <c r="AR177" s="47"/>
      <c r="AS177" s="47"/>
      <c r="AT177" s="47"/>
      <c r="AU177" s="47" t="s">
        <v>1572</v>
      </c>
      <c r="AV177" s="47" t="s">
        <v>89</v>
      </c>
      <c r="AW177" s="47" t="s">
        <v>1734</v>
      </c>
    </row>
    <row r="178" spans="1:49" x14ac:dyDescent="0.2">
      <c r="A178" s="47">
        <v>10020190</v>
      </c>
      <c r="B178" s="47">
        <v>1250</v>
      </c>
      <c r="C178" s="47" t="s">
        <v>26</v>
      </c>
      <c r="D178" s="47" t="s">
        <v>78</v>
      </c>
      <c r="E178" s="48">
        <v>42359</v>
      </c>
      <c r="F178" s="47">
        <v>93628073</v>
      </c>
      <c r="G178" s="47">
        <v>1250</v>
      </c>
      <c r="H178" s="48">
        <v>42352</v>
      </c>
      <c r="I178" s="47"/>
      <c r="J178" s="47">
        <v>1201047</v>
      </c>
      <c r="K178" s="47" t="s">
        <v>79</v>
      </c>
      <c r="L178" s="47">
        <v>1038994</v>
      </c>
      <c r="M178" s="47" t="s">
        <v>80</v>
      </c>
      <c r="N178" s="47">
        <v>1171089</v>
      </c>
      <c r="O178" s="47" t="s">
        <v>75</v>
      </c>
      <c r="P178" s="47">
        <v>40445847</v>
      </c>
      <c r="Q178" s="47"/>
      <c r="R178" s="47"/>
      <c r="S178" s="47">
        <v>591084401</v>
      </c>
      <c r="T178" s="47" t="s">
        <v>1735</v>
      </c>
      <c r="U178" s="47" t="s">
        <v>1322</v>
      </c>
      <c r="V178" s="47" t="s">
        <v>1470</v>
      </c>
      <c r="W178" s="47" t="s">
        <v>1331</v>
      </c>
      <c r="X178" s="47">
        <v>3131263</v>
      </c>
      <c r="Y178" s="47">
        <v>144</v>
      </c>
      <c r="Z178" s="47">
        <v>24</v>
      </c>
      <c r="AA178" s="47" t="s">
        <v>1332</v>
      </c>
      <c r="AB178" s="47">
        <v>24</v>
      </c>
      <c r="AC178" s="47" t="s">
        <v>1333</v>
      </c>
      <c r="AD178" s="47">
        <v>29</v>
      </c>
      <c r="AE178" s="47" t="s">
        <v>182</v>
      </c>
      <c r="AF178" s="49">
        <v>4176</v>
      </c>
      <c r="AG178" s="47">
        <v>696</v>
      </c>
      <c r="AH178" s="47" t="s">
        <v>182</v>
      </c>
      <c r="AI178" s="47" t="s">
        <v>181</v>
      </c>
      <c r="AJ178" s="47" t="s">
        <v>91</v>
      </c>
      <c r="AK178" s="47"/>
      <c r="AL178" s="47" t="s">
        <v>63</v>
      </c>
      <c r="AM178" s="47" t="s">
        <v>94</v>
      </c>
      <c r="AN178" s="47" t="s">
        <v>95</v>
      </c>
      <c r="AO178" s="48">
        <v>42360</v>
      </c>
      <c r="AP178" s="47" t="s">
        <v>64</v>
      </c>
      <c r="AQ178" s="48">
        <v>42359</v>
      </c>
      <c r="AR178" s="47"/>
      <c r="AS178" s="47"/>
      <c r="AT178" s="47"/>
      <c r="AU178" s="47" t="s">
        <v>1736</v>
      </c>
      <c r="AV178" s="47" t="s">
        <v>96</v>
      </c>
      <c r="AW178" s="47" t="s">
        <v>1737</v>
      </c>
    </row>
    <row r="179" spans="1:49" x14ac:dyDescent="0.2">
      <c r="A179" s="47">
        <v>10020191</v>
      </c>
      <c r="B179" s="47">
        <v>20</v>
      </c>
      <c r="C179" s="47" t="s">
        <v>26</v>
      </c>
      <c r="D179" s="47" t="s">
        <v>78</v>
      </c>
      <c r="E179" s="48">
        <v>42359</v>
      </c>
      <c r="F179" s="47">
        <v>93626998</v>
      </c>
      <c r="G179" s="47">
        <v>20</v>
      </c>
      <c r="H179" s="48">
        <v>42350</v>
      </c>
      <c r="I179" s="47"/>
      <c r="J179" s="47">
        <v>1201047</v>
      </c>
      <c r="K179" s="47" t="s">
        <v>79</v>
      </c>
      <c r="L179" s="47">
        <v>1030742</v>
      </c>
      <c r="M179" s="47" t="s">
        <v>80</v>
      </c>
      <c r="N179" s="47">
        <v>1171089</v>
      </c>
      <c r="O179" s="47" t="s">
        <v>75</v>
      </c>
      <c r="P179" s="47">
        <v>20935956</v>
      </c>
      <c r="Q179" s="47"/>
      <c r="R179" s="47"/>
      <c r="S179" s="47">
        <v>591588301</v>
      </c>
      <c r="T179" s="47" t="s">
        <v>1738</v>
      </c>
      <c r="U179" s="47" t="s">
        <v>1322</v>
      </c>
      <c r="V179" s="47" t="s">
        <v>1739</v>
      </c>
      <c r="W179" s="47" t="s">
        <v>1740</v>
      </c>
      <c r="X179" s="47" t="s">
        <v>1741</v>
      </c>
      <c r="Y179" s="47">
        <v>144</v>
      </c>
      <c r="Z179" s="47">
        <v>1</v>
      </c>
      <c r="AA179" s="47" t="s">
        <v>1332</v>
      </c>
      <c r="AB179" s="47">
        <v>48</v>
      </c>
      <c r="AC179" s="47" t="s">
        <v>1333</v>
      </c>
      <c r="AD179" s="47">
        <v>84.29</v>
      </c>
      <c r="AE179" s="47" t="s">
        <v>182</v>
      </c>
      <c r="AF179" s="49">
        <v>12137.76</v>
      </c>
      <c r="AG179" s="47">
        <v>84.29</v>
      </c>
      <c r="AH179" s="47" t="s">
        <v>182</v>
      </c>
      <c r="AI179" s="47" t="s">
        <v>181</v>
      </c>
      <c r="AJ179" s="47" t="s">
        <v>168</v>
      </c>
      <c r="AK179" s="47"/>
      <c r="AL179" s="47" t="s">
        <v>63</v>
      </c>
      <c r="AM179" s="47" t="s">
        <v>105</v>
      </c>
      <c r="AN179" s="47" t="s">
        <v>82</v>
      </c>
      <c r="AO179" s="48">
        <v>42360</v>
      </c>
      <c r="AP179" s="47" t="s">
        <v>83</v>
      </c>
      <c r="AQ179" s="48">
        <v>42366</v>
      </c>
      <c r="AR179" s="47"/>
      <c r="AS179" s="47"/>
      <c r="AT179" s="47"/>
      <c r="AU179" s="47" t="s">
        <v>1742</v>
      </c>
      <c r="AV179" s="47" t="s">
        <v>89</v>
      </c>
      <c r="AW179" s="47" t="s">
        <v>1743</v>
      </c>
    </row>
    <row r="180" spans="1:49" x14ac:dyDescent="0.2">
      <c r="A180" s="47">
        <v>10020192</v>
      </c>
      <c r="B180" s="47">
        <v>90</v>
      </c>
      <c r="C180" s="47" t="s">
        <v>18</v>
      </c>
      <c r="D180" s="47" t="s">
        <v>78</v>
      </c>
      <c r="E180" s="48">
        <v>42359</v>
      </c>
      <c r="F180" s="47">
        <v>93627951</v>
      </c>
      <c r="G180" s="47">
        <v>90</v>
      </c>
      <c r="H180" s="48">
        <v>42352</v>
      </c>
      <c r="I180" s="48">
        <v>42354</v>
      </c>
      <c r="J180" s="47">
        <v>1022013</v>
      </c>
      <c r="K180" s="47" t="s">
        <v>114</v>
      </c>
      <c r="L180" s="47">
        <v>1335507</v>
      </c>
      <c r="M180" s="47" t="s">
        <v>114</v>
      </c>
      <c r="N180" s="47">
        <v>1022013</v>
      </c>
      <c r="O180" s="47" t="s">
        <v>114</v>
      </c>
      <c r="P180" s="47">
        <v>76721</v>
      </c>
      <c r="Q180" s="47"/>
      <c r="R180" s="47"/>
      <c r="S180" s="47">
        <v>591379760</v>
      </c>
      <c r="T180" s="47" t="s">
        <v>1411</v>
      </c>
      <c r="U180" s="47" t="s">
        <v>1322</v>
      </c>
      <c r="V180" s="47" t="s">
        <v>1412</v>
      </c>
      <c r="W180" s="47" t="s">
        <v>1331</v>
      </c>
      <c r="X180" s="47"/>
      <c r="Y180" s="47">
        <v>1560</v>
      </c>
      <c r="Z180" s="47">
        <v>4</v>
      </c>
      <c r="AA180" s="47" t="s">
        <v>1332</v>
      </c>
      <c r="AB180" s="47">
        <v>12</v>
      </c>
      <c r="AC180" s="47" t="s">
        <v>1333</v>
      </c>
      <c r="AD180" s="47">
        <v>5.07</v>
      </c>
      <c r="AE180" s="47" t="s">
        <v>182</v>
      </c>
      <c r="AF180" s="49">
        <v>7909.2</v>
      </c>
      <c r="AG180" s="47">
        <v>20.28</v>
      </c>
      <c r="AH180" s="47" t="s">
        <v>182</v>
      </c>
      <c r="AI180" s="47" t="s">
        <v>181</v>
      </c>
      <c r="AJ180" s="47" t="s">
        <v>67</v>
      </c>
      <c r="AK180" s="47"/>
      <c r="AL180" s="47" t="s">
        <v>63</v>
      </c>
      <c r="AM180" s="47" t="s">
        <v>70</v>
      </c>
      <c r="AN180" s="47" t="s">
        <v>76</v>
      </c>
      <c r="AO180" s="48">
        <v>42360</v>
      </c>
      <c r="AP180" s="47" t="s">
        <v>64</v>
      </c>
      <c r="AQ180" s="48">
        <v>42359</v>
      </c>
      <c r="AR180" s="47"/>
      <c r="AS180" s="47"/>
      <c r="AT180" s="47"/>
      <c r="AU180" s="47">
        <v>3511801952</v>
      </c>
      <c r="AV180" s="47" t="s">
        <v>77</v>
      </c>
      <c r="AW180" s="47" t="s">
        <v>1744</v>
      </c>
    </row>
    <row r="181" spans="1:49" x14ac:dyDescent="0.2">
      <c r="A181" s="47">
        <v>10020193</v>
      </c>
      <c r="B181" s="47">
        <v>350</v>
      </c>
      <c r="C181" s="47" t="s">
        <v>18</v>
      </c>
      <c r="D181" s="47" t="s">
        <v>78</v>
      </c>
      <c r="E181" s="48">
        <v>42359</v>
      </c>
      <c r="F181" s="47">
        <v>93627949</v>
      </c>
      <c r="G181" s="47">
        <v>350</v>
      </c>
      <c r="H181" s="48">
        <v>42352</v>
      </c>
      <c r="I181" s="48">
        <v>42354</v>
      </c>
      <c r="J181" s="47">
        <v>1022013</v>
      </c>
      <c r="K181" s="47" t="s">
        <v>114</v>
      </c>
      <c r="L181" s="47">
        <v>1335507</v>
      </c>
      <c r="M181" s="47" t="s">
        <v>114</v>
      </c>
      <c r="N181" s="47">
        <v>1022013</v>
      </c>
      <c r="O181" s="47" t="s">
        <v>114</v>
      </c>
      <c r="P181" s="47">
        <v>76721</v>
      </c>
      <c r="Q181" s="47"/>
      <c r="R181" s="47"/>
      <c r="S181" s="47">
        <v>472080460</v>
      </c>
      <c r="T181" s="47" t="s">
        <v>1745</v>
      </c>
      <c r="U181" s="47" t="s">
        <v>1322</v>
      </c>
      <c r="V181" s="47" t="s">
        <v>1602</v>
      </c>
      <c r="W181" s="47" t="s">
        <v>1331</v>
      </c>
      <c r="X181" s="47" t="s">
        <v>1746</v>
      </c>
      <c r="Y181" s="47">
        <v>120</v>
      </c>
      <c r="Z181" s="47">
        <v>24</v>
      </c>
      <c r="AA181" s="47" t="s">
        <v>1332</v>
      </c>
      <c r="AB181" s="47">
        <v>12</v>
      </c>
      <c r="AC181" s="47" t="s">
        <v>1333</v>
      </c>
      <c r="AD181" s="47">
        <v>124.89</v>
      </c>
      <c r="AE181" s="47" t="s">
        <v>182</v>
      </c>
      <c r="AF181" s="49">
        <v>14986.8</v>
      </c>
      <c r="AG181" s="49">
        <v>2997.36</v>
      </c>
      <c r="AH181" s="47" t="s">
        <v>182</v>
      </c>
      <c r="AI181" s="47" t="s">
        <v>181</v>
      </c>
      <c r="AJ181" s="47" t="s">
        <v>67</v>
      </c>
      <c r="AK181" s="47"/>
      <c r="AL181" s="47" t="s">
        <v>63</v>
      </c>
      <c r="AM181" s="47" t="s">
        <v>70</v>
      </c>
      <c r="AN181" s="47" t="s">
        <v>76</v>
      </c>
      <c r="AO181" s="48">
        <v>42360</v>
      </c>
      <c r="AP181" s="47" t="s">
        <v>64</v>
      </c>
      <c r="AQ181" s="48">
        <v>42359</v>
      </c>
      <c r="AR181" s="47"/>
      <c r="AS181" s="47"/>
      <c r="AT181" s="47"/>
      <c r="AU181" s="47">
        <v>3511801661</v>
      </c>
      <c r="AV181" s="47" t="s">
        <v>77</v>
      </c>
      <c r="AW181" s="47" t="s">
        <v>370</v>
      </c>
    </row>
    <row r="182" spans="1:49" x14ac:dyDescent="0.2">
      <c r="A182" s="47">
        <v>10020194</v>
      </c>
      <c r="B182" s="47">
        <v>1400</v>
      </c>
      <c r="C182" s="47" t="s">
        <v>18</v>
      </c>
      <c r="D182" s="47" t="s">
        <v>573</v>
      </c>
      <c r="E182" s="48">
        <v>42359</v>
      </c>
      <c r="F182" s="47">
        <v>93633192</v>
      </c>
      <c r="G182" s="47">
        <v>1400</v>
      </c>
      <c r="H182" s="48">
        <v>42355</v>
      </c>
      <c r="I182" s="47"/>
      <c r="J182" s="47">
        <v>1201120</v>
      </c>
      <c r="K182" s="47" t="s">
        <v>117</v>
      </c>
      <c r="L182" s="47">
        <v>1307782</v>
      </c>
      <c r="M182" s="47" t="s">
        <v>119</v>
      </c>
      <c r="N182" s="47">
        <v>1171090</v>
      </c>
      <c r="O182" s="47" t="s">
        <v>118</v>
      </c>
      <c r="P182" s="47" t="s">
        <v>1577</v>
      </c>
      <c r="Q182" s="47"/>
      <c r="R182" s="47"/>
      <c r="S182" s="47">
        <v>472033730</v>
      </c>
      <c r="T182" s="47" t="s">
        <v>1747</v>
      </c>
      <c r="U182" s="47" t="s">
        <v>1322</v>
      </c>
      <c r="V182" s="47" t="s">
        <v>1748</v>
      </c>
      <c r="W182" s="47" t="s">
        <v>1331</v>
      </c>
      <c r="X182" s="47" t="s">
        <v>1749</v>
      </c>
      <c r="Y182" s="47">
        <v>1440</v>
      </c>
      <c r="Z182" s="47">
        <v>48</v>
      </c>
      <c r="AA182" s="47" t="s">
        <v>1332</v>
      </c>
      <c r="AB182" s="47">
        <v>48</v>
      </c>
      <c r="AC182" s="47" t="s">
        <v>1333</v>
      </c>
      <c r="AD182" s="47">
        <v>6.5</v>
      </c>
      <c r="AE182" s="47" t="s">
        <v>182</v>
      </c>
      <c r="AF182" s="49">
        <v>9360</v>
      </c>
      <c r="AG182" s="47">
        <v>312</v>
      </c>
      <c r="AH182" s="47" t="s">
        <v>182</v>
      </c>
      <c r="AI182" s="47" t="s">
        <v>181</v>
      </c>
      <c r="AJ182" s="47" t="s">
        <v>91</v>
      </c>
      <c r="AK182" s="47"/>
      <c r="AL182" s="47" t="s">
        <v>63</v>
      </c>
      <c r="AM182" s="47" t="s">
        <v>70</v>
      </c>
      <c r="AN182" s="47" t="s">
        <v>76</v>
      </c>
      <c r="AO182" s="48">
        <v>42360</v>
      </c>
      <c r="AP182" s="47" t="s">
        <v>64</v>
      </c>
      <c r="AQ182" s="48">
        <v>42359</v>
      </c>
      <c r="AR182" s="47"/>
      <c r="AS182" s="47"/>
      <c r="AT182" s="47"/>
      <c r="AU182" s="47" t="s">
        <v>1750</v>
      </c>
      <c r="AV182" s="47" t="s">
        <v>77</v>
      </c>
      <c r="AW182" s="47" t="s">
        <v>1487</v>
      </c>
    </row>
    <row r="183" spans="1:49" x14ac:dyDescent="0.2">
      <c r="A183" s="47">
        <v>10020195</v>
      </c>
      <c r="B183" s="47">
        <v>1150</v>
      </c>
      <c r="C183" s="47" t="s">
        <v>18</v>
      </c>
      <c r="D183" s="47" t="s">
        <v>573</v>
      </c>
      <c r="E183" s="48">
        <v>42359</v>
      </c>
      <c r="F183" s="47">
        <v>93632498</v>
      </c>
      <c r="G183" s="47">
        <v>1150</v>
      </c>
      <c r="H183" s="48">
        <v>42355</v>
      </c>
      <c r="I183" s="47"/>
      <c r="J183" s="47">
        <v>1201120</v>
      </c>
      <c r="K183" s="47" t="s">
        <v>117</v>
      </c>
      <c r="L183" s="47">
        <v>1307782</v>
      </c>
      <c r="M183" s="47" t="s">
        <v>119</v>
      </c>
      <c r="N183" s="47">
        <v>1171090</v>
      </c>
      <c r="O183" s="47" t="s">
        <v>118</v>
      </c>
      <c r="P183" s="47" t="s">
        <v>1421</v>
      </c>
      <c r="Q183" s="47"/>
      <c r="R183" s="47"/>
      <c r="S183" s="47">
        <v>60758088010</v>
      </c>
      <c r="T183" s="47" t="s">
        <v>1751</v>
      </c>
      <c r="U183" s="47" t="s">
        <v>1322</v>
      </c>
      <c r="V183" s="47" t="s">
        <v>1752</v>
      </c>
      <c r="W183" s="47" t="s">
        <v>1331</v>
      </c>
      <c r="X183" s="47">
        <v>90355</v>
      </c>
      <c r="Y183" s="47">
        <v>3168</v>
      </c>
      <c r="Z183" s="47">
        <v>24</v>
      </c>
      <c r="AA183" s="47" t="s">
        <v>1332</v>
      </c>
      <c r="AB183" s="47">
        <v>72</v>
      </c>
      <c r="AC183" s="47" t="s">
        <v>1333</v>
      </c>
      <c r="AD183" s="47">
        <v>123.55</v>
      </c>
      <c r="AE183" s="47" t="s">
        <v>182</v>
      </c>
      <c r="AF183" s="49">
        <v>391406.4</v>
      </c>
      <c r="AG183" s="49">
        <v>2965.2</v>
      </c>
      <c r="AH183" s="47" t="s">
        <v>182</v>
      </c>
      <c r="AI183" s="47" t="s">
        <v>181</v>
      </c>
      <c r="AJ183" s="47" t="s">
        <v>97</v>
      </c>
      <c r="AK183" s="47"/>
      <c r="AL183" s="47" t="s">
        <v>63</v>
      </c>
      <c r="AM183" s="47" t="s">
        <v>70</v>
      </c>
      <c r="AN183" s="47" t="s">
        <v>76</v>
      </c>
      <c r="AO183" s="48">
        <v>42360</v>
      </c>
      <c r="AP183" s="47" t="s">
        <v>64</v>
      </c>
      <c r="AQ183" s="48">
        <v>42359</v>
      </c>
      <c r="AR183" s="47"/>
      <c r="AS183" s="47"/>
      <c r="AT183" s="47"/>
      <c r="AU183" s="47">
        <v>87944972799595</v>
      </c>
      <c r="AV183" s="47" t="s">
        <v>77</v>
      </c>
      <c r="AW183" s="47" t="s">
        <v>1013</v>
      </c>
    </row>
    <row r="184" spans="1:49" x14ac:dyDescent="0.2">
      <c r="A184" s="47">
        <v>10020196</v>
      </c>
      <c r="B184" s="47">
        <v>70</v>
      </c>
      <c r="C184" s="47" t="s">
        <v>26</v>
      </c>
      <c r="D184" s="47" t="s">
        <v>78</v>
      </c>
      <c r="E184" s="48">
        <v>42359</v>
      </c>
      <c r="F184" s="47">
        <v>93629868</v>
      </c>
      <c r="G184" s="47">
        <v>70</v>
      </c>
      <c r="H184" s="48">
        <v>42353</v>
      </c>
      <c r="I184" s="47"/>
      <c r="J184" s="47">
        <v>1201047</v>
      </c>
      <c r="K184" s="47" t="s">
        <v>79</v>
      </c>
      <c r="L184" s="47">
        <v>1317086</v>
      </c>
      <c r="M184" s="47" t="s">
        <v>85</v>
      </c>
      <c r="N184" s="47">
        <v>1171089</v>
      </c>
      <c r="O184" s="47" t="s">
        <v>75</v>
      </c>
      <c r="P184" s="47">
        <v>23618233</v>
      </c>
      <c r="Q184" s="47"/>
      <c r="R184" s="47"/>
      <c r="S184" s="47">
        <v>591321372</v>
      </c>
      <c r="T184" s="47" t="s">
        <v>1753</v>
      </c>
      <c r="U184" s="47" t="s">
        <v>1322</v>
      </c>
      <c r="V184" s="47" t="s">
        <v>1732</v>
      </c>
      <c r="W184" s="47">
        <v>2</v>
      </c>
      <c r="X184" s="47" t="s">
        <v>1754</v>
      </c>
      <c r="Y184" s="47">
        <v>312</v>
      </c>
      <c r="Z184" s="47">
        <v>1</v>
      </c>
      <c r="AA184" s="47" t="s">
        <v>1332</v>
      </c>
      <c r="AB184" s="47">
        <v>24</v>
      </c>
      <c r="AC184" s="47" t="s">
        <v>1333</v>
      </c>
      <c r="AD184" s="47">
        <v>100.1</v>
      </c>
      <c r="AE184" s="47" t="s">
        <v>182</v>
      </c>
      <c r="AF184" s="49">
        <v>31231.200000000001</v>
      </c>
      <c r="AG184" s="47">
        <v>100.1</v>
      </c>
      <c r="AH184" s="47" t="s">
        <v>182</v>
      </c>
      <c r="AI184" s="47" t="s">
        <v>181</v>
      </c>
      <c r="AJ184" s="47" t="s">
        <v>91</v>
      </c>
      <c r="AK184" s="47"/>
      <c r="AL184" s="47" t="s">
        <v>63</v>
      </c>
      <c r="AM184" s="47" t="s">
        <v>105</v>
      </c>
      <c r="AN184" s="47" t="s">
        <v>82</v>
      </c>
      <c r="AO184" s="48">
        <v>42360</v>
      </c>
      <c r="AP184" s="47" t="s">
        <v>83</v>
      </c>
      <c r="AQ184" s="48">
        <v>42366</v>
      </c>
      <c r="AR184" s="47"/>
      <c r="AS184" s="47"/>
      <c r="AT184" s="47"/>
      <c r="AU184" s="47" t="s">
        <v>1755</v>
      </c>
      <c r="AV184" s="47" t="s">
        <v>89</v>
      </c>
      <c r="AW184" s="47" t="s">
        <v>1756</v>
      </c>
    </row>
    <row r="185" spans="1:49" x14ac:dyDescent="0.2">
      <c r="A185" s="47">
        <v>10020197</v>
      </c>
      <c r="B185" s="47">
        <v>540</v>
      </c>
      <c r="C185" s="47" t="s">
        <v>18</v>
      </c>
      <c r="D185" s="47" t="s">
        <v>573</v>
      </c>
      <c r="E185" s="48">
        <v>42359</v>
      </c>
      <c r="F185" s="47">
        <v>93634583</v>
      </c>
      <c r="G185" s="47">
        <v>540</v>
      </c>
      <c r="H185" s="48">
        <v>42356</v>
      </c>
      <c r="I185" s="47"/>
      <c r="J185" s="47">
        <v>1201120</v>
      </c>
      <c r="K185" s="47" t="s">
        <v>117</v>
      </c>
      <c r="L185" s="47">
        <v>1307782</v>
      </c>
      <c r="M185" s="47" t="s">
        <v>119</v>
      </c>
      <c r="N185" s="47">
        <v>1171090</v>
      </c>
      <c r="O185" s="47" t="s">
        <v>118</v>
      </c>
      <c r="P185" s="47" t="s">
        <v>1757</v>
      </c>
      <c r="Q185" s="47"/>
      <c r="R185" s="47"/>
      <c r="S185" s="47">
        <v>456040010</v>
      </c>
      <c r="T185" s="47" t="s">
        <v>1758</v>
      </c>
      <c r="U185" s="47" t="s">
        <v>1759</v>
      </c>
      <c r="V185" s="47" t="s">
        <v>1760</v>
      </c>
      <c r="W185" s="47" t="s">
        <v>1331</v>
      </c>
      <c r="X185" s="47"/>
      <c r="Y185" s="47">
        <v>408</v>
      </c>
      <c r="Z185" s="47">
        <v>1</v>
      </c>
      <c r="AA185" s="47" t="s">
        <v>1332</v>
      </c>
      <c r="AB185" s="47">
        <v>24</v>
      </c>
      <c r="AC185" s="47" t="s">
        <v>1333</v>
      </c>
      <c r="AD185" s="49">
        <v>1388.54</v>
      </c>
      <c r="AE185" s="47" t="s">
        <v>182</v>
      </c>
      <c r="AF185" s="49">
        <v>566524.31999999995</v>
      </c>
      <c r="AG185" s="49">
        <v>1388.54</v>
      </c>
      <c r="AH185" s="47" t="s">
        <v>182</v>
      </c>
      <c r="AI185" s="47" t="s">
        <v>181</v>
      </c>
      <c r="AJ185" s="47" t="s">
        <v>91</v>
      </c>
      <c r="AK185" s="47"/>
      <c r="AL185" s="47" t="s">
        <v>63</v>
      </c>
      <c r="AM185" s="47" t="s">
        <v>70</v>
      </c>
      <c r="AN185" s="47" t="s">
        <v>76</v>
      </c>
      <c r="AO185" s="48">
        <v>42360</v>
      </c>
      <c r="AP185" s="47" t="s">
        <v>64</v>
      </c>
      <c r="AQ185" s="48">
        <v>42359</v>
      </c>
      <c r="AR185" s="47"/>
      <c r="AS185" s="47"/>
      <c r="AT185" s="47"/>
      <c r="AU185" s="47" t="s">
        <v>1761</v>
      </c>
      <c r="AV185" s="47" t="s">
        <v>89</v>
      </c>
      <c r="AW185" s="47" t="s">
        <v>211</v>
      </c>
    </row>
    <row r="186" spans="1:49" x14ac:dyDescent="0.2">
      <c r="A186" s="47">
        <v>10020197</v>
      </c>
      <c r="B186" s="47">
        <v>550</v>
      </c>
      <c r="C186" s="47" t="s">
        <v>18</v>
      </c>
      <c r="D186" s="47" t="s">
        <v>573</v>
      </c>
      <c r="E186" s="48">
        <v>42359</v>
      </c>
      <c r="F186" s="47">
        <v>93634583</v>
      </c>
      <c r="G186" s="47">
        <v>550</v>
      </c>
      <c r="H186" s="48">
        <v>42356</v>
      </c>
      <c r="I186" s="47"/>
      <c r="J186" s="47">
        <v>1201120</v>
      </c>
      <c r="K186" s="47" t="s">
        <v>117</v>
      </c>
      <c r="L186" s="47">
        <v>1307782</v>
      </c>
      <c r="M186" s="47" t="s">
        <v>119</v>
      </c>
      <c r="N186" s="47">
        <v>1171090</v>
      </c>
      <c r="O186" s="47" t="s">
        <v>118</v>
      </c>
      <c r="P186" s="47" t="s">
        <v>1757</v>
      </c>
      <c r="Q186" s="47"/>
      <c r="R186" s="47"/>
      <c r="S186" s="47">
        <v>456060010</v>
      </c>
      <c r="T186" s="47" t="s">
        <v>1762</v>
      </c>
      <c r="U186" s="47" t="s">
        <v>1759</v>
      </c>
      <c r="V186" s="47" t="s">
        <v>1760</v>
      </c>
      <c r="W186" s="47" t="s">
        <v>1331</v>
      </c>
      <c r="X186" s="47"/>
      <c r="Y186" s="47">
        <v>480</v>
      </c>
      <c r="Z186" s="47">
        <v>1</v>
      </c>
      <c r="AA186" s="47" t="s">
        <v>1332</v>
      </c>
      <c r="AB186" s="47">
        <v>24</v>
      </c>
      <c r="AC186" s="47" t="s">
        <v>1333</v>
      </c>
      <c r="AD186" s="49">
        <v>1388.54</v>
      </c>
      <c r="AE186" s="47" t="s">
        <v>182</v>
      </c>
      <c r="AF186" s="49">
        <v>666499.19999999995</v>
      </c>
      <c r="AG186" s="49">
        <v>1388.54</v>
      </c>
      <c r="AH186" s="47" t="s">
        <v>182</v>
      </c>
      <c r="AI186" s="47" t="s">
        <v>181</v>
      </c>
      <c r="AJ186" s="47" t="s">
        <v>91</v>
      </c>
      <c r="AK186" s="47"/>
      <c r="AL186" s="47" t="s">
        <v>63</v>
      </c>
      <c r="AM186" s="47" t="s">
        <v>70</v>
      </c>
      <c r="AN186" s="47" t="s">
        <v>76</v>
      </c>
      <c r="AO186" s="48">
        <v>42360</v>
      </c>
      <c r="AP186" s="47" t="s">
        <v>64</v>
      </c>
      <c r="AQ186" s="48">
        <v>42359</v>
      </c>
      <c r="AR186" s="47"/>
      <c r="AS186" s="47"/>
      <c r="AT186" s="47"/>
      <c r="AU186" s="47" t="s">
        <v>1761</v>
      </c>
      <c r="AV186" s="47" t="s">
        <v>89</v>
      </c>
      <c r="AW186" s="47" t="s">
        <v>211</v>
      </c>
    </row>
    <row r="187" spans="1:49" x14ac:dyDescent="0.2">
      <c r="A187" s="47">
        <v>10020198</v>
      </c>
      <c r="B187" s="47">
        <v>2960</v>
      </c>
      <c r="C187" s="47" t="s">
        <v>26</v>
      </c>
      <c r="D187" s="47" t="s">
        <v>573</v>
      </c>
      <c r="E187" s="48">
        <v>42359</v>
      </c>
      <c r="F187" s="47">
        <v>93632323</v>
      </c>
      <c r="G187" s="47">
        <v>2960</v>
      </c>
      <c r="H187" s="48">
        <v>42355</v>
      </c>
      <c r="I187" s="47"/>
      <c r="J187" s="47">
        <v>1201047</v>
      </c>
      <c r="K187" s="47" t="s">
        <v>79</v>
      </c>
      <c r="L187" s="47">
        <v>1311671</v>
      </c>
      <c r="M187" s="47" t="s">
        <v>90</v>
      </c>
      <c r="N187" s="47">
        <v>1171089</v>
      </c>
      <c r="O187" s="47" t="s">
        <v>75</v>
      </c>
      <c r="P187" s="47">
        <v>21469662</v>
      </c>
      <c r="Q187" s="47"/>
      <c r="R187" s="47"/>
      <c r="S187" s="47">
        <v>591207030</v>
      </c>
      <c r="T187" s="47" t="s">
        <v>1475</v>
      </c>
      <c r="U187" s="47" t="s">
        <v>1322</v>
      </c>
      <c r="V187" s="47" t="s">
        <v>1476</v>
      </c>
      <c r="W187" s="47" t="s">
        <v>1331</v>
      </c>
      <c r="X187" s="47">
        <v>5490</v>
      </c>
      <c r="Y187" s="47">
        <v>336</v>
      </c>
      <c r="Z187" s="47">
        <v>72</v>
      </c>
      <c r="AA187" s="47" t="s">
        <v>1332</v>
      </c>
      <c r="AB187" s="47">
        <v>24</v>
      </c>
      <c r="AC187" s="47" t="s">
        <v>1333</v>
      </c>
      <c r="AD187" s="47">
        <v>42.5</v>
      </c>
      <c r="AE187" s="47" t="s">
        <v>182</v>
      </c>
      <c r="AF187" s="49">
        <v>14280</v>
      </c>
      <c r="AG187" s="49">
        <v>3060</v>
      </c>
      <c r="AH187" s="47" t="s">
        <v>182</v>
      </c>
      <c r="AI187" s="47" t="s">
        <v>181</v>
      </c>
      <c r="AJ187" s="47" t="s">
        <v>279</v>
      </c>
      <c r="AK187" s="47"/>
      <c r="AL187" s="47" t="s">
        <v>63</v>
      </c>
      <c r="AM187" s="47" t="s">
        <v>94</v>
      </c>
      <c r="AN187" s="47" t="s">
        <v>95</v>
      </c>
      <c r="AO187" s="48">
        <v>42361</v>
      </c>
      <c r="AP187" s="47" t="s">
        <v>64</v>
      </c>
      <c r="AQ187" s="48">
        <v>42359</v>
      </c>
      <c r="AR187" s="47"/>
      <c r="AS187" s="47"/>
      <c r="AT187" s="47"/>
      <c r="AU187" s="47" t="s">
        <v>1763</v>
      </c>
      <c r="AV187" s="47" t="s">
        <v>96</v>
      </c>
      <c r="AW187" s="47" t="s">
        <v>1764</v>
      </c>
    </row>
    <row r="188" spans="1:49" x14ac:dyDescent="0.2">
      <c r="A188" s="47">
        <v>10020199</v>
      </c>
      <c r="B188" s="47">
        <v>790</v>
      </c>
      <c r="C188" s="47" t="s">
        <v>26</v>
      </c>
      <c r="D188" s="47" t="s">
        <v>78</v>
      </c>
      <c r="E188" s="48">
        <v>42359</v>
      </c>
      <c r="F188" s="47">
        <v>93630117</v>
      </c>
      <c r="G188" s="47">
        <v>790</v>
      </c>
      <c r="H188" s="48">
        <v>42353</v>
      </c>
      <c r="I188" s="48">
        <v>42355</v>
      </c>
      <c r="J188" s="47">
        <v>1201275</v>
      </c>
      <c r="K188" s="47" t="s">
        <v>1112</v>
      </c>
      <c r="L188" s="47">
        <v>1017935</v>
      </c>
      <c r="M188" s="47" t="s">
        <v>1113</v>
      </c>
      <c r="N188" s="47">
        <v>1171097</v>
      </c>
      <c r="O188" s="47" t="s">
        <v>1114</v>
      </c>
      <c r="P188" s="47">
        <v>4616890</v>
      </c>
      <c r="Q188" s="47"/>
      <c r="R188" s="47"/>
      <c r="S188" s="47">
        <v>16252060144</v>
      </c>
      <c r="T188" s="47" t="s">
        <v>1350</v>
      </c>
      <c r="U188" s="47" t="s">
        <v>1322</v>
      </c>
      <c r="V188" s="47" t="s">
        <v>1351</v>
      </c>
      <c r="W188" s="47" t="s">
        <v>1331</v>
      </c>
      <c r="X188" s="47"/>
      <c r="Y188" s="47">
        <v>900</v>
      </c>
      <c r="Z188" s="47">
        <v>2</v>
      </c>
      <c r="AA188" s="47" t="s">
        <v>1332</v>
      </c>
      <c r="AB188" s="47">
        <v>312</v>
      </c>
      <c r="AC188" s="47" t="s">
        <v>1333</v>
      </c>
      <c r="AD188" s="47">
        <v>1.2</v>
      </c>
      <c r="AE188" s="47" t="s">
        <v>182</v>
      </c>
      <c r="AF188" s="49">
        <v>1080</v>
      </c>
      <c r="AG188" s="47">
        <v>2.4</v>
      </c>
      <c r="AH188" s="47" t="s">
        <v>182</v>
      </c>
      <c r="AI188" s="47" t="s">
        <v>181</v>
      </c>
      <c r="AJ188" s="47" t="s">
        <v>67</v>
      </c>
      <c r="AK188" s="47"/>
      <c r="AL188" s="47" t="s">
        <v>63</v>
      </c>
      <c r="AM188" s="47"/>
      <c r="AN188" s="47"/>
      <c r="AO188" s="47"/>
      <c r="AP188" s="47" t="s">
        <v>64</v>
      </c>
      <c r="AQ188" s="48">
        <v>42359</v>
      </c>
      <c r="AR188" s="47"/>
      <c r="AS188" s="47"/>
      <c r="AT188" s="47"/>
      <c r="AU188" s="47">
        <v>3511802000</v>
      </c>
      <c r="AV188" s="47"/>
      <c r="AW188" s="47"/>
    </row>
    <row r="189" spans="1:49" x14ac:dyDescent="0.2">
      <c r="A189" s="47">
        <v>10020200</v>
      </c>
      <c r="B189" s="47">
        <v>2180</v>
      </c>
      <c r="C189" s="47" t="s">
        <v>26</v>
      </c>
      <c r="D189" s="47" t="s">
        <v>78</v>
      </c>
      <c r="E189" s="48">
        <v>42359</v>
      </c>
      <c r="F189" s="47">
        <v>93620885</v>
      </c>
      <c r="G189" s="47">
        <v>2180</v>
      </c>
      <c r="H189" s="48">
        <v>42346</v>
      </c>
      <c r="I189" s="47"/>
      <c r="J189" s="47">
        <v>1201047</v>
      </c>
      <c r="K189" s="47" t="s">
        <v>79</v>
      </c>
      <c r="L189" s="47">
        <v>1034532</v>
      </c>
      <c r="M189" s="47" t="s">
        <v>301</v>
      </c>
      <c r="N189" s="47">
        <v>1171089</v>
      </c>
      <c r="O189" s="47" t="s">
        <v>75</v>
      </c>
      <c r="P189" s="47">
        <v>25436107</v>
      </c>
      <c r="Q189" s="47"/>
      <c r="R189" s="47"/>
      <c r="S189" s="47">
        <v>591376830</v>
      </c>
      <c r="T189" s="47" t="s">
        <v>1590</v>
      </c>
      <c r="U189" s="47" t="s">
        <v>1322</v>
      </c>
      <c r="V189" s="47" t="s">
        <v>1591</v>
      </c>
      <c r="W189" s="47" t="s">
        <v>1331</v>
      </c>
      <c r="X189" s="47" t="s">
        <v>1765</v>
      </c>
      <c r="Y189" s="47">
        <v>768</v>
      </c>
      <c r="Z189" s="47">
        <v>48</v>
      </c>
      <c r="AA189" s="47" t="s">
        <v>1332</v>
      </c>
      <c r="AB189" s="47">
        <v>48</v>
      </c>
      <c r="AC189" s="47" t="s">
        <v>1333</v>
      </c>
      <c r="AD189" s="47">
        <v>265.89999999999998</v>
      </c>
      <c r="AE189" s="47" t="s">
        <v>182</v>
      </c>
      <c r="AF189" s="49">
        <v>204211.20000000001</v>
      </c>
      <c r="AG189" s="49">
        <v>12763.2</v>
      </c>
      <c r="AH189" s="47" t="s">
        <v>182</v>
      </c>
      <c r="AI189" s="47" t="s">
        <v>181</v>
      </c>
      <c r="AJ189" s="47" t="s">
        <v>91</v>
      </c>
      <c r="AK189" s="47"/>
      <c r="AL189" s="47" t="s">
        <v>63</v>
      </c>
      <c r="AM189" s="47" t="s">
        <v>105</v>
      </c>
      <c r="AN189" s="47" t="s">
        <v>82</v>
      </c>
      <c r="AO189" s="48">
        <v>42375</v>
      </c>
      <c r="AP189" s="47"/>
      <c r="AQ189" s="47"/>
      <c r="AR189" s="47"/>
      <c r="AS189" s="47"/>
      <c r="AT189" s="47"/>
      <c r="AU189" s="47" t="s">
        <v>1562</v>
      </c>
      <c r="AV189" s="47" t="s">
        <v>89</v>
      </c>
      <c r="AW189" s="47" t="s">
        <v>1766</v>
      </c>
    </row>
    <row r="190" spans="1:49" x14ac:dyDescent="0.2">
      <c r="A190" s="47">
        <v>10020201</v>
      </c>
      <c r="B190" s="47">
        <v>360</v>
      </c>
      <c r="C190" s="47" t="s">
        <v>22</v>
      </c>
      <c r="D190" s="47" t="s">
        <v>197</v>
      </c>
      <c r="E190" s="48">
        <v>42359</v>
      </c>
      <c r="F190" s="47">
        <v>93632692</v>
      </c>
      <c r="G190" s="47">
        <v>360</v>
      </c>
      <c r="H190" s="48">
        <v>42355</v>
      </c>
      <c r="I190" s="47"/>
      <c r="J190" s="47">
        <v>1201458</v>
      </c>
      <c r="K190" s="47" t="s">
        <v>594</v>
      </c>
      <c r="L190" s="47">
        <v>1201458</v>
      </c>
      <c r="M190" s="47" t="s">
        <v>594</v>
      </c>
      <c r="N190" s="47">
        <v>1201458</v>
      </c>
      <c r="O190" s="47" t="s">
        <v>594</v>
      </c>
      <c r="P190" s="47">
        <v>277674</v>
      </c>
      <c r="Q190" s="47"/>
      <c r="R190" s="47"/>
      <c r="S190" s="47">
        <v>456120230</v>
      </c>
      <c r="T190" s="47" t="s">
        <v>1767</v>
      </c>
      <c r="U190" s="47" t="s">
        <v>1381</v>
      </c>
      <c r="V190" s="47" t="s">
        <v>1456</v>
      </c>
      <c r="W190" s="47" t="s">
        <v>1331</v>
      </c>
      <c r="X190" s="47">
        <v>1153517</v>
      </c>
      <c r="Y190" s="47">
        <v>372</v>
      </c>
      <c r="Z190" s="47">
        <v>12</v>
      </c>
      <c r="AA190" s="47" t="s">
        <v>1332</v>
      </c>
      <c r="AB190" s="47">
        <v>144</v>
      </c>
      <c r="AC190" s="47" t="s">
        <v>1333</v>
      </c>
      <c r="AD190" s="47">
        <v>304.54000000000002</v>
      </c>
      <c r="AE190" s="47" t="s">
        <v>182</v>
      </c>
      <c r="AF190" s="49">
        <v>113288.88</v>
      </c>
      <c r="AG190" s="49">
        <v>3654.48</v>
      </c>
      <c r="AH190" s="47" t="s">
        <v>182</v>
      </c>
      <c r="AI190" s="47" t="s">
        <v>181</v>
      </c>
      <c r="AJ190" s="47" t="s">
        <v>102</v>
      </c>
      <c r="AK190" s="47"/>
      <c r="AL190" s="47" t="s">
        <v>63</v>
      </c>
      <c r="AM190" s="47"/>
      <c r="AN190" s="47"/>
      <c r="AO190" s="47"/>
      <c r="AP190" s="47" t="s">
        <v>64</v>
      </c>
      <c r="AQ190" s="48">
        <v>42359</v>
      </c>
      <c r="AR190" s="47"/>
      <c r="AS190" s="47"/>
      <c r="AT190" s="47"/>
      <c r="AU190" s="47">
        <v>649275184875</v>
      </c>
      <c r="AV190" s="47"/>
      <c r="AW190" s="47"/>
    </row>
    <row r="191" spans="1:49" x14ac:dyDescent="0.2">
      <c r="A191" s="47">
        <v>10020202</v>
      </c>
      <c r="B191" s="47">
        <v>90</v>
      </c>
      <c r="C191" s="47" t="s">
        <v>26</v>
      </c>
      <c r="D191" s="47" t="s">
        <v>78</v>
      </c>
      <c r="E191" s="48">
        <v>42359</v>
      </c>
      <c r="F191" s="47">
        <v>93622701</v>
      </c>
      <c r="G191" s="47">
        <v>90</v>
      </c>
      <c r="H191" s="48">
        <v>42347</v>
      </c>
      <c r="I191" s="48">
        <v>42349</v>
      </c>
      <c r="J191" s="47">
        <v>1201156</v>
      </c>
      <c r="K191" s="47" t="s">
        <v>131</v>
      </c>
      <c r="L191" s="47">
        <v>1039283</v>
      </c>
      <c r="M191" s="47" t="s">
        <v>711</v>
      </c>
      <c r="N191" s="47">
        <v>1201156</v>
      </c>
      <c r="O191" s="47" t="s">
        <v>131</v>
      </c>
      <c r="P191" s="47">
        <v>6577559</v>
      </c>
      <c r="Q191" s="47"/>
      <c r="R191" s="47"/>
      <c r="S191" s="47">
        <v>472038115</v>
      </c>
      <c r="T191" s="47" t="s">
        <v>1768</v>
      </c>
      <c r="U191" s="47" t="s">
        <v>1322</v>
      </c>
      <c r="V191" s="47" t="s">
        <v>1769</v>
      </c>
      <c r="W191" s="47" t="s">
        <v>1331</v>
      </c>
      <c r="X191" s="47" t="s">
        <v>1770</v>
      </c>
      <c r="Y191" s="47">
        <v>144</v>
      </c>
      <c r="Z191" s="47">
        <v>144</v>
      </c>
      <c r="AA191" s="47" t="s">
        <v>1332</v>
      </c>
      <c r="AB191" s="47">
        <v>72</v>
      </c>
      <c r="AC191" s="47" t="s">
        <v>1333</v>
      </c>
      <c r="AD191" s="47">
        <v>15.88</v>
      </c>
      <c r="AE191" s="47" t="s">
        <v>182</v>
      </c>
      <c r="AF191" s="49">
        <v>2286.7199999999998</v>
      </c>
      <c r="AG191" s="49">
        <v>2286.7199999999998</v>
      </c>
      <c r="AH191" s="47" t="s">
        <v>182</v>
      </c>
      <c r="AI191" s="47" t="s">
        <v>181</v>
      </c>
      <c r="AJ191" s="47" t="s">
        <v>61</v>
      </c>
      <c r="AK191" s="47"/>
      <c r="AL191" s="47" t="s">
        <v>63</v>
      </c>
      <c r="AM191" s="47" t="s">
        <v>94</v>
      </c>
      <c r="AN191" s="47" t="s">
        <v>95</v>
      </c>
      <c r="AO191" s="48">
        <v>42360</v>
      </c>
      <c r="AP191" s="47" t="s">
        <v>64</v>
      </c>
      <c r="AQ191" s="48">
        <v>42359</v>
      </c>
      <c r="AR191" s="47"/>
      <c r="AS191" s="47"/>
      <c r="AT191" s="47"/>
      <c r="AU191" s="47">
        <v>327765374</v>
      </c>
      <c r="AV191" s="47" t="s">
        <v>96</v>
      </c>
      <c r="AW191" s="47" t="s">
        <v>1771</v>
      </c>
    </row>
    <row r="192" spans="1:49" x14ac:dyDescent="0.2">
      <c r="A192" s="47">
        <v>10020203</v>
      </c>
      <c r="B192" s="47">
        <v>40</v>
      </c>
      <c r="C192" s="47" t="s">
        <v>18</v>
      </c>
      <c r="D192" s="47" t="s">
        <v>78</v>
      </c>
      <c r="E192" s="48">
        <v>42359</v>
      </c>
      <c r="F192" s="47">
        <v>93605919</v>
      </c>
      <c r="G192" s="47">
        <v>40</v>
      </c>
      <c r="H192" s="48">
        <v>42332</v>
      </c>
      <c r="I192" s="48">
        <v>42338</v>
      </c>
      <c r="J192" s="47">
        <v>1022013</v>
      </c>
      <c r="K192" s="47" t="s">
        <v>114</v>
      </c>
      <c r="L192" s="47">
        <v>1335507</v>
      </c>
      <c r="M192" s="47" t="s">
        <v>114</v>
      </c>
      <c r="N192" s="47">
        <v>1022013</v>
      </c>
      <c r="O192" s="47" t="s">
        <v>114</v>
      </c>
      <c r="P192" s="47">
        <v>76379</v>
      </c>
      <c r="Q192" s="47"/>
      <c r="R192" s="47"/>
      <c r="S192" s="47">
        <v>591381730</v>
      </c>
      <c r="T192" s="47" t="s">
        <v>1373</v>
      </c>
      <c r="U192" s="47" t="s">
        <v>1322</v>
      </c>
      <c r="V192" s="47" t="s">
        <v>1358</v>
      </c>
      <c r="W192" s="47" t="s">
        <v>1331</v>
      </c>
      <c r="X192" s="47" t="s">
        <v>1374</v>
      </c>
      <c r="Y192" s="47">
        <v>960</v>
      </c>
      <c r="Z192" s="47">
        <v>57</v>
      </c>
      <c r="AA192" s="47" t="s">
        <v>1332</v>
      </c>
      <c r="AB192" s="47">
        <v>24</v>
      </c>
      <c r="AC192" s="47" t="s">
        <v>1333</v>
      </c>
      <c r="AD192" s="47">
        <v>3.83</v>
      </c>
      <c r="AE192" s="47" t="s">
        <v>182</v>
      </c>
      <c r="AF192" s="49">
        <v>3676.8</v>
      </c>
      <c r="AG192" s="47">
        <v>218.31</v>
      </c>
      <c r="AH192" s="47" t="s">
        <v>182</v>
      </c>
      <c r="AI192" s="47" t="s">
        <v>181</v>
      </c>
      <c r="AJ192" s="47" t="s">
        <v>67</v>
      </c>
      <c r="AK192" s="47"/>
      <c r="AL192" s="47" t="s">
        <v>63</v>
      </c>
      <c r="AM192" s="47" t="s">
        <v>70</v>
      </c>
      <c r="AN192" s="47" t="s">
        <v>76</v>
      </c>
      <c r="AO192" s="48">
        <v>42360</v>
      </c>
      <c r="AP192" s="47" t="s">
        <v>64</v>
      </c>
      <c r="AQ192" s="48">
        <v>42359</v>
      </c>
      <c r="AR192" s="47"/>
      <c r="AS192" s="47"/>
      <c r="AT192" s="47"/>
      <c r="AU192" s="47">
        <v>3511807110</v>
      </c>
      <c r="AV192" s="47" t="s">
        <v>77</v>
      </c>
      <c r="AW192" s="47" t="s">
        <v>1375</v>
      </c>
    </row>
    <row r="193" spans="1:49" x14ac:dyDescent="0.2">
      <c r="A193" s="47">
        <v>10020205</v>
      </c>
      <c r="B193" s="47">
        <v>490</v>
      </c>
      <c r="C193" s="47" t="s">
        <v>18</v>
      </c>
      <c r="D193" s="47" t="s">
        <v>573</v>
      </c>
      <c r="E193" s="48">
        <v>42360</v>
      </c>
      <c r="F193" s="47">
        <v>93628501</v>
      </c>
      <c r="G193" s="47">
        <v>490</v>
      </c>
      <c r="H193" s="48">
        <v>42352</v>
      </c>
      <c r="I193" s="48">
        <v>42356</v>
      </c>
      <c r="J193" s="47">
        <v>1201674</v>
      </c>
      <c r="K193" s="47" t="s">
        <v>371</v>
      </c>
      <c r="L193" s="47">
        <v>1201674</v>
      </c>
      <c r="M193" s="47" t="s">
        <v>371</v>
      </c>
      <c r="N193" s="47">
        <v>1201674</v>
      </c>
      <c r="O193" s="47" t="s">
        <v>371</v>
      </c>
      <c r="P193" s="47">
        <v>478583</v>
      </c>
      <c r="Q193" s="47"/>
      <c r="R193" s="47"/>
      <c r="S193" s="47">
        <v>62037083201</v>
      </c>
      <c r="T193" s="47" t="s">
        <v>1473</v>
      </c>
      <c r="U193" s="47" t="s">
        <v>1322</v>
      </c>
      <c r="V193" s="47" t="s">
        <v>1474</v>
      </c>
      <c r="W193" s="47" t="s">
        <v>1331</v>
      </c>
      <c r="X193" s="47" t="s">
        <v>1516</v>
      </c>
      <c r="Y193" s="47">
        <v>120</v>
      </c>
      <c r="Z193" s="47">
        <v>3</v>
      </c>
      <c r="AA193" s="47" t="s">
        <v>1332</v>
      </c>
      <c r="AB193" s="47">
        <v>48</v>
      </c>
      <c r="AC193" s="47" t="s">
        <v>1333</v>
      </c>
      <c r="AD193" s="47">
        <v>112.62</v>
      </c>
      <c r="AE193" s="47" t="s">
        <v>182</v>
      </c>
      <c r="AF193" s="49">
        <v>13514.4</v>
      </c>
      <c r="AG193" s="47">
        <v>337.86</v>
      </c>
      <c r="AH193" s="47" t="s">
        <v>182</v>
      </c>
      <c r="AI193" s="47" t="s">
        <v>181</v>
      </c>
      <c r="AJ193" s="47" t="s">
        <v>67</v>
      </c>
      <c r="AK193" s="47"/>
      <c r="AL193" s="47" t="s">
        <v>63</v>
      </c>
      <c r="AM193" s="47" t="s">
        <v>70</v>
      </c>
      <c r="AN193" s="47" t="s">
        <v>76</v>
      </c>
      <c r="AO193" s="48">
        <v>42360</v>
      </c>
      <c r="AP193" s="47" t="s">
        <v>64</v>
      </c>
      <c r="AQ193" s="48">
        <v>42360</v>
      </c>
      <c r="AR193" s="47"/>
      <c r="AS193" s="47"/>
      <c r="AT193" s="47"/>
      <c r="AU193" s="47">
        <v>3511801742</v>
      </c>
      <c r="AV193" s="47" t="s">
        <v>77</v>
      </c>
      <c r="AW193" s="47" t="s">
        <v>127</v>
      </c>
    </row>
    <row r="194" spans="1:49" x14ac:dyDescent="0.2">
      <c r="A194" s="47">
        <v>10020206</v>
      </c>
      <c r="B194" s="47">
        <v>10</v>
      </c>
      <c r="C194" s="47" t="s">
        <v>22</v>
      </c>
      <c r="D194" s="47" t="s">
        <v>432</v>
      </c>
      <c r="E194" s="48">
        <v>42360</v>
      </c>
      <c r="F194" s="47"/>
      <c r="G194" s="47">
        <v>10</v>
      </c>
      <c r="H194" s="47"/>
      <c r="I194" s="47"/>
      <c r="J194" s="47">
        <v>1322515</v>
      </c>
      <c r="K194" s="47" t="s">
        <v>139</v>
      </c>
      <c r="L194" s="47">
        <v>1322536</v>
      </c>
      <c r="M194" s="47" t="s">
        <v>140</v>
      </c>
      <c r="N194" s="47">
        <v>1322515</v>
      </c>
      <c r="O194" s="47" t="s">
        <v>139</v>
      </c>
      <c r="P194" s="47">
        <v>242285</v>
      </c>
      <c r="Q194" s="47"/>
      <c r="R194" s="47"/>
      <c r="S194" s="47">
        <v>591052801</v>
      </c>
      <c r="T194" s="47" t="s">
        <v>1772</v>
      </c>
      <c r="U194" s="47" t="s">
        <v>1322</v>
      </c>
      <c r="V194" s="47" t="s">
        <v>1773</v>
      </c>
      <c r="W194" s="47" t="s">
        <v>1331</v>
      </c>
      <c r="X194" s="47"/>
      <c r="Y194" s="47">
        <v>0</v>
      </c>
      <c r="Z194" s="47">
        <v>24</v>
      </c>
      <c r="AA194" s="47" t="s">
        <v>1324</v>
      </c>
      <c r="AB194" s="47">
        <v>24</v>
      </c>
      <c r="AC194" s="47" t="s">
        <v>1325</v>
      </c>
      <c r="AD194" s="47">
        <v>0</v>
      </c>
      <c r="AE194" s="47" t="s">
        <v>182</v>
      </c>
      <c r="AF194" s="47">
        <v>0</v>
      </c>
      <c r="AG194" s="47">
        <v>0</v>
      </c>
      <c r="AH194" s="47" t="s">
        <v>182</v>
      </c>
      <c r="AI194" s="47" t="s">
        <v>181</v>
      </c>
      <c r="AJ194" s="47"/>
      <c r="AK194" s="47"/>
      <c r="AL194" s="47" t="s">
        <v>63</v>
      </c>
      <c r="AM194" s="47"/>
      <c r="AN194" s="47"/>
      <c r="AO194" s="47"/>
      <c r="AP194" s="47" t="s">
        <v>64</v>
      </c>
      <c r="AQ194" s="48">
        <v>42360</v>
      </c>
      <c r="AR194" s="47"/>
      <c r="AS194" s="47"/>
      <c r="AT194" s="47"/>
      <c r="AU194" s="47"/>
      <c r="AV194" s="47"/>
      <c r="AW194" s="47"/>
    </row>
    <row r="195" spans="1:49" x14ac:dyDescent="0.2">
      <c r="A195" s="47">
        <v>10020207</v>
      </c>
      <c r="B195" s="47">
        <v>1920</v>
      </c>
      <c r="C195" s="47" t="s">
        <v>26</v>
      </c>
      <c r="D195" s="47" t="s">
        <v>573</v>
      </c>
      <c r="E195" s="48">
        <v>42360</v>
      </c>
      <c r="F195" s="47">
        <v>93599586</v>
      </c>
      <c r="G195" s="47">
        <v>1920</v>
      </c>
      <c r="H195" s="48">
        <v>42326</v>
      </c>
      <c r="I195" s="47"/>
      <c r="J195" s="47">
        <v>1201047</v>
      </c>
      <c r="K195" s="47" t="s">
        <v>79</v>
      </c>
      <c r="L195" s="47">
        <v>1311011</v>
      </c>
      <c r="M195" s="47" t="s">
        <v>85</v>
      </c>
      <c r="N195" s="47">
        <v>1171089</v>
      </c>
      <c r="O195" s="47" t="s">
        <v>75</v>
      </c>
      <c r="P195" s="47">
        <v>19629161</v>
      </c>
      <c r="Q195" s="47"/>
      <c r="R195" s="47"/>
      <c r="S195" s="47">
        <v>52544024828</v>
      </c>
      <c r="T195" s="47" t="s">
        <v>1460</v>
      </c>
      <c r="U195" s="47" t="s">
        <v>1344</v>
      </c>
      <c r="V195" s="47" t="s">
        <v>1461</v>
      </c>
      <c r="W195" s="47" t="s">
        <v>1331</v>
      </c>
      <c r="X195" s="47"/>
      <c r="Y195" s="47">
        <v>2160</v>
      </c>
      <c r="Z195" s="47">
        <v>1</v>
      </c>
      <c r="AA195" s="47" t="s">
        <v>1332</v>
      </c>
      <c r="AB195" s="47">
        <v>24</v>
      </c>
      <c r="AC195" s="47" t="s">
        <v>1333</v>
      </c>
      <c r="AD195" s="47">
        <v>147.38999999999999</v>
      </c>
      <c r="AE195" s="47" t="s">
        <v>182</v>
      </c>
      <c r="AF195" s="49">
        <v>318362.40000000002</v>
      </c>
      <c r="AG195" s="47">
        <v>147.38999999999999</v>
      </c>
      <c r="AH195" s="47" t="s">
        <v>182</v>
      </c>
      <c r="AI195" s="47" t="s">
        <v>181</v>
      </c>
      <c r="AJ195" s="47" t="s">
        <v>86</v>
      </c>
      <c r="AK195" s="47"/>
      <c r="AL195" s="47" t="s">
        <v>63</v>
      </c>
      <c r="AM195" s="47"/>
      <c r="AN195" s="47"/>
      <c r="AO195" s="47"/>
      <c r="AP195" s="47" t="s">
        <v>64</v>
      </c>
      <c r="AQ195" s="48">
        <v>42360</v>
      </c>
      <c r="AR195" s="47"/>
      <c r="AS195" s="47"/>
      <c r="AT195" s="47"/>
      <c r="AU195" s="47" t="s">
        <v>1774</v>
      </c>
      <c r="AV195" s="47"/>
      <c r="AW195" s="47"/>
    </row>
    <row r="196" spans="1:49" x14ac:dyDescent="0.2">
      <c r="A196" s="47">
        <v>10020208</v>
      </c>
      <c r="B196" s="47">
        <v>290</v>
      </c>
      <c r="C196" s="47" t="s">
        <v>26</v>
      </c>
      <c r="D196" s="47" t="s">
        <v>573</v>
      </c>
      <c r="E196" s="48">
        <v>42360</v>
      </c>
      <c r="F196" s="47">
        <v>93622456</v>
      </c>
      <c r="G196" s="47">
        <v>290</v>
      </c>
      <c r="H196" s="48">
        <v>42347</v>
      </c>
      <c r="I196" s="47"/>
      <c r="J196" s="47">
        <v>1201047</v>
      </c>
      <c r="K196" s="47" t="s">
        <v>79</v>
      </c>
      <c r="L196" s="47">
        <v>1311011</v>
      </c>
      <c r="M196" s="47" t="s">
        <v>85</v>
      </c>
      <c r="N196" s="47">
        <v>1171089</v>
      </c>
      <c r="O196" s="47" t="s">
        <v>75</v>
      </c>
      <c r="P196" s="47">
        <v>19631339</v>
      </c>
      <c r="Q196" s="47"/>
      <c r="R196" s="47"/>
      <c r="S196" s="47">
        <v>16252060144</v>
      </c>
      <c r="T196" s="47" t="s">
        <v>1350</v>
      </c>
      <c r="U196" s="47" t="s">
        <v>1322</v>
      </c>
      <c r="V196" s="47" t="s">
        <v>1351</v>
      </c>
      <c r="W196" s="47" t="s">
        <v>1331</v>
      </c>
      <c r="X196" s="47"/>
      <c r="Y196" s="47">
        <v>10500</v>
      </c>
      <c r="Z196" s="47">
        <v>312</v>
      </c>
      <c r="AA196" s="47" t="s">
        <v>1332</v>
      </c>
      <c r="AB196" s="47">
        <v>312</v>
      </c>
      <c r="AC196" s="47" t="s">
        <v>1333</v>
      </c>
      <c r="AD196" s="47">
        <v>7.5</v>
      </c>
      <c r="AE196" s="47" t="s">
        <v>182</v>
      </c>
      <c r="AF196" s="49">
        <v>78750</v>
      </c>
      <c r="AG196" s="49">
        <v>2340</v>
      </c>
      <c r="AH196" s="47" t="s">
        <v>182</v>
      </c>
      <c r="AI196" s="47" t="s">
        <v>181</v>
      </c>
      <c r="AJ196" s="47" t="s">
        <v>86</v>
      </c>
      <c r="AK196" s="47"/>
      <c r="AL196" s="47" t="s">
        <v>63</v>
      </c>
      <c r="AM196" s="47"/>
      <c r="AN196" s="47"/>
      <c r="AO196" s="47"/>
      <c r="AP196" s="47" t="s">
        <v>64</v>
      </c>
      <c r="AQ196" s="48">
        <v>42360</v>
      </c>
      <c r="AR196" s="47"/>
      <c r="AS196" s="47"/>
      <c r="AT196" s="47"/>
      <c r="AU196" s="47" t="s">
        <v>1775</v>
      </c>
      <c r="AV196" s="47"/>
      <c r="AW196" s="47"/>
    </row>
    <row r="197" spans="1:49" x14ac:dyDescent="0.2">
      <c r="A197" s="47">
        <v>10020209</v>
      </c>
      <c r="B197" s="47">
        <v>100</v>
      </c>
      <c r="C197" s="47" t="s">
        <v>18</v>
      </c>
      <c r="D197" s="47" t="s">
        <v>573</v>
      </c>
      <c r="E197" s="48">
        <v>42360</v>
      </c>
      <c r="F197" s="47">
        <v>93594740</v>
      </c>
      <c r="G197" s="47">
        <v>100</v>
      </c>
      <c r="H197" s="48">
        <v>42321</v>
      </c>
      <c r="I197" s="47"/>
      <c r="J197" s="47">
        <v>1201014</v>
      </c>
      <c r="K197" s="47" t="s">
        <v>58</v>
      </c>
      <c r="L197" s="47">
        <v>1334901</v>
      </c>
      <c r="M197" s="47" t="s">
        <v>59</v>
      </c>
      <c r="N197" s="47">
        <v>1021986</v>
      </c>
      <c r="O197" s="47" t="s">
        <v>60</v>
      </c>
      <c r="P197" s="47">
        <v>220214293</v>
      </c>
      <c r="Q197" s="47"/>
      <c r="R197" s="47"/>
      <c r="S197" s="47">
        <v>591352530</v>
      </c>
      <c r="T197" s="47" t="s">
        <v>1442</v>
      </c>
      <c r="U197" s="47" t="s">
        <v>1322</v>
      </c>
      <c r="V197" s="47" t="s">
        <v>1443</v>
      </c>
      <c r="W197" s="47" t="s">
        <v>1331</v>
      </c>
      <c r="X197" s="47"/>
      <c r="Y197" s="47">
        <v>1476</v>
      </c>
      <c r="Z197" s="47">
        <v>12</v>
      </c>
      <c r="AA197" s="47" t="s">
        <v>1332</v>
      </c>
      <c r="AB197" s="47">
        <v>12</v>
      </c>
      <c r="AC197" s="47" t="s">
        <v>1333</v>
      </c>
      <c r="AD197" s="47">
        <v>116.39</v>
      </c>
      <c r="AE197" s="47" t="s">
        <v>182</v>
      </c>
      <c r="AF197" s="49">
        <v>171791.64</v>
      </c>
      <c r="AG197" s="49">
        <v>1396.68</v>
      </c>
      <c r="AH197" s="47" t="s">
        <v>182</v>
      </c>
      <c r="AI197" s="47" t="s">
        <v>181</v>
      </c>
      <c r="AJ197" s="47" t="s">
        <v>61</v>
      </c>
      <c r="AK197" s="47"/>
      <c r="AL197" s="47" t="s">
        <v>63</v>
      </c>
      <c r="AM197" s="47"/>
      <c r="AN197" s="47"/>
      <c r="AO197" s="47"/>
      <c r="AP197" s="47" t="s">
        <v>64</v>
      </c>
      <c r="AQ197" s="48">
        <v>42360</v>
      </c>
      <c r="AR197" s="47"/>
      <c r="AS197" s="47"/>
      <c r="AT197" s="47"/>
      <c r="AU197" s="47">
        <v>327765322</v>
      </c>
      <c r="AV197" s="47"/>
      <c r="AW197" s="47"/>
    </row>
    <row r="198" spans="1:49" x14ac:dyDescent="0.2">
      <c r="A198" s="47">
        <v>10020210</v>
      </c>
      <c r="B198" s="47">
        <v>2680</v>
      </c>
      <c r="C198" s="47" t="s">
        <v>26</v>
      </c>
      <c r="D198" s="47" t="s">
        <v>78</v>
      </c>
      <c r="E198" s="48">
        <v>42360</v>
      </c>
      <c r="F198" s="47">
        <v>93624197</v>
      </c>
      <c r="G198" s="47">
        <v>2680</v>
      </c>
      <c r="H198" s="48">
        <v>42348</v>
      </c>
      <c r="I198" s="48">
        <v>42353</v>
      </c>
      <c r="J198" s="47">
        <v>1201047</v>
      </c>
      <c r="K198" s="47" t="s">
        <v>79</v>
      </c>
      <c r="L198" s="47">
        <v>1022214</v>
      </c>
      <c r="M198" s="47" t="s">
        <v>80</v>
      </c>
      <c r="N198" s="47">
        <v>1171089</v>
      </c>
      <c r="O198" s="47" t="s">
        <v>75</v>
      </c>
      <c r="P198" s="47">
        <v>4747654</v>
      </c>
      <c r="Q198" s="47"/>
      <c r="R198" s="47"/>
      <c r="S198" s="47">
        <v>472390115</v>
      </c>
      <c r="T198" s="47" t="s">
        <v>1660</v>
      </c>
      <c r="U198" s="47" t="s">
        <v>1322</v>
      </c>
      <c r="V198" s="47" t="s">
        <v>1661</v>
      </c>
      <c r="W198" s="47" t="s">
        <v>1331</v>
      </c>
      <c r="X198" s="47">
        <v>66300062</v>
      </c>
      <c r="Y198" s="47">
        <v>216</v>
      </c>
      <c r="Z198" s="47">
        <v>1</v>
      </c>
      <c r="AA198" s="47" t="s">
        <v>1332</v>
      </c>
      <c r="AB198" s="47">
        <v>36</v>
      </c>
      <c r="AC198" s="47" t="s">
        <v>1333</v>
      </c>
      <c r="AD198" s="47">
        <v>36.44</v>
      </c>
      <c r="AE198" s="47" t="s">
        <v>182</v>
      </c>
      <c r="AF198" s="49">
        <v>7871.04</v>
      </c>
      <c r="AG198" s="47">
        <v>36.44</v>
      </c>
      <c r="AH198" s="47" t="s">
        <v>182</v>
      </c>
      <c r="AI198" s="47" t="s">
        <v>181</v>
      </c>
      <c r="AJ198" s="47" t="s">
        <v>67</v>
      </c>
      <c r="AK198" s="47"/>
      <c r="AL198" s="47" t="s">
        <v>63</v>
      </c>
      <c r="AM198" s="47"/>
      <c r="AN198" s="47"/>
      <c r="AO198" s="47"/>
      <c r="AP198" s="47" t="s">
        <v>64</v>
      </c>
      <c r="AQ198" s="48">
        <v>42360</v>
      </c>
      <c r="AR198" s="47"/>
      <c r="AS198" s="47"/>
      <c r="AT198" s="47"/>
      <c r="AU198" s="47">
        <v>3511801252</v>
      </c>
      <c r="AV198" s="47"/>
      <c r="AW198" s="47"/>
    </row>
    <row r="199" spans="1:49" x14ac:dyDescent="0.2">
      <c r="A199" s="47">
        <v>10020214</v>
      </c>
      <c r="B199" s="47">
        <v>10</v>
      </c>
      <c r="C199" s="47" t="s">
        <v>18</v>
      </c>
      <c r="D199" s="47" t="s">
        <v>573</v>
      </c>
      <c r="E199" s="48">
        <v>42360</v>
      </c>
      <c r="F199" s="47">
        <v>93633398</v>
      </c>
      <c r="G199" s="47">
        <v>10</v>
      </c>
      <c r="H199" s="48">
        <v>42355</v>
      </c>
      <c r="I199" s="48">
        <v>42360</v>
      </c>
      <c r="J199" s="47">
        <v>1201646</v>
      </c>
      <c r="K199" s="47" t="s">
        <v>164</v>
      </c>
      <c r="L199" s="47">
        <v>1201646</v>
      </c>
      <c r="M199" s="47" t="s">
        <v>164</v>
      </c>
      <c r="N199" s="47">
        <v>1201646</v>
      </c>
      <c r="O199" s="47" t="s">
        <v>164</v>
      </c>
      <c r="P199" s="47">
        <v>8046724</v>
      </c>
      <c r="Q199" s="47"/>
      <c r="R199" s="47"/>
      <c r="S199" s="47">
        <v>591551310</v>
      </c>
      <c r="T199" s="47" t="s">
        <v>1776</v>
      </c>
      <c r="U199" s="47" t="s">
        <v>1322</v>
      </c>
      <c r="V199" s="47" t="s">
        <v>1777</v>
      </c>
      <c r="W199" s="47">
        <v>4</v>
      </c>
      <c r="X199" s="47" t="s">
        <v>1778</v>
      </c>
      <c r="Y199" s="47">
        <v>144</v>
      </c>
      <c r="Z199" s="47">
        <v>1</v>
      </c>
      <c r="AA199" s="47" t="s">
        <v>1332</v>
      </c>
      <c r="AB199" s="47">
        <v>12</v>
      </c>
      <c r="AC199" s="47" t="s">
        <v>1333</v>
      </c>
      <c r="AD199" s="47">
        <v>68.48</v>
      </c>
      <c r="AE199" s="47" t="s">
        <v>182</v>
      </c>
      <c r="AF199" s="49">
        <v>9861.1200000000008</v>
      </c>
      <c r="AG199" s="47">
        <v>68.48</v>
      </c>
      <c r="AH199" s="47" t="s">
        <v>182</v>
      </c>
      <c r="AI199" s="47" t="s">
        <v>181</v>
      </c>
      <c r="AJ199" s="47" t="s">
        <v>67</v>
      </c>
      <c r="AK199" s="47"/>
      <c r="AL199" s="47" t="s">
        <v>63</v>
      </c>
      <c r="AM199" s="47"/>
      <c r="AN199" s="47"/>
      <c r="AO199" s="47"/>
      <c r="AP199" s="47" t="s">
        <v>83</v>
      </c>
      <c r="AQ199" s="48">
        <v>42366</v>
      </c>
      <c r="AR199" s="47"/>
      <c r="AS199" s="47"/>
      <c r="AT199" s="47"/>
      <c r="AU199" s="47">
        <v>3511802206</v>
      </c>
      <c r="AV199" s="47"/>
      <c r="AW199" s="47"/>
    </row>
    <row r="200" spans="1:49" x14ac:dyDescent="0.2">
      <c r="A200" s="47">
        <v>10020216</v>
      </c>
      <c r="B200" s="47">
        <v>130</v>
      </c>
      <c r="C200" s="47" t="s">
        <v>26</v>
      </c>
      <c r="D200" s="47" t="s">
        <v>432</v>
      </c>
      <c r="E200" s="48">
        <v>42361</v>
      </c>
      <c r="F200" s="47">
        <v>93634898</v>
      </c>
      <c r="G200" s="47">
        <v>130</v>
      </c>
      <c r="H200" s="48">
        <v>42356</v>
      </c>
      <c r="I200" s="48">
        <v>42360</v>
      </c>
      <c r="J200" s="47">
        <v>1336160</v>
      </c>
      <c r="K200" s="47" t="s">
        <v>1779</v>
      </c>
      <c r="L200" s="47">
        <v>1336160</v>
      </c>
      <c r="M200" s="47" t="s">
        <v>1779</v>
      </c>
      <c r="N200" s="47">
        <v>1336160</v>
      </c>
      <c r="O200" s="47" t="s">
        <v>1779</v>
      </c>
      <c r="P200" s="47" t="s">
        <v>1780</v>
      </c>
      <c r="Q200" s="47"/>
      <c r="R200" s="47"/>
      <c r="S200" s="47">
        <v>591365801</v>
      </c>
      <c r="T200" s="47" t="s">
        <v>1781</v>
      </c>
      <c r="U200" s="47" t="s">
        <v>1322</v>
      </c>
      <c r="V200" s="47" t="s">
        <v>1782</v>
      </c>
      <c r="W200" s="47" t="s">
        <v>1331</v>
      </c>
      <c r="X200" s="47">
        <v>1115600052</v>
      </c>
      <c r="Y200" s="47">
        <v>288</v>
      </c>
      <c r="Z200" s="47">
        <v>3</v>
      </c>
      <c r="AA200" s="47" t="s">
        <v>1324</v>
      </c>
      <c r="AB200" s="47">
        <v>12</v>
      </c>
      <c r="AC200" s="47" t="s">
        <v>1325</v>
      </c>
      <c r="AD200" s="47">
        <v>49.7</v>
      </c>
      <c r="AE200" s="47" t="s">
        <v>182</v>
      </c>
      <c r="AF200" s="49">
        <v>14313.6</v>
      </c>
      <c r="AG200" s="47">
        <v>149.1</v>
      </c>
      <c r="AH200" s="47" t="s">
        <v>182</v>
      </c>
      <c r="AI200" s="47" t="s">
        <v>181</v>
      </c>
      <c r="AJ200" s="47" t="s">
        <v>67</v>
      </c>
      <c r="AK200" s="47"/>
      <c r="AL200" s="47" t="s">
        <v>63</v>
      </c>
      <c r="AM200" s="47"/>
      <c r="AN200" s="47"/>
      <c r="AO200" s="47"/>
      <c r="AP200" s="47" t="s">
        <v>64</v>
      </c>
      <c r="AQ200" s="48">
        <v>42361</v>
      </c>
      <c r="AR200" s="47"/>
      <c r="AS200" s="47"/>
      <c r="AT200" s="47"/>
      <c r="AU200" s="47">
        <v>3511802523</v>
      </c>
      <c r="AV200" s="47"/>
      <c r="AW200" s="47"/>
    </row>
    <row r="201" spans="1:49" x14ac:dyDescent="0.2">
      <c r="A201" s="47">
        <v>10020217</v>
      </c>
      <c r="B201" s="47">
        <v>140</v>
      </c>
      <c r="C201" s="47" t="s">
        <v>18</v>
      </c>
      <c r="D201" s="47" t="s">
        <v>573</v>
      </c>
      <c r="E201" s="48">
        <v>42361</v>
      </c>
      <c r="F201" s="47">
        <v>93628560</v>
      </c>
      <c r="G201" s="47">
        <v>140</v>
      </c>
      <c r="H201" s="48">
        <v>42352</v>
      </c>
      <c r="I201" s="48">
        <v>42355</v>
      </c>
      <c r="J201" s="47">
        <v>1301804</v>
      </c>
      <c r="K201" s="47" t="s">
        <v>242</v>
      </c>
      <c r="L201" s="47">
        <v>1320292</v>
      </c>
      <c r="M201" s="47" t="s">
        <v>243</v>
      </c>
      <c r="N201" s="47">
        <v>1301804</v>
      </c>
      <c r="O201" s="47" t="s">
        <v>242</v>
      </c>
      <c r="P201" s="47">
        <v>399703</v>
      </c>
      <c r="Q201" s="47"/>
      <c r="R201" s="47"/>
      <c r="S201" s="47">
        <v>472038015</v>
      </c>
      <c r="T201" s="47" t="s">
        <v>1783</v>
      </c>
      <c r="U201" s="47" t="s">
        <v>1322</v>
      </c>
      <c r="V201" s="47" t="s">
        <v>1784</v>
      </c>
      <c r="W201" s="47" t="s">
        <v>1331</v>
      </c>
      <c r="X201" s="47" t="s">
        <v>1785</v>
      </c>
      <c r="Y201" s="47">
        <v>288</v>
      </c>
      <c r="Z201" s="47">
        <v>29</v>
      </c>
      <c r="AA201" s="47" t="s">
        <v>1332</v>
      </c>
      <c r="AB201" s="47">
        <v>72</v>
      </c>
      <c r="AC201" s="47" t="s">
        <v>1333</v>
      </c>
      <c r="AD201" s="47">
        <v>15.2</v>
      </c>
      <c r="AE201" s="47" t="s">
        <v>182</v>
      </c>
      <c r="AF201" s="49">
        <v>4377.6000000000004</v>
      </c>
      <c r="AG201" s="47">
        <v>440.8</v>
      </c>
      <c r="AH201" s="47" t="s">
        <v>182</v>
      </c>
      <c r="AI201" s="47" t="s">
        <v>181</v>
      </c>
      <c r="AJ201" s="47" t="s">
        <v>67</v>
      </c>
      <c r="AK201" s="47"/>
      <c r="AL201" s="47" t="s">
        <v>63</v>
      </c>
      <c r="AM201" s="47"/>
      <c r="AN201" s="47"/>
      <c r="AO201" s="47"/>
      <c r="AP201" s="47" t="s">
        <v>64</v>
      </c>
      <c r="AQ201" s="48">
        <v>42361</v>
      </c>
      <c r="AR201" s="47"/>
      <c r="AS201" s="47"/>
      <c r="AT201" s="47"/>
      <c r="AU201" s="47">
        <v>3511801683</v>
      </c>
      <c r="AV201" s="47"/>
      <c r="AW201" s="47"/>
    </row>
    <row r="202" spans="1:49" x14ac:dyDescent="0.2">
      <c r="A202" s="47">
        <v>10020217</v>
      </c>
      <c r="B202" s="47">
        <v>150</v>
      </c>
      <c r="C202" s="47" t="s">
        <v>18</v>
      </c>
      <c r="D202" s="47" t="s">
        <v>573</v>
      </c>
      <c r="E202" s="48">
        <v>42361</v>
      </c>
      <c r="F202" s="47">
        <v>93628560</v>
      </c>
      <c r="G202" s="47">
        <v>150</v>
      </c>
      <c r="H202" s="48">
        <v>42352</v>
      </c>
      <c r="I202" s="48">
        <v>42355</v>
      </c>
      <c r="J202" s="47">
        <v>1301804</v>
      </c>
      <c r="K202" s="47" t="s">
        <v>242</v>
      </c>
      <c r="L202" s="47">
        <v>1320292</v>
      </c>
      <c r="M202" s="47" t="s">
        <v>243</v>
      </c>
      <c r="N202" s="47">
        <v>1301804</v>
      </c>
      <c r="O202" s="47" t="s">
        <v>242</v>
      </c>
      <c r="P202" s="47">
        <v>399703</v>
      </c>
      <c r="Q202" s="47"/>
      <c r="R202" s="47"/>
      <c r="S202" s="47">
        <v>472038045</v>
      </c>
      <c r="T202" s="47" t="s">
        <v>1786</v>
      </c>
      <c r="U202" s="47" t="s">
        <v>1322</v>
      </c>
      <c r="V202" s="47" t="s">
        <v>1784</v>
      </c>
      <c r="W202" s="47" t="s">
        <v>1331</v>
      </c>
      <c r="X202" s="47" t="s">
        <v>1787</v>
      </c>
      <c r="Y202" s="47">
        <v>288</v>
      </c>
      <c r="Z202" s="47">
        <v>24</v>
      </c>
      <c r="AA202" s="47" t="s">
        <v>1332</v>
      </c>
      <c r="AB202" s="47">
        <v>48</v>
      </c>
      <c r="AC202" s="47" t="s">
        <v>1333</v>
      </c>
      <c r="AD202" s="47">
        <v>26.6</v>
      </c>
      <c r="AE202" s="47" t="s">
        <v>182</v>
      </c>
      <c r="AF202" s="49">
        <v>7660.8</v>
      </c>
      <c r="AG202" s="47">
        <v>638.4</v>
      </c>
      <c r="AH202" s="47" t="s">
        <v>182</v>
      </c>
      <c r="AI202" s="47" t="s">
        <v>181</v>
      </c>
      <c r="AJ202" s="47" t="s">
        <v>67</v>
      </c>
      <c r="AK202" s="47"/>
      <c r="AL202" s="47" t="s">
        <v>63</v>
      </c>
      <c r="AM202" s="47"/>
      <c r="AN202" s="47"/>
      <c r="AO202" s="47"/>
      <c r="AP202" s="47" t="s">
        <v>64</v>
      </c>
      <c r="AQ202" s="48">
        <v>42361</v>
      </c>
      <c r="AR202" s="47"/>
      <c r="AS202" s="47"/>
      <c r="AT202" s="47"/>
      <c r="AU202" s="47">
        <v>3511801683</v>
      </c>
      <c r="AV202" s="47"/>
      <c r="AW202" s="47"/>
    </row>
    <row r="203" spans="1:49" x14ac:dyDescent="0.2">
      <c r="A203" s="47">
        <v>10020218</v>
      </c>
      <c r="B203" s="47">
        <v>80</v>
      </c>
      <c r="C203" s="47" t="s">
        <v>26</v>
      </c>
      <c r="D203" s="47" t="s">
        <v>78</v>
      </c>
      <c r="E203" s="48">
        <v>42361</v>
      </c>
      <c r="F203" s="47">
        <v>93634677</v>
      </c>
      <c r="G203" s="47">
        <v>80</v>
      </c>
      <c r="H203" s="48">
        <v>42356</v>
      </c>
      <c r="I203" s="47"/>
      <c r="J203" s="47">
        <v>1201315</v>
      </c>
      <c r="K203" s="47" t="s">
        <v>256</v>
      </c>
      <c r="L203" s="47">
        <v>1319381</v>
      </c>
      <c r="M203" s="47" t="s">
        <v>256</v>
      </c>
      <c r="N203" s="47">
        <v>1201315</v>
      </c>
      <c r="O203" s="47" t="s">
        <v>256</v>
      </c>
      <c r="P203" s="47">
        <v>5683997</v>
      </c>
      <c r="Q203" s="47"/>
      <c r="R203" s="47"/>
      <c r="S203" s="47">
        <v>228308406</v>
      </c>
      <c r="T203" s="47" t="s">
        <v>1788</v>
      </c>
      <c r="U203" s="47" t="s">
        <v>1322</v>
      </c>
      <c r="V203" s="47" t="s">
        <v>1789</v>
      </c>
      <c r="W203" s="47">
        <v>4</v>
      </c>
      <c r="X203" s="47" t="s">
        <v>1790</v>
      </c>
      <c r="Y203" s="47">
        <v>12</v>
      </c>
      <c r="Z203" s="47">
        <v>2</v>
      </c>
      <c r="AA203" s="47" t="s">
        <v>1332</v>
      </c>
      <c r="AB203" s="47">
        <v>24</v>
      </c>
      <c r="AC203" s="47" t="s">
        <v>1333</v>
      </c>
      <c r="AD203" s="47">
        <v>57.69</v>
      </c>
      <c r="AE203" s="47" t="s">
        <v>182</v>
      </c>
      <c r="AF203" s="47">
        <v>692.28</v>
      </c>
      <c r="AG203" s="47">
        <v>115.38</v>
      </c>
      <c r="AH203" s="47" t="s">
        <v>182</v>
      </c>
      <c r="AI203" s="47" t="s">
        <v>181</v>
      </c>
      <c r="AJ203" s="47" t="s">
        <v>97</v>
      </c>
      <c r="AK203" s="47"/>
      <c r="AL203" s="47" t="s">
        <v>63</v>
      </c>
      <c r="AM203" s="47"/>
      <c r="AN203" s="47"/>
      <c r="AO203" s="47"/>
      <c r="AP203" s="47" t="s">
        <v>166</v>
      </c>
      <c r="AQ203" s="48">
        <v>42368</v>
      </c>
      <c r="AR203" s="47"/>
      <c r="AS203" s="47"/>
      <c r="AT203" s="47"/>
      <c r="AU203" s="47">
        <v>87944972810986</v>
      </c>
      <c r="AV203" s="47"/>
      <c r="AW203" s="47"/>
    </row>
    <row r="204" spans="1:49" x14ac:dyDescent="0.2">
      <c r="A204" s="47">
        <v>10020219</v>
      </c>
      <c r="B204" s="47">
        <v>160</v>
      </c>
      <c r="C204" s="47" t="s">
        <v>22</v>
      </c>
      <c r="D204" s="47" t="s">
        <v>78</v>
      </c>
      <c r="E204" s="48">
        <v>42361</v>
      </c>
      <c r="F204" s="47">
        <v>93626415</v>
      </c>
      <c r="G204" s="47">
        <v>160</v>
      </c>
      <c r="H204" s="48">
        <v>42349</v>
      </c>
      <c r="I204" s="48">
        <v>42353</v>
      </c>
      <c r="J204" s="47">
        <v>1201540</v>
      </c>
      <c r="K204" s="47" t="s">
        <v>150</v>
      </c>
      <c r="L204" s="47">
        <v>1312297</v>
      </c>
      <c r="M204" s="47" t="s">
        <v>151</v>
      </c>
      <c r="N204" s="47">
        <v>1201540</v>
      </c>
      <c r="O204" s="47" t="s">
        <v>150</v>
      </c>
      <c r="P204" s="47" t="s">
        <v>1791</v>
      </c>
      <c r="Q204" s="47"/>
      <c r="R204" s="47"/>
      <c r="S204" s="47">
        <v>591044401</v>
      </c>
      <c r="T204" s="47" t="s">
        <v>1792</v>
      </c>
      <c r="U204" s="47" t="s">
        <v>1322</v>
      </c>
      <c r="V204" s="47" t="s">
        <v>1793</v>
      </c>
      <c r="W204" s="47" t="s">
        <v>1331</v>
      </c>
      <c r="X204" s="47" t="s">
        <v>1794</v>
      </c>
      <c r="Y204" s="47">
        <v>4</v>
      </c>
      <c r="Z204" s="47">
        <v>96</v>
      </c>
      <c r="AA204" s="47" t="s">
        <v>1332</v>
      </c>
      <c r="AB204" s="47">
        <v>48</v>
      </c>
      <c r="AC204" s="47" t="s">
        <v>1333</v>
      </c>
      <c r="AD204" s="47">
        <v>4.3899999999999997</v>
      </c>
      <c r="AE204" s="47" t="s">
        <v>182</v>
      </c>
      <c r="AF204" s="47">
        <v>842.88</v>
      </c>
      <c r="AG204" s="47">
        <v>421.44</v>
      </c>
      <c r="AH204" s="47" t="s">
        <v>182</v>
      </c>
      <c r="AI204" s="47" t="s">
        <v>181</v>
      </c>
      <c r="AJ204" s="47" t="s">
        <v>67</v>
      </c>
      <c r="AK204" s="47"/>
      <c r="AL204" s="47" t="s">
        <v>63</v>
      </c>
      <c r="AM204" s="47"/>
      <c r="AN204" s="47"/>
      <c r="AO204" s="47"/>
      <c r="AP204" s="47" t="s">
        <v>64</v>
      </c>
      <c r="AQ204" s="48">
        <v>42361</v>
      </c>
      <c r="AR204" s="47"/>
      <c r="AS204" s="47"/>
      <c r="AT204" s="47"/>
      <c r="AU204" s="47">
        <v>3511801591</v>
      </c>
      <c r="AV204" s="47"/>
      <c r="AW204" s="47"/>
    </row>
    <row r="205" spans="1:49" x14ac:dyDescent="0.2">
      <c r="A205" s="47">
        <v>10020220</v>
      </c>
      <c r="B205" s="47">
        <v>600</v>
      </c>
      <c r="C205" s="47" t="s">
        <v>18</v>
      </c>
      <c r="D205" s="47" t="s">
        <v>573</v>
      </c>
      <c r="E205" s="48">
        <v>42361</v>
      </c>
      <c r="F205" s="47">
        <v>93630347</v>
      </c>
      <c r="G205" s="47">
        <v>600</v>
      </c>
      <c r="H205" s="48">
        <v>42353</v>
      </c>
      <c r="I205" s="48">
        <v>42359</v>
      </c>
      <c r="J205" s="47">
        <v>1201698</v>
      </c>
      <c r="K205" s="47" t="s">
        <v>1795</v>
      </c>
      <c r="L205" s="47">
        <v>1201698</v>
      </c>
      <c r="M205" s="47" t="s">
        <v>1795</v>
      </c>
      <c r="N205" s="47">
        <v>1201698</v>
      </c>
      <c r="O205" s="47" t="s">
        <v>1795</v>
      </c>
      <c r="P205" s="47">
        <v>522537</v>
      </c>
      <c r="Q205" s="47"/>
      <c r="R205" s="47"/>
      <c r="S205" s="47">
        <v>472040030</v>
      </c>
      <c r="T205" s="47" t="s">
        <v>1796</v>
      </c>
      <c r="U205" s="47" t="s">
        <v>1322</v>
      </c>
      <c r="V205" s="47" t="s">
        <v>1797</v>
      </c>
      <c r="W205" s="47" t="s">
        <v>1331</v>
      </c>
      <c r="X205" s="47">
        <v>66500013</v>
      </c>
      <c r="Y205" s="47">
        <v>3</v>
      </c>
      <c r="Z205" s="47">
        <v>6</v>
      </c>
      <c r="AA205" s="47" t="s">
        <v>1369</v>
      </c>
      <c r="AB205" s="47">
        <v>24</v>
      </c>
      <c r="AC205" s="47" t="s">
        <v>1370</v>
      </c>
      <c r="AD205" s="47">
        <v>40.49</v>
      </c>
      <c r="AE205" s="47" t="s">
        <v>182</v>
      </c>
      <c r="AF205" s="49">
        <v>2915.28</v>
      </c>
      <c r="AG205" s="49">
        <v>5830.56</v>
      </c>
      <c r="AH205" s="47" t="s">
        <v>182</v>
      </c>
      <c r="AI205" s="47" t="s">
        <v>181</v>
      </c>
      <c r="AJ205" s="47" t="s">
        <v>67</v>
      </c>
      <c r="AK205" s="47"/>
      <c r="AL205" s="47" t="s">
        <v>63</v>
      </c>
      <c r="AM205" s="47"/>
      <c r="AN205" s="47"/>
      <c r="AO205" s="47"/>
      <c r="AP205" s="47" t="s">
        <v>64</v>
      </c>
      <c r="AQ205" s="48">
        <v>42361</v>
      </c>
      <c r="AR205" s="47"/>
      <c r="AS205" s="47"/>
      <c r="AT205" s="47"/>
      <c r="AU205" s="47">
        <v>3511802044</v>
      </c>
      <c r="AV205" s="47"/>
      <c r="AW205" s="47"/>
    </row>
    <row r="206" spans="1:49" x14ac:dyDescent="0.2">
      <c r="A206" s="47">
        <v>10020222</v>
      </c>
      <c r="B206" s="47">
        <v>210</v>
      </c>
      <c r="C206" s="47" t="s">
        <v>18</v>
      </c>
      <c r="D206" s="47" t="s">
        <v>78</v>
      </c>
      <c r="E206" s="48">
        <v>42361</v>
      </c>
      <c r="F206" s="47">
        <v>93628471</v>
      </c>
      <c r="G206" s="47">
        <v>210</v>
      </c>
      <c r="H206" s="48">
        <v>42352</v>
      </c>
      <c r="I206" s="48">
        <v>42354</v>
      </c>
      <c r="J206" s="47">
        <v>1201550</v>
      </c>
      <c r="K206" s="47" t="s">
        <v>153</v>
      </c>
      <c r="L206" s="47">
        <v>1324095</v>
      </c>
      <c r="M206" s="47" t="s">
        <v>269</v>
      </c>
      <c r="N206" s="47">
        <v>1201550</v>
      </c>
      <c r="O206" s="47" t="s">
        <v>153</v>
      </c>
      <c r="P206" s="47">
        <v>50016661</v>
      </c>
      <c r="Q206" s="47"/>
      <c r="R206" s="47"/>
      <c r="S206" s="47">
        <v>52544095428</v>
      </c>
      <c r="T206" s="47" t="s">
        <v>1798</v>
      </c>
      <c r="U206" s="47" t="s">
        <v>1344</v>
      </c>
      <c r="V206" s="47" t="s">
        <v>1799</v>
      </c>
      <c r="W206" s="47" t="s">
        <v>1331</v>
      </c>
      <c r="X206" s="47"/>
      <c r="Y206" s="47">
        <v>96</v>
      </c>
      <c r="Z206" s="47">
        <v>12</v>
      </c>
      <c r="AA206" s="47" t="s">
        <v>1332</v>
      </c>
      <c r="AB206" s="47">
        <v>12</v>
      </c>
      <c r="AC206" s="47" t="s">
        <v>1333</v>
      </c>
      <c r="AD206" s="47">
        <v>122.64</v>
      </c>
      <c r="AE206" s="47" t="s">
        <v>182</v>
      </c>
      <c r="AF206" s="49">
        <v>11773.44</v>
      </c>
      <c r="AG206" s="49">
        <v>1471.68</v>
      </c>
      <c r="AH206" s="47" t="s">
        <v>182</v>
      </c>
      <c r="AI206" s="47" t="s">
        <v>181</v>
      </c>
      <c r="AJ206" s="47" t="s">
        <v>67</v>
      </c>
      <c r="AK206" s="47"/>
      <c r="AL206" s="47" t="s">
        <v>63</v>
      </c>
      <c r="AM206" s="47"/>
      <c r="AN206" s="47"/>
      <c r="AO206" s="47"/>
      <c r="AP206" s="47" t="s">
        <v>64</v>
      </c>
      <c r="AQ206" s="48">
        <v>42361</v>
      </c>
      <c r="AR206" s="47"/>
      <c r="AS206" s="47"/>
      <c r="AT206" s="47"/>
      <c r="AU206" s="47">
        <v>3511801860</v>
      </c>
      <c r="AV206" s="47"/>
      <c r="AW206" s="47"/>
    </row>
    <row r="207" spans="1:49" x14ac:dyDescent="0.2">
      <c r="A207" s="47">
        <v>10020226</v>
      </c>
      <c r="B207" s="47">
        <v>10</v>
      </c>
      <c r="C207" s="47" t="s">
        <v>22</v>
      </c>
      <c r="D207" s="47" t="s">
        <v>78</v>
      </c>
      <c r="E207" s="48">
        <v>42361</v>
      </c>
      <c r="F207" s="47">
        <v>93622475</v>
      </c>
      <c r="G207" s="47">
        <v>10</v>
      </c>
      <c r="H207" s="48">
        <v>42347</v>
      </c>
      <c r="I207" s="48">
        <v>42354</v>
      </c>
      <c r="J207" s="47">
        <v>1201047</v>
      </c>
      <c r="K207" s="47" t="s">
        <v>79</v>
      </c>
      <c r="L207" s="47">
        <v>1341515</v>
      </c>
      <c r="M207" s="47" t="s">
        <v>85</v>
      </c>
      <c r="N207" s="47">
        <v>1171089</v>
      </c>
      <c r="O207" s="47" t="s">
        <v>75</v>
      </c>
      <c r="P207" s="47">
        <v>14102062</v>
      </c>
      <c r="Q207" s="47"/>
      <c r="R207" s="47"/>
      <c r="S207" s="47">
        <v>228308706</v>
      </c>
      <c r="T207" s="47" t="s">
        <v>1800</v>
      </c>
      <c r="U207" s="47" t="s">
        <v>1322</v>
      </c>
      <c r="V207" s="47" t="s">
        <v>1789</v>
      </c>
      <c r="W207" s="47">
        <v>4</v>
      </c>
      <c r="X207" s="47" t="s">
        <v>1801</v>
      </c>
      <c r="Y207" s="47">
        <v>12</v>
      </c>
      <c r="Z207" s="47">
        <v>12</v>
      </c>
      <c r="AA207" s="47" t="s">
        <v>1332</v>
      </c>
      <c r="AB207" s="47">
        <v>12</v>
      </c>
      <c r="AC207" s="47" t="s">
        <v>1333</v>
      </c>
      <c r="AD207" s="47">
        <v>69.38</v>
      </c>
      <c r="AE207" s="47" t="s">
        <v>182</v>
      </c>
      <c r="AF207" s="47">
        <v>832.56</v>
      </c>
      <c r="AG207" s="47">
        <v>832.56</v>
      </c>
      <c r="AH207" s="47" t="s">
        <v>182</v>
      </c>
      <c r="AI207" s="47" t="s">
        <v>181</v>
      </c>
      <c r="AJ207" s="47" t="s">
        <v>67</v>
      </c>
      <c r="AK207" s="47"/>
      <c r="AL207" s="47" t="s">
        <v>63</v>
      </c>
      <c r="AM207" s="47"/>
      <c r="AN207" s="47"/>
      <c r="AO207" s="47"/>
      <c r="AP207" s="47" t="s">
        <v>64</v>
      </c>
      <c r="AQ207" s="48">
        <v>42361</v>
      </c>
      <c r="AR207" s="47"/>
      <c r="AS207" s="47"/>
      <c r="AT207" s="47"/>
      <c r="AU207" s="47">
        <v>3511801193</v>
      </c>
      <c r="AV207" s="47"/>
      <c r="AW207" s="47"/>
    </row>
    <row r="208" spans="1:49" x14ac:dyDescent="0.2">
      <c r="A208" s="47">
        <v>10020226</v>
      </c>
      <c r="B208" s="47">
        <v>20</v>
      </c>
      <c r="C208" s="47" t="s">
        <v>22</v>
      </c>
      <c r="D208" s="47" t="s">
        <v>78</v>
      </c>
      <c r="E208" s="48">
        <v>42361</v>
      </c>
      <c r="F208" s="47">
        <v>93622475</v>
      </c>
      <c r="G208" s="47">
        <v>20</v>
      </c>
      <c r="H208" s="48">
        <v>42347</v>
      </c>
      <c r="I208" s="48">
        <v>42354</v>
      </c>
      <c r="J208" s="47">
        <v>1201047</v>
      </c>
      <c r="K208" s="47" t="s">
        <v>79</v>
      </c>
      <c r="L208" s="47">
        <v>1341515</v>
      </c>
      <c r="M208" s="47" t="s">
        <v>85</v>
      </c>
      <c r="N208" s="47">
        <v>1171089</v>
      </c>
      <c r="O208" s="47" t="s">
        <v>75</v>
      </c>
      <c r="P208" s="47">
        <v>14102062</v>
      </c>
      <c r="Q208" s="47"/>
      <c r="R208" s="47"/>
      <c r="S208" s="47">
        <v>228308306</v>
      </c>
      <c r="T208" s="47" t="s">
        <v>1802</v>
      </c>
      <c r="U208" s="47" t="s">
        <v>1322</v>
      </c>
      <c r="V208" s="47" t="s">
        <v>1789</v>
      </c>
      <c r="W208" s="47">
        <v>4</v>
      </c>
      <c r="X208" s="47" t="s">
        <v>1803</v>
      </c>
      <c r="Y208" s="47">
        <v>12</v>
      </c>
      <c r="Z208" s="47">
        <v>12</v>
      </c>
      <c r="AA208" s="47" t="s">
        <v>1332</v>
      </c>
      <c r="AB208" s="47">
        <v>12</v>
      </c>
      <c r="AC208" s="47" t="s">
        <v>1333</v>
      </c>
      <c r="AD208" s="47">
        <v>43.17</v>
      </c>
      <c r="AE208" s="47" t="s">
        <v>182</v>
      </c>
      <c r="AF208" s="47">
        <v>518.04</v>
      </c>
      <c r="AG208" s="47">
        <v>518.04</v>
      </c>
      <c r="AH208" s="47" t="s">
        <v>182</v>
      </c>
      <c r="AI208" s="47" t="s">
        <v>181</v>
      </c>
      <c r="AJ208" s="47" t="s">
        <v>67</v>
      </c>
      <c r="AK208" s="47"/>
      <c r="AL208" s="47" t="s">
        <v>63</v>
      </c>
      <c r="AM208" s="47"/>
      <c r="AN208" s="47"/>
      <c r="AO208" s="47"/>
      <c r="AP208" s="47" t="s">
        <v>64</v>
      </c>
      <c r="AQ208" s="48">
        <v>42361</v>
      </c>
      <c r="AR208" s="47"/>
      <c r="AS208" s="47"/>
      <c r="AT208" s="47"/>
      <c r="AU208" s="47">
        <v>3511801193</v>
      </c>
      <c r="AV208" s="47"/>
      <c r="AW208" s="47"/>
    </row>
    <row r="209" spans="1:49" x14ac:dyDescent="0.2">
      <c r="A209" s="47">
        <v>10020226</v>
      </c>
      <c r="B209" s="47">
        <v>40</v>
      </c>
      <c r="C209" s="47" t="s">
        <v>22</v>
      </c>
      <c r="D209" s="47" t="s">
        <v>78</v>
      </c>
      <c r="E209" s="48">
        <v>42361</v>
      </c>
      <c r="F209" s="47">
        <v>93622475</v>
      </c>
      <c r="G209" s="47">
        <v>40</v>
      </c>
      <c r="H209" s="48">
        <v>42347</v>
      </c>
      <c r="I209" s="48">
        <v>42354</v>
      </c>
      <c r="J209" s="47">
        <v>1201047</v>
      </c>
      <c r="K209" s="47" t="s">
        <v>79</v>
      </c>
      <c r="L209" s="47">
        <v>1341515</v>
      </c>
      <c r="M209" s="47" t="s">
        <v>85</v>
      </c>
      <c r="N209" s="47">
        <v>1171089</v>
      </c>
      <c r="O209" s="47" t="s">
        <v>75</v>
      </c>
      <c r="P209" s="47">
        <v>14102062</v>
      </c>
      <c r="Q209" s="47"/>
      <c r="R209" s="47"/>
      <c r="S209" s="47">
        <v>228308606</v>
      </c>
      <c r="T209" s="47" t="s">
        <v>1804</v>
      </c>
      <c r="U209" s="47" t="s">
        <v>1322</v>
      </c>
      <c r="V209" s="47" t="s">
        <v>1789</v>
      </c>
      <c r="W209" s="47">
        <v>4</v>
      </c>
      <c r="X209" s="47" t="s">
        <v>1805</v>
      </c>
      <c r="Y209" s="47">
        <v>12</v>
      </c>
      <c r="Z209" s="47">
        <v>12</v>
      </c>
      <c r="AA209" s="47" t="s">
        <v>1332</v>
      </c>
      <c r="AB209" s="47">
        <v>24</v>
      </c>
      <c r="AC209" s="47" t="s">
        <v>1333</v>
      </c>
      <c r="AD209" s="47">
        <v>111.15</v>
      </c>
      <c r="AE209" s="47" t="s">
        <v>182</v>
      </c>
      <c r="AF209" s="49">
        <v>1333.8</v>
      </c>
      <c r="AG209" s="49">
        <v>1333.8</v>
      </c>
      <c r="AH209" s="47" t="s">
        <v>182</v>
      </c>
      <c r="AI209" s="47" t="s">
        <v>181</v>
      </c>
      <c r="AJ209" s="47" t="s">
        <v>67</v>
      </c>
      <c r="AK209" s="47"/>
      <c r="AL209" s="47" t="s">
        <v>63</v>
      </c>
      <c r="AM209" s="47"/>
      <c r="AN209" s="47"/>
      <c r="AO209" s="47"/>
      <c r="AP209" s="47" t="s">
        <v>64</v>
      </c>
      <c r="AQ209" s="48">
        <v>42361</v>
      </c>
      <c r="AR209" s="47"/>
      <c r="AS209" s="47"/>
      <c r="AT209" s="47"/>
      <c r="AU209" s="47">
        <v>3511801193</v>
      </c>
      <c r="AV209" s="47"/>
      <c r="AW209" s="47"/>
    </row>
    <row r="210" spans="1:49" x14ac:dyDescent="0.2">
      <c r="A210" s="47">
        <v>10020226</v>
      </c>
      <c r="B210" s="47">
        <v>50</v>
      </c>
      <c r="C210" s="47" t="s">
        <v>22</v>
      </c>
      <c r="D210" s="47" t="s">
        <v>78</v>
      </c>
      <c r="E210" s="48">
        <v>42361</v>
      </c>
      <c r="F210" s="47">
        <v>93622475</v>
      </c>
      <c r="G210" s="47">
        <v>50</v>
      </c>
      <c r="H210" s="48">
        <v>42347</v>
      </c>
      <c r="I210" s="48">
        <v>42354</v>
      </c>
      <c r="J210" s="47">
        <v>1201047</v>
      </c>
      <c r="K210" s="47" t="s">
        <v>79</v>
      </c>
      <c r="L210" s="47">
        <v>1341515</v>
      </c>
      <c r="M210" s="47" t="s">
        <v>85</v>
      </c>
      <c r="N210" s="47">
        <v>1171089</v>
      </c>
      <c r="O210" s="47" t="s">
        <v>75</v>
      </c>
      <c r="P210" s="47">
        <v>14102062</v>
      </c>
      <c r="Q210" s="47"/>
      <c r="R210" s="47"/>
      <c r="S210" s="47">
        <v>591024201</v>
      </c>
      <c r="T210" s="47" t="s">
        <v>1806</v>
      </c>
      <c r="U210" s="47" t="s">
        <v>1322</v>
      </c>
      <c r="V210" s="47" t="s">
        <v>1807</v>
      </c>
      <c r="W210" s="47">
        <v>4</v>
      </c>
      <c r="X210" s="47" t="s">
        <v>1808</v>
      </c>
      <c r="Y210" s="47">
        <v>48</v>
      </c>
      <c r="Z210" s="47">
        <v>48</v>
      </c>
      <c r="AA210" s="47" t="s">
        <v>1332</v>
      </c>
      <c r="AB210" s="47">
        <v>48</v>
      </c>
      <c r="AC210" s="47" t="s">
        <v>1333</v>
      </c>
      <c r="AD210" s="47">
        <v>7.7</v>
      </c>
      <c r="AE210" s="47" t="s">
        <v>182</v>
      </c>
      <c r="AF210" s="47">
        <v>369.6</v>
      </c>
      <c r="AG210" s="47">
        <v>369.6</v>
      </c>
      <c r="AH210" s="47" t="s">
        <v>182</v>
      </c>
      <c r="AI210" s="47" t="s">
        <v>181</v>
      </c>
      <c r="AJ210" s="47" t="s">
        <v>67</v>
      </c>
      <c r="AK210" s="47"/>
      <c r="AL210" s="47" t="s">
        <v>63</v>
      </c>
      <c r="AM210" s="47"/>
      <c r="AN210" s="47"/>
      <c r="AO210" s="47"/>
      <c r="AP210" s="47" t="s">
        <v>64</v>
      </c>
      <c r="AQ210" s="48">
        <v>42361</v>
      </c>
      <c r="AR210" s="47"/>
      <c r="AS210" s="47"/>
      <c r="AT210" s="47"/>
      <c r="AU210" s="47">
        <v>3511801193</v>
      </c>
      <c r="AV210" s="47"/>
      <c r="AW210" s="47"/>
    </row>
    <row r="211" spans="1:49" x14ac:dyDescent="0.2">
      <c r="A211" s="47">
        <v>10020226</v>
      </c>
      <c r="B211" s="47">
        <v>60</v>
      </c>
      <c r="C211" s="47" t="s">
        <v>22</v>
      </c>
      <c r="D211" s="47" t="s">
        <v>78</v>
      </c>
      <c r="E211" s="48">
        <v>42361</v>
      </c>
      <c r="F211" s="47">
        <v>93622475</v>
      </c>
      <c r="G211" s="47">
        <v>60</v>
      </c>
      <c r="H211" s="48">
        <v>42347</v>
      </c>
      <c r="I211" s="48">
        <v>42354</v>
      </c>
      <c r="J211" s="47">
        <v>1201047</v>
      </c>
      <c r="K211" s="47" t="s">
        <v>79</v>
      </c>
      <c r="L211" s="47">
        <v>1341515</v>
      </c>
      <c r="M211" s="47" t="s">
        <v>85</v>
      </c>
      <c r="N211" s="47">
        <v>1171089</v>
      </c>
      <c r="O211" s="47" t="s">
        <v>75</v>
      </c>
      <c r="P211" s="47">
        <v>14102062</v>
      </c>
      <c r="Q211" s="47"/>
      <c r="R211" s="47"/>
      <c r="S211" s="47">
        <v>591078301</v>
      </c>
      <c r="T211" s="47" t="s">
        <v>1809</v>
      </c>
      <c r="U211" s="47" t="s">
        <v>1322</v>
      </c>
      <c r="V211" s="47" t="s">
        <v>1810</v>
      </c>
      <c r="W211" s="47">
        <v>4</v>
      </c>
      <c r="X211" s="47">
        <v>3131047</v>
      </c>
      <c r="Y211" s="47">
        <v>24</v>
      </c>
      <c r="Z211" s="47">
        <v>24</v>
      </c>
      <c r="AA211" s="47" t="s">
        <v>1332</v>
      </c>
      <c r="AB211" s="47">
        <v>24</v>
      </c>
      <c r="AC211" s="47" t="s">
        <v>1333</v>
      </c>
      <c r="AD211" s="47">
        <v>22.92</v>
      </c>
      <c r="AE211" s="47" t="s">
        <v>182</v>
      </c>
      <c r="AF211" s="47">
        <v>550.08000000000004</v>
      </c>
      <c r="AG211" s="47">
        <v>550.08000000000004</v>
      </c>
      <c r="AH211" s="47" t="s">
        <v>182</v>
      </c>
      <c r="AI211" s="47" t="s">
        <v>181</v>
      </c>
      <c r="AJ211" s="47" t="s">
        <v>67</v>
      </c>
      <c r="AK211" s="47"/>
      <c r="AL211" s="47" t="s">
        <v>63</v>
      </c>
      <c r="AM211" s="47"/>
      <c r="AN211" s="47"/>
      <c r="AO211" s="47"/>
      <c r="AP211" s="47" t="s">
        <v>64</v>
      </c>
      <c r="AQ211" s="48">
        <v>42361</v>
      </c>
      <c r="AR211" s="47"/>
      <c r="AS211" s="47"/>
      <c r="AT211" s="47"/>
      <c r="AU211" s="47">
        <v>3511801193</v>
      </c>
      <c r="AV211" s="47"/>
      <c r="AW211" s="47"/>
    </row>
    <row r="212" spans="1:49" x14ac:dyDescent="0.2">
      <c r="A212" s="47">
        <v>10020226</v>
      </c>
      <c r="B212" s="47">
        <v>70</v>
      </c>
      <c r="C212" s="47" t="s">
        <v>22</v>
      </c>
      <c r="D212" s="47" t="s">
        <v>78</v>
      </c>
      <c r="E212" s="48">
        <v>42361</v>
      </c>
      <c r="F212" s="47">
        <v>93622475</v>
      </c>
      <c r="G212" s="47">
        <v>70</v>
      </c>
      <c r="H212" s="48">
        <v>42347</v>
      </c>
      <c r="I212" s="48">
        <v>42354</v>
      </c>
      <c r="J212" s="47">
        <v>1201047</v>
      </c>
      <c r="K212" s="47" t="s">
        <v>79</v>
      </c>
      <c r="L212" s="47">
        <v>1341515</v>
      </c>
      <c r="M212" s="47" t="s">
        <v>85</v>
      </c>
      <c r="N212" s="47">
        <v>1171089</v>
      </c>
      <c r="O212" s="47" t="s">
        <v>75</v>
      </c>
      <c r="P212" s="47">
        <v>14102062</v>
      </c>
      <c r="Q212" s="47"/>
      <c r="R212" s="47"/>
      <c r="S212" s="47">
        <v>591561910</v>
      </c>
      <c r="T212" s="47" t="s">
        <v>1811</v>
      </c>
      <c r="U212" s="47" t="s">
        <v>1322</v>
      </c>
      <c r="V212" s="47" t="s">
        <v>1323</v>
      </c>
      <c r="W212" s="47">
        <v>4</v>
      </c>
      <c r="X212" s="47" t="s">
        <v>1812</v>
      </c>
      <c r="Y212" s="47">
        <v>48</v>
      </c>
      <c r="Z212" s="47">
        <v>48</v>
      </c>
      <c r="AA212" s="47" t="s">
        <v>1332</v>
      </c>
      <c r="AB212" s="47">
        <v>48</v>
      </c>
      <c r="AC212" s="47" t="s">
        <v>1333</v>
      </c>
      <c r="AD212" s="47">
        <v>27.94</v>
      </c>
      <c r="AE212" s="47" t="s">
        <v>182</v>
      </c>
      <c r="AF212" s="49">
        <v>1341.12</v>
      </c>
      <c r="AG212" s="49">
        <v>1341.12</v>
      </c>
      <c r="AH212" s="47" t="s">
        <v>182</v>
      </c>
      <c r="AI212" s="47" t="s">
        <v>181</v>
      </c>
      <c r="AJ212" s="47" t="s">
        <v>67</v>
      </c>
      <c r="AK212" s="47"/>
      <c r="AL212" s="47" t="s">
        <v>63</v>
      </c>
      <c r="AM212" s="47"/>
      <c r="AN212" s="47"/>
      <c r="AO212" s="47"/>
      <c r="AP212" s="47" t="s">
        <v>64</v>
      </c>
      <c r="AQ212" s="48">
        <v>42361</v>
      </c>
      <c r="AR212" s="47"/>
      <c r="AS212" s="47"/>
      <c r="AT212" s="47"/>
      <c r="AU212" s="47">
        <v>3511801193</v>
      </c>
      <c r="AV212" s="47"/>
      <c r="AW212" s="47"/>
    </row>
    <row r="213" spans="1:49" x14ac:dyDescent="0.2">
      <c r="A213" s="47">
        <v>10020226</v>
      </c>
      <c r="B213" s="47">
        <v>80</v>
      </c>
      <c r="C213" s="47" t="s">
        <v>22</v>
      </c>
      <c r="D213" s="47" t="s">
        <v>78</v>
      </c>
      <c r="E213" s="48">
        <v>42361</v>
      </c>
      <c r="F213" s="47">
        <v>93622475</v>
      </c>
      <c r="G213" s="47">
        <v>80</v>
      </c>
      <c r="H213" s="48">
        <v>42347</v>
      </c>
      <c r="I213" s="48">
        <v>42354</v>
      </c>
      <c r="J213" s="47">
        <v>1201047</v>
      </c>
      <c r="K213" s="47" t="s">
        <v>79</v>
      </c>
      <c r="L213" s="47">
        <v>1341515</v>
      </c>
      <c r="M213" s="47" t="s">
        <v>85</v>
      </c>
      <c r="N213" s="47">
        <v>1171089</v>
      </c>
      <c r="O213" s="47" t="s">
        <v>75</v>
      </c>
      <c r="P213" s="47">
        <v>14102062</v>
      </c>
      <c r="Q213" s="47"/>
      <c r="R213" s="47"/>
      <c r="S213" s="47">
        <v>228300511</v>
      </c>
      <c r="T213" s="47" t="s">
        <v>1813</v>
      </c>
      <c r="U213" s="47" t="s">
        <v>1322</v>
      </c>
      <c r="V213" s="47" t="s">
        <v>1564</v>
      </c>
      <c r="W213" s="47">
        <v>4</v>
      </c>
      <c r="X213" s="47" t="s">
        <v>1814</v>
      </c>
      <c r="Y213" s="47">
        <v>48</v>
      </c>
      <c r="Z213" s="47">
        <v>48</v>
      </c>
      <c r="AA213" s="47" t="s">
        <v>1332</v>
      </c>
      <c r="AB213" s="47">
        <v>24</v>
      </c>
      <c r="AC213" s="47" t="s">
        <v>1333</v>
      </c>
      <c r="AD213" s="47">
        <v>6.2</v>
      </c>
      <c r="AE213" s="47" t="s">
        <v>182</v>
      </c>
      <c r="AF213" s="47">
        <v>297.60000000000002</v>
      </c>
      <c r="AG213" s="47">
        <v>297.60000000000002</v>
      </c>
      <c r="AH213" s="47" t="s">
        <v>182</v>
      </c>
      <c r="AI213" s="47" t="s">
        <v>181</v>
      </c>
      <c r="AJ213" s="47" t="s">
        <v>67</v>
      </c>
      <c r="AK213" s="47"/>
      <c r="AL213" s="47" t="s">
        <v>63</v>
      </c>
      <c r="AM213" s="47"/>
      <c r="AN213" s="47"/>
      <c r="AO213" s="47"/>
      <c r="AP213" s="47" t="s">
        <v>64</v>
      </c>
      <c r="AQ213" s="48">
        <v>42361</v>
      </c>
      <c r="AR213" s="47"/>
      <c r="AS213" s="47"/>
      <c r="AT213" s="47"/>
      <c r="AU213" s="47">
        <v>3511801193</v>
      </c>
      <c r="AV213" s="47"/>
      <c r="AW213" s="47"/>
    </row>
    <row r="214" spans="1:49" x14ac:dyDescent="0.2">
      <c r="A214" s="47">
        <v>10020226</v>
      </c>
      <c r="B214" s="47">
        <v>90</v>
      </c>
      <c r="C214" s="47" t="s">
        <v>22</v>
      </c>
      <c r="D214" s="47" t="s">
        <v>78</v>
      </c>
      <c r="E214" s="48">
        <v>42361</v>
      </c>
      <c r="F214" s="47">
        <v>93622475</v>
      </c>
      <c r="G214" s="47">
        <v>90</v>
      </c>
      <c r="H214" s="48">
        <v>42347</v>
      </c>
      <c r="I214" s="48">
        <v>42354</v>
      </c>
      <c r="J214" s="47">
        <v>1201047</v>
      </c>
      <c r="K214" s="47" t="s">
        <v>79</v>
      </c>
      <c r="L214" s="47">
        <v>1341515</v>
      </c>
      <c r="M214" s="47" t="s">
        <v>85</v>
      </c>
      <c r="N214" s="47">
        <v>1171089</v>
      </c>
      <c r="O214" s="47" t="s">
        <v>75</v>
      </c>
      <c r="P214" s="47">
        <v>14102062</v>
      </c>
      <c r="Q214" s="47"/>
      <c r="R214" s="47"/>
      <c r="S214" s="47">
        <v>228300411</v>
      </c>
      <c r="T214" s="47" t="s">
        <v>1563</v>
      </c>
      <c r="U214" s="47" t="s">
        <v>1322</v>
      </c>
      <c r="V214" s="47" t="s">
        <v>1564</v>
      </c>
      <c r="W214" s="47">
        <v>4</v>
      </c>
      <c r="X214" s="47" t="s">
        <v>1815</v>
      </c>
      <c r="Y214" s="47">
        <v>48</v>
      </c>
      <c r="Z214" s="47">
        <v>48</v>
      </c>
      <c r="AA214" s="47" t="s">
        <v>1332</v>
      </c>
      <c r="AB214" s="47">
        <v>24</v>
      </c>
      <c r="AC214" s="47" t="s">
        <v>1333</v>
      </c>
      <c r="AD214" s="47">
        <v>4.2</v>
      </c>
      <c r="AE214" s="47" t="s">
        <v>182</v>
      </c>
      <c r="AF214" s="47">
        <v>201.6</v>
      </c>
      <c r="AG214" s="47">
        <v>201.6</v>
      </c>
      <c r="AH214" s="47" t="s">
        <v>182</v>
      </c>
      <c r="AI214" s="47" t="s">
        <v>181</v>
      </c>
      <c r="AJ214" s="47" t="s">
        <v>67</v>
      </c>
      <c r="AK214" s="47"/>
      <c r="AL214" s="47" t="s">
        <v>63</v>
      </c>
      <c r="AM214" s="47"/>
      <c r="AN214" s="47"/>
      <c r="AO214" s="47"/>
      <c r="AP214" s="47" t="s">
        <v>64</v>
      </c>
      <c r="AQ214" s="48">
        <v>42361</v>
      </c>
      <c r="AR214" s="47"/>
      <c r="AS214" s="47"/>
      <c r="AT214" s="47"/>
      <c r="AU214" s="47">
        <v>3511801193</v>
      </c>
      <c r="AV214" s="47"/>
      <c r="AW214" s="47"/>
    </row>
    <row r="215" spans="1:49" x14ac:dyDescent="0.2">
      <c r="A215" s="47">
        <v>10020226</v>
      </c>
      <c r="B215" s="47">
        <v>100</v>
      </c>
      <c r="C215" s="47" t="s">
        <v>22</v>
      </c>
      <c r="D215" s="47" t="s">
        <v>78</v>
      </c>
      <c r="E215" s="48">
        <v>42361</v>
      </c>
      <c r="F215" s="47">
        <v>93622475</v>
      </c>
      <c r="G215" s="47">
        <v>100</v>
      </c>
      <c r="H215" s="48">
        <v>42347</v>
      </c>
      <c r="I215" s="48">
        <v>42354</v>
      </c>
      <c r="J215" s="47">
        <v>1201047</v>
      </c>
      <c r="K215" s="47" t="s">
        <v>79</v>
      </c>
      <c r="L215" s="47">
        <v>1341515</v>
      </c>
      <c r="M215" s="47" t="s">
        <v>85</v>
      </c>
      <c r="N215" s="47">
        <v>1171089</v>
      </c>
      <c r="O215" s="47" t="s">
        <v>75</v>
      </c>
      <c r="P215" s="47">
        <v>14102062</v>
      </c>
      <c r="Q215" s="47"/>
      <c r="R215" s="47"/>
      <c r="S215" s="47">
        <v>591024210</v>
      </c>
      <c r="T215" s="47" t="s">
        <v>1816</v>
      </c>
      <c r="U215" s="47" t="s">
        <v>1322</v>
      </c>
      <c r="V215" s="47" t="s">
        <v>1807</v>
      </c>
      <c r="W215" s="47">
        <v>4</v>
      </c>
      <c r="X215" s="47" t="s">
        <v>1817</v>
      </c>
      <c r="Y215" s="47">
        <v>12</v>
      </c>
      <c r="Z215" s="47">
        <v>12</v>
      </c>
      <c r="AA215" s="47" t="s">
        <v>1332</v>
      </c>
      <c r="AB215" s="47">
        <v>48</v>
      </c>
      <c r="AC215" s="47" t="s">
        <v>1333</v>
      </c>
      <c r="AD215" s="47">
        <v>74.650000000000006</v>
      </c>
      <c r="AE215" s="47" t="s">
        <v>182</v>
      </c>
      <c r="AF215" s="47">
        <v>895.8</v>
      </c>
      <c r="AG215" s="47">
        <v>895.8</v>
      </c>
      <c r="AH215" s="47" t="s">
        <v>182</v>
      </c>
      <c r="AI215" s="47" t="s">
        <v>181</v>
      </c>
      <c r="AJ215" s="47" t="s">
        <v>67</v>
      </c>
      <c r="AK215" s="47"/>
      <c r="AL215" s="47" t="s">
        <v>63</v>
      </c>
      <c r="AM215" s="47"/>
      <c r="AN215" s="47"/>
      <c r="AO215" s="47"/>
      <c r="AP215" s="47" t="s">
        <v>64</v>
      </c>
      <c r="AQ215" s="48">
        <v>42361</v>
      </c>
      <c r="AR215" s="47"/>
      <c r="AS215" s="47"/>
      <c r="AT215" s="47"/>
      <c r="AU215" s="47">
        <v>3511801193</v>
      </c>
      <c r="AV215" s="47"/>
      <c r="AW215" s="47"/>
    </row>
    <row r="216" spans="1:49" x14ac:dyDescent="0.2">
      <c r="A216" s="47">
        <v>10020226</v>
      </c>
      <c r="B216" s="47">
        <v>110</v>
      </c>
      <c r="C216" s="47" t="s">
        <v>22</v>
      </c>
      <c r="D216" s="47" t="s">
        <v>78</v>
      </c>
      <c r="E216" s="48">
        <v>42361</v>
      </c>
      <c r="F216" s="47">
        <v>93622475</v>
      </c>
      <c r="G216" s="47">
        <v>110</v>
      </c>
      <c r="H216" s="48">
        <v>42347</v>
      </c>
      <c r="I216" s="48">
        <v>42354</v>
      </c>
      <c r="J216" s="47">
        <v>1201047</v>
      </c>
      <c r="K216" s="47" t="s">
        <v>79</v>
      </c>
      <c r="L216" s="47">
        <v>1341515</v>
      </c>
      <c r="M216" s="47" t="s">
        <v>85</v>
      </c>
      <c r="N216" s="47">
        <v>1171089</v>
      </c>
      <c r="O216" s="47" t="s">
        <v>75</v>
      </c>
      <c r="P216" s="47">
        <v>14102062</v>
      </c>
      <c r="Q216" s="47"/>
      <c r="R216" s="47"/>
      <c r="S216" s="47">
        <v>591562101</v>
      </c>
      <c r="T216" s="47" t="s">
        <v>1818</v>
      </c>
      <c r="U216" s="47" t="s">
        <v>1322</v>
      </c>
      <c r="V216" s="47" t="s">
        <v>1323</v>
      </c>
      <c r="W216" s="47">
        <v>4</v>
      </c>
      <c r="X216" s="47" t="s">
        <v>1819</v>
      </c>
      <c r="Y216" s="47">
        <v>96</v>
      </c>
      <c r="Z216" s="47">
        <v>96</v>
      </c>
      <c r="AA216" s="47" t="s">
        <v>1332</v>
      </c>
      <c r="AB216" s="47">
        <v>48</v>
      </c>
      <c r="AC216" s="47" t="s">
        <v>1333</v>
      </c>
      <c r="AD216" s="47">
        <v>2.82</v>
      </c>
      <c r="AE216" s="47" t="s">
        <v>182</v>
      </c>
      <c r="AF216" s="47">
        <v>270.72000000000003</v>
      </c>
      <c r="AG216" s="47">
        <v>270.72000000000003</v>
      </c>
      <c r="AH216" s="47" t="s">
        <v>182</v>
      </c>
      <c r="AI216" s="47" t="s">
        <v>181</v>
      </c>
      <c r="AJ216" s="47" t="s">
        <v>67</v>
      </c>
      <c r="AK216" s="47"/>
      <c r="AL216" s="47" t="s">
        <v>63</v>
      </c>
      <c r="AM216" s="47"/>
      <c r="AN216" s="47"/>
      <c r="AO216" s="47"/>
      <c r="AP216" s="47" t="s">
        <v>64</v>
      </c>
      <c r="AQ216" s="48">
        <v>42361</v>
      </c>
      <c r="AR216" s="47"/>
      <c r="AS216" s="47"/>
      <c r="AT216" s="47"/>
      <c r="AU216" s="47">
        <v>3511801193</v>
      </c>
      <c r="AV216" s="47"/>
      <c r="AW216" s="47"/>
    </row>
    <row r="217" spans="1:49" x14ac:dyDescent="0.2">
      <c r="A217" s="47">
        <v>10020226</v>
      </c>
      <c r="B217" s="47">
        <v>120</v>
      </c>
      <c r="C217" s="47" t="s">
        <v>22</v>
      </c>
      <c r="D217" s="47" t="s">
        <v>78</v>
      </c>
      <c r="E217" s="48">
        <v>42361</v>
      </c>
      <c r="F217" s="47">
        <v>93622475</v>
      </c>
      <c r="G217" s="47">
        <v>120</v>
      </c>
      <c r="H217" s="48">
        <v>42347</v>
      </c>
      <c r="I217" s="48">
        <v>42354</v>
      </c>
      <c r="J217" s="47">
        <v>1201047</v>
      </c>
      <c r="K217" s="47" t="s">
        <v>79</v>
      </c>
      <c r="L217" s="47">
        <v>1341515</v>
      </c>
      <c r="M217" s="47" t="s">
        <v>85</v>
      </c>
      <c r="N217" s="47">
        <v>1171089</v>
      </c>
      <c r="O217" s="47" t="s">
        <v>75</v>
      </c>
      <c r="P217" s="47">
        <v>14102062</v>
      </c>
      <c r="Q217" s="47"/>
      <c r="R217" s="47"/>
      <c r="S217" s="47">
        <v>591561905</v>
      </c>
      <c r="T217" s="47" t="s">
        <v>1820</v>
      </c>
      <c r="U217" s="47" t="s">
        <v>1322</v>
      </c>
      <c r="V217" s="47" t="s">
        <v>1323</v>
      </c>
      <c r="W217" s="47">
        <v>4</v>
      </c>
      <c r="X217" s="47" t="s">
        <v>1821</v>
      </c>
      <c r="Y217" s="47">
        <v>48</v>
      </c>
      <c r="Z217" s="47">
        <v>48</v>
      </c>
      <c r="AA217" s="47" t="s">
        <v>1332</v>
      </c>
      <c r="AB217" s="47">
        <v>48</v>
      </c>
      <c r="AC217" s="47" t="s">
        <v>1333</v>
      </c>
      <c r="AD217" s="47">
        <v>14.26</v>
      </c>
      <c r="AE217" s="47" t="s">
        <v>182</v>
      </c>
      <c r="AF217" s="47">
        <v>684.48</v>
      </c>
      <c r="AG217" s="47">
        <v>684.48</v>
      </c>
      <c r="AH217" s="47" t="s">
        <v>182</v>
      </c>
      <c r="AI217" s="47" t="s">
        <v>181</v>
      </c>
      <c r="AJ217" s="47" t="s">
        <v>67</v>
      </c>
      <c r="AK217" s="47"/>
      <c r="AL217" s="47" t="s">
        <v>63</v>
      </c>
      <c r="AM217" s="47"/>
      <c r="AN217" s="47"/>
      <c r="AO217" s="47"/>
      <c r="AP217" s="47" t="s">
        <v>64</v>
      </c>
      <c r="AQ217" s="48">
        <v>42361</v>
      </c>
      <c r="AR217" s="47"/>
      <c r="AS217" s="47"/>
      <c r="AT217" s="47"/>
      <c r="AU217" s="47">
        <v>3511801193</v>
      </c>
      <c r="AV217" s="47"/>
      <c r="AW217" s="47"/>
    </row>
    <row r="218" spans="1:49" x14ac:dyDescent="0.2">
      <c r="A218" s="47">
        <v>10020226</v>
      </c>
      <c r="B218" s="47">
        <v>130</v>
      </c>
      <c r="C218" s="47" t="s">
        <v>22</v>
      </c>
      <c r="D218" s="47" t="s">
        <v>78</v>
      </c>
      <c r="E218" s="48">
        <v>42361</v>
      </c>
      <c r="F218" s="47">
        <v>93622475</v>
      </c>
      <c r="G218" s="47">
        <v>130</v>
      </c>
      <c r="H218" s="48">
        <v>42347</v>
      </c>
      <c r="I218" s="48">
        <v>42354</v>
      </c>
      <c r="J218" s="47">
        <v>1201047</v>
      </c>
      <c r="K218" s="47" t="s">
        <v>79</v>
      </c>
      <c r="L218" s="47">
        <v>1341515</v>
      </c>
      <c r="M218" s="47" t="s">
        <v>85</v>
      </c>
      <c r="N218" s="47">
        <v>1171089</v>
      </c>
      <c r="O218" s="47" t="s">
        <v>75</v>
      </c>
      <c r="P218" s="47">
        <v>14102062</v>
      </c>
      <c r="Q218" s="47"/>
      <c r="R218" s="47"/>
      <c r="S218" s="47">
        <v>591551310</v>
      </c>
      <c r="T218" s="47" t="s">
        <v>1776</v>
      </c>
      <c r="U218" s="47" t="s">
        <v>1322</v>
      </c>
      <c r="V218" s="47" t="s">
        <v>1777</v>
      </c>
      <c r="W218" s="47">
        <v>4</v>
      </c>
      <c r="X218" s="47" t="s">
        <v>1822</v>
      </c>
      <c r="Y218" s="47">
        <v>108</v>
      </c>
      <c r="Z218" s="47">
        <v>108</v>
      </c>
      <c r="AA218" s="47" t="s">
        <v>1332</v>
      </c>
      <c r="AB218" s="47">
        <v>12</v>
      </c>
      <c r="AC218" s="47" t="s">
        <v>1333</v>
      </c>
      <c r="AD218" s="47">
        <v>87.66</v>
      </c>
      <c r="AE218" s="47" t="s">
        <v>182</v>
      </c>
      <c r="AF218" s="49">
        <v>9467.2800000000007</v>
      </c>
      <c r="AG218" s="49">
        <v>9467.2800000000007</v>
      </c>
      <c r="AH218" s="47" t="s">
        <v>182</v>
      </c>
      <c r="AI218" s="47" t="s">
        <v>181</v>
      </c>
      <c r="AJ218" s="47" t="s">
        <v>67</v>
      </c>
      <c r="AK218" s="47"/>
      <c r="AL218" s="47" t="s">
        <v>63</v>
      </c>
      <c r="AM218" s="47"/>
      <c r="AN218" s="47"/>
      <c r="AO218" s="47"/>
      <c r="AP218" s="47" t="s">
        <v>64</v>
      </c>
      <c r="AQ218" s="48">
        <v>42361</v>
      </c>
      <c r="AR218" s="47"/>
      <c r="AS218" s="47"/>
      <c r="AT218" s="47"/>
      <c r="AU218" s="47">
        <v>3511801193</v>
      </c>
      <c r="AV218" s="47"/>
      <c r="AW218" s="47"/>
    </row>
    <row r="219" spans="1:49" x14ac:dyDescent="0.2">
      <c r="A219" s="47">
        <v>10020226</v>
      </c>
      <c r="B219" s="47">
        <v>140</v>
      </c>
      <c r="C219" s="47" t="s">
        <v>22</v>
      </c>
      <c r="D219" s="47" t="s">
        <v>78</v>
      </c>
      <c r="E219" s="48">
        <v>42361</v>
      </c>
      <c r="F219" s="47">
        <v>93622475</v>
      </c>
      <c r="G219" s="47">
        <v>140</v>
      </c>
      <c r="H219" s="48">
        <v>42347</v>
      </c>
      <c r="I219" s="48">
        <v>42354</v>
      </c>
      <c r="J219" s="47">
        <v>1201047</v>
      </c>
      <c r="K219" s="47" t="s">
        <v>79</v>
      </c>
      <c r="L219" s="47">
        <v>1341515</v>
      </c>
      <c r="M219" s="47" t="s">
        <v>85</v>
      </c>
      <c r="N219" s="47">
        <v>1171089</v>
      </c>
      <c r="O219" s="47" t="s">
        <v>75</v>
      </c>
      <c r="P219" s="47">
        <v>14102062</v>
      </c>
      <c r="Q219" s="47"/>
      <c r="R219" s="47"/>
      <c r="S219" s="47">
        <v>591562105</v>
      </c>
      <c r="T219" s="47" t="s">
        <v>1823</v>
      </c>
      <c r="U219" s="47" t="s">
        <v>1322</v>
      </c>
      <c r="V219" s="47" t="s">
        <v>1323</v>
      </c>
      <c r="W219" s="47">
        <v>4</v>
      </c>
      <c r="X219" s="47" t="s">
        <v>1824</v>
      </c>
      <c r="Y219" s="47">
        <v>24</v>
      </c>
      <c r="Z219" s="47">
        <v>24</v>
      </c>
      <c r="AA219" s="47" t="s">
        <v>1332</v>
      </c>
      <c r="AB219" s="47">
        <v>48</v>
      </c>
      <c r="AC219" s="47" t="s">
        <v>1333</v>
      </c>
      <c r="AD219" s="47">
        <v>13.68</v>
      </c>
      <c r="AE219" s="47" t="s">
        <v>182</v>
      </c>
      <c r="AF219" s="47">
        <v>328.32</v>
      </c>
      <c r="AG219" s="47">
        <v>328.32</v>
      </c>
      <c r="AH219" s="47" t="s">
        <v>182</v>
      </c>
      <c r="AI219" s="47" t="s">
        <v>181</v>
      </c>
      <c r="AJ219" s="47" t="s">
        <v>67</v>
      </c>
      <c r="AK219" s="47"/>
      <c r="AL219" s="47" t="s">
        <v>63</v>
      </c>
      <c r="AM219" s="47"/>
      <c r="AN219" s="47"/>
      <c r="AO219" s="47"/>
      <c r="AP219" s="47" t="s">
        <v>64</v>
      </c>
      <c r="AQ219" s="48">
        <v>42361</v>
      </c>
      <c r="AR219" s="47"/>
      <c r="AS219" s="47"/>
      <c r="AT219" s="47"/>
      <c r="AU219" s="47">
        <v>3511801193</v>
      </c>
      <c r="AV219" s="47"/>
      <c r="AW219" s="47"/>
    </row>
    <row r="220" spans="1:49" x14ac:dyDescent="0.2">
      <c r="A220" s="47">
        <v>10020226</v>
      </c>
      <c r="B220" s="47">
        <v>150</v>
      </c>
      <c r="C220" s="47" t="s">
        <v>22</v>
      </c>
      <c r="D220" s="47" t="s">
        <v>78</v>
      </c>
      <c r="E220" s="48">
        <v>42361</v>
      </c>
      <c r="F220" s="47">
        <v>93622475</v>
      </c>
      <c r="G220" s="47">
        <v>150</v>
      </c>
      <c r="H220" s="48">
        <v>42347</v>
      </c>
      <c r="I220" s="48">
        <v>42354</v>
      </c>
      <c r="J220" s="47">
        <v>1201047</v>
      </c>
      <c r="K220" s="47" t="s">
        <v>79</v>
      </c>
      <c r="L220" s="47">
        <v>1341515</v>
      </c>
      <c r="M220" s="47" t="s">
        <v>85</v>
      </c>
      <c r="N220" s="47">
        <v>1171089</v>
      </c>
      <c r="O220" s="47" t="s">
        <v>75</v>
      </c>
      <c r="P220" s="47">
        <v>14102062</v>
      </c>
      <c r="Q220" s="47"/>
      <c r="R220" s="47"/>
      <c r="S220" s="47">
        <v>228300550</v>
      </c>
      <c r="T220" s="47" t="s">
        <v>1825</v>
      </c>
      <c r="U220" s="47" t="s">
        <v>1322</v>
      </c>
      <c r="V220" s="47" t="s">
        <v>1564</v>
      </c>
      <c r="W220" s="47">
        <v>4</v>
      </c>
      <c r="X220" s="47"/>
      <c r="Y220" s="47">
        <v>36</v>
      </c>
      <c r="Z220" s="47">
        <v>36</v>
      </c>
      <c r="AA220" s="47" t="s">
        <v>1332</v>
      </c>
      <c r="AB220" s="47">
        <v>12</v>
      </c>
      <c r="AC220" s="47" t="s">
        <v>1333</v>
      </c>
      <c r="AD220" s="47">
        <v>31</v>
      </c>
      <c r="AE220" s="47" t="s">
        <v>182</v>
      </c>
      <c r="AF220" s="49">
        <v>1116</v>
      </c>
      <c r="AG220" s="49">
        <v>1116</v>
      </c>
      <c r="AH220" s="47" t="s">
        <v>182</v>
      </c>
      <c r="AI220" s="47" t="s">
        <v>181</v>
      </c>
      <c r="AJ220" s="47" t="s">
        <v>67</v>
      </c>
      <c r="AK220" s="47"/>
      <c r="AL220" s="47" t="s">
        <v>63</v>
      </c>
      <c r="AM220" s="47"/>
      <c r="AN220" s="47"/>
      <c r="AO220" s="47"/>
      <c r="AP220" s="47" t="s">
        <v>64</v>
      </c>
      <c r="AQ220" s="48">
        <v>42361</v>
      </c>
      <c r="AR220" s="47"/>
      <c r="AS220" s="47"/>
      <c r="AT220" s="47"/>
      <c r="AU220" s="47">
        <v>3511801193</v>
      </c>
      <c r="AV220" s="47"/>
      <c r="AW220" s="47"/>
    </row>
    <row r="221" spans="1:49" x14ac:dyDescent="0.2">
      <c r="A221" s="47">
        <v>10020226</v>
      </c>
      <c r="B221" s="47">
        <v>160</v>
      </c>
      <c r="C221" s="47" t="s">
        <v>22</v>
      </c>
      <c r="D221" s="47" t="s">
        <v>78</v>
      </c>
      <c r="E221" s="48">
        <v>42361</v>
      </c>
      <c r="F221" s="47">
        <v>93622475</v>
      </c>
      <c r="G221" s="47">
        <v>160</v>
      </c>
      <c r="H221" s="48">
        <v>42347</v>
      </c>
      <c r="I221" s="48">
        <v>42354</v>
      </c>
      <c r="J221" s="47">
        <v>1201047</v>
      </c>
      <c r="K221" s="47" t="s">
        <v>79</v>
      </c>
      <c r="L221" s="47">
        <v>1341515</v>
      </c>
      <c r="M221" s="47" t="s">
        <v>85</v>
      </c>
      <c r="N221" s="47">
        <v>1171089</v>
      </c>
      <c r="O221" s="47" t="s">
        <v>75</v>
      </c>
      <c r="P221" s="47">
        <v>14102062</v>
      </c>
      <c r="Q221" s="47"/>
      <c r="R221" s="47"/>
      <c r="S221" s="47">
        <v>228300450</v>
      </c>
      <c r="T221" s="47" t="s">
        <v>1826</v>
      </c>
      <c r="U221" s="47" t="s">
        <v>1322</v>
      </c>
      <c r="V221" s="47" t="s">
        <v>1564</v>
      </c>
      <c r="W221" s="47">
        <v>4</v>
      </c>
      <c r="X221" s="50">
        <v>1.995E+154</v>
      </c>
      <c r="Y221" s="47">
        <v>72</v>
      </c>
      <c r="Z221" s="47">
        <v>72</v>
      </c>
      <c r="AA221" s="47" t="s">
        <v>1332</v>
      </c>
      <c r="AB221" s="47">
        <v>12</v>
      </c>
      <c r="AC221" s="47" t="s">
        <v>1333</v>
      </c>
      <c r="AD221" s="47">
        <v>21</v>
      </c>
      <c r="AE221" s="47" t="s">
        <v>182</v>
      </c>
      <c r="AF221" s="49">
        <v>1512</v>
      </c>
      <c r="AG221" s="49">
        <v>1512</v>
      </c>
      <c r="AH221" s="47" t="s">
        <v>182</v>
      </c>
      <c r="AI221" s="47" t="s">
        <v>181</v>
      </c>
      <c r="AJ221" s="47" t="s">
        <v>67</v>
      </c>
      <c r="AK221" s="47"/>
      <c r="AL221" s="47" t="s">
        <v>63</v>
      </c>
      <c r="AM221" s="47"/>
      <c r="AN221" s="47"/>
      <c r="AO221" s="47"/>
      <c r="AP221" s="47" t="s">
        <v>64</v>
      </c>
      <c r="AQ221" s="48">
        <v>42361</v>
      </c>
      <c r="AR221" s="47"/>
      <c r="AS221" s="47"/>
      <c r="AT221" s="47"/>
      <c r="AU221" s="47">
        <v>3511801193</v>
      </c>
      <c r="AV221" s="47"/>
      <c r="AW221" s="47"/>
    </row>
    <row r="222" spans="1:49" x14ac:dyDescent="0.2">
      <c r="A222" s="47">
        <v>10020226</v>
      </c>
      <c r="B222" s="47">
        <v>170</v>
      </c>
      <c r="C222" s="47" t="s">
        <v>22</v>
      </c>
      <c r="D222" s="47" t="s">
        <v>78</v>
      </c>
      <c r="E222" s="48">
        <v>42361</v>
      </c>
      <c r="F222" s="47">
        <v>93622475</v>
      </c>
      <c r="G222" s="47">
        <v>170</v>
      </c>
      <c r="H222" s="48">
        <v>42347</v>
      </c>
      <c r="I222" s="48">
        <v>42354</v>
      </c>
      <c r="J222" s="47">
        <v>1201047</v>
      </c>
      <c r="K222" s="47" t="s">
        <v>79</v>
      </c>
      <c r="L222" s="47">
        <v>1341515</v>
      </c>
      <c r="M222" s="47" t="s">
        <v>85</v>
      </c>
      <c r="N222" s="47">
        <v>1171089</v>
      </c>
      <c r="O222" s="47" t="s">
        <v>75</v>
      </c>
      <c r="P222" s="47">
        <v>14102062</v>
      </c>
      <c r="Q222" s="47"/>
      <c r="R222" s="47"/>
      <c r="S222" s="47">
        <v>228300350</v>
      </c>
      <c r="T222" s="47" t="s">
        <v>1827</v>
      </c>
      <c r="U222" s="47" t="s">
        <v>1322</v>
      </c>
      <c r="V222" s="47" t="s">
        <v>1564</v>
      </c>
      <c r="W222" s="47">
        <v>4</v>
      </c>
      <c r="X222" s="47" t="s">
        <v>1828</v>
      </c>
      <c r="Y222" s="47">
        <v>96</v>
      </c>
      <c r="Z222" s="47">
        <v>96</v>
      </c>
      <c r="AA222" s="47" t="s">
        <v>1332</v>
      </c>
      <c r="AB222" s="47">
        <v>12</v>
      </c>
      <c r="AC222" s="47" t="s">
        <v>1333</v>
      </c>
      <c r="AD222" s="47">
        <v>15</v>
      </c>
      <c r="AE222" s="47" t="s">
        <v>182</v>
      </c>
      <c r="AF222" s="49">
        <v>1440</v>
      </c>
      <c r="AG222" s="49">
        <v>1440</v>
      </c>
      <c r="AH222" s="47" t="s">
        <v>182</v>
      </c>
      <c r="AI222" s="47" t="s">
        <v>181</v>
      </c>
      <c r="AJ222" s="47" t="s">
        <v>67</v>
      </c>
      <c r="AK222" s="47"/>
      <c r="AL222" s="47" t="s">
        <v>63</v>
      </c>
      <c r="AM222" s="47"/>
      <c r="AN222" s="47"/>
      <c r="AO222" s="47"/>
      <c r="AP222" s="47" t="s">
        <v>64</v>
      </c>
      <c r="AQ222" s="48">
        <v>42361</v>
      </c>
      <c r="AR222" s="47"/>
      <c r="AS222" s="47"/>
      <c r="AT222" s="47"/>
      <c r="AU222" s="47">
        <v>3511801193</v>
      </c>
      <c r="AV222" s="47"/>
      <c r="AW222" s="47"/>
    </row>
    <row r="223" spans="1:49" x14ac:dyDescent="0.2">
      <c r="A223" s="47">
        <v>10020226</v>
      </c>
      <c r="B223" s="47">
        <v>180</v>
      </c>
      <c r="C223" s="47" t="s">
        <v>22</v>
      </c>
      <c r="D223" s="47" t="s">
        <v>78</v>
      </c>
      <c r="E223" s="48">
        <v>42361</v>
      </c>
      <c r="F223" s="47">
        <v>93622475</v>
      </c>
      <c r="G223" s="47">
        <v>180</v>
      </c>
      <c r="H223" s="48">
        <v>42347</v>
      </c>
      <c r="I223" s="48">
        <v>42354</v>
      </c>
      <c r="J223" s="47">
        <v>1201047</v>
      </c>
      <c r="K223" s="47" t="s">
        <v>79</v>
      </c>
      <c r="L223" s="47">
        <v>1341515</v>
      </c>
      <c r="M223" s="47" t="s">
        <v>85</v>
      </c>
      <c r="N223" s="47">
        <v>1171089</v>
      </c>
      <c r="O223" s="47" t="s">
        <v>75</v>
      </c>
      <c r="P223" s="47">
        <v>14102062</v>
      </c>
      <c r="Q223" s="47"/>
      <c r="R223" s="47"/>
      <c r="S223" s="47">
        <v>228315603</v>
      </c>
      <c r="T223" s="47" t="s">
        <v>1829</v>
      </c>
      <c r="U223" s="47" t="s">
        <v>1322</v>
      </c>
      <c r="V223" s="47" t="s">
        <v>1830</v>
      </c>
      <c r="W223" s="47">
        <v>3</v>
      </c>
      <c r="X223" s="47" t="s">
        <v>1831</v>
      </c>
      <c r="Y223" s="47">
        <v>48</v>
      </c>
      <c r="Z223" s="47">
        <v>48</v>
      </c>
      <c r="AA223" s="47" t="s">
        <v>1332</v>
      </c>
      <c r="AB223" s="47">
        <v>12</v>
      </c>
      <c r="AC223" s="47" t="s">
        <v>1333</v>
      </c>
      <c r="AD223" s="47">
        <v>74.52</v>
      </c>
      <c r="AE223" s="47" t="s">
        <v>182</v>
      </c>
      <c r="AF223" s="49">
        <v>3576.96</v>
      </c>
      <c r="AG223" s="49">
        <v>3576.96</v>
      </c>
      <c r="AH223" s="47" t="s">
        <v>182</v>
      </c>
      <c r="AI223" s="47" t="s">
        <v>181</v>
      </c>
      <c r="AJ223" s="47" t="s">
        <v>67</v>
      </c>
      <c r="AK223" s="47"/>
      <c r="AL223" s="47" t="s">
        <v>63</v>
      </c>
      <c r="AM223" s="47"/>
      <c r="AN223" s="47"/>
      <c r="AO223" s="47"/>
      <c r="AP223" s="47" t="s">
        <v>64</v>
      </c>
      <c r="AQ223" s="48">
        <v>42361</v>
      </c>
      <c r="AR223" s="47"/>
      <c r="AS223" s="47"/>
      <c r="AT223" s="47"/>
      <c r="AU223" s="47">
        <v>3511801193</v>
      </c>
      <c r="AV223" s="47"/>
      <c r="AW223" s="47"/>
    </row>
    <row r="224" spans="1:49" x14ac:dyDescent="0.2">
      <c r="A224" s="47">
        <v>10020227</v>
      </c>
      <c r="B224" s="47">
        <v>30</v>
      </c>
      <c r="C224" s="47" t="s">
        <v>22</v>
      </c>
      <c r="D224" s="47" t="s">
        <v>78</v>
      </c>
      <c r="E224" s="48">
        <v>42361</v>
      </c>
      <c r="F224" s="47">
        <v>93622497</v>
      </c>
      <c r="G224" s="47">
        <v>30</v>
      </c>
      <c r="H224" s="48">
        <v>42347</v>
      </c>
      <c r="I224" s="47"/>
      <c r="J224" s="47">
        <v>1201047</v>
      </c>
      <c r="K224" s="47" t="s">
        <v>79</v>
      </c>
      <c r="L224" s="47">
        <v>1341515</v>
      </c>
      <c r="M224" s="47" t="s">
        <v>85</v>
      </c>
      <c r="N224" s="47">
        <v>1171089</v>
      </c>
      <c r="O224" s="47" t="s">
        <v>75</v>
      </c>
      <c r="P224" s="47">
        <v>14102062</v>
      </c>
      <c r="Q224" s="47"/>
      <c r="R224" s="47"/>
      <c r="S224" s="47">
        <v>228308406</v>
      </c>
      <c r="T224" s="47" t="s">
        <v>1788</v>
      </c>
      <c r="U224" s="47" t="s">
        <v>1322</v>
      </c>
      <c r="V224" s="47" t="s">
        <v>1789</v>
      </c>
      <c r="W224" s="47">
        <v>4</v>
      </c>
      <c r="X224" s="47" t="s">
        <v>1832</v>
      </c>
      <c r="Y224" s="47">
        <v>12</v>
      </c>
      <c r="Z224" s="47">
        <v>12</v>
      </c>
      <c r="AA224" s="47" t="s">
        <v>1332</v>
      </c>
      <c r="AB224" s="47">
        <v>24</v>
      </c>
      <c r="AC224" s="47" t="s">
        <v>1333</v>
      </c>
      <c r="AD224" s="47">
        <v>57.69</v>
      </c>
      <c r="AE224" s="47" t="s">
        <v>182</v>
      </c>
      <c r="AF224" s="47">
        <v>692.28</v>
      </c>
      <c r="AG224" s="47">
        <v>692.28</v>
      </c>
      <c r="AH224" s="47" t="s">
        <v>182</v>
      </c>
      <c r="AI224" s="47" t="s">
        <v>181</v>
      </c>
      <c r="AJ224" s="47" t="s">
        <v>97</v>
      </c>
      <c r="AK224" s="47"/>
      <c r="AL224" s="47" t="s">
        <v>63</v>
      </c>
      <c r="AM224" s="47"/>
      <c r="AN224" s="47"/>
      <c r="AO224" s="47"/>
      <c r="AP224" s="47" t="s">
        <v>64</v>
      </c>
      <c r="AQ224" s="48">
        <v>42361</v>
      </c>
      <c r="AR224" s="47"/>
      <c r="AS224" s="47"/>
      <c r="AT224" s="47"/>
      <c r="AU224" s="47">
        <v>87944972779412</v>
      </c>
      <c r="AV224" s="47"/>
      <c r="AW224" s="47"/>
    </row>
    <row r="225" spans="1:49" x14ac:dyDescent="0.2">
      <c r="A225" s="47">
        <v>10020228</v>
      </c>
      <c r="B225" s="47">
        <v>230</v>
      </c>
      <c r="C225" s="47" t="s">
        <v>22</v>
      </c>
      <c r="D225" s="47" t="s">
        <v>575</v>
      </c>
      <c r="E225" s="48">
        <v>42361</v>
      </c>
      <c r="F225" s="47">
        <v>93633380</v>
      </c>
      <c r="G225" s="47">
        <v>230</v>
      </c>
      <c r="H225" s="48">
        <v>42355</v>
      </c>
      <c r="I225" s="47"/>
      <c r="J225" s="47">
        <v>1201550</v>
      </c>
      <c r="K225" s="47" t="s">
        <v>153</v>
      </c>
      <c r="L225" s="47">
        <v>1324095</v>
      </c>
      <c r="M225" s="47" t="s">
        <v>269</v>
      </c>
      <c r="N225" s="47">
        <v>1201550</v>
      </c>
      <c r="O225" s="47" t="s">
        <v>153</v>
      </c>
      <c r="P225" s="47">
        <v>50016661</v>
      </c>
      <c r="Q225" s="47"/>
      <c r="R225" s="47"/>
      <c r="S225" s="47">
        <v>62037083101</v>
      </c>
      <c r="T225" s="47" t="s">
        <v>1833</v>
      </c>
      <c r="U225" s="47" t="s">
        <v>1322</v>
      </c>
      <c r="V225" s="47" t="s">
        <v>1474</v>
      </c>
      <c r="W225" s="47" t="s">
        <v>1331</v>
      </c>
      <c r="X225" s="47" t="s">
        <v>1834</v>
      </c>
      <c r="Y225" s="47">
        <v>12</v>
      </c>
      <c r="Z225" s="47">
        <v>4</v>
      </c>
      <c r="AA225" s="47" t="s">
        <v>1332</v>
      </c>
      <c r="AB225" s="47">
        <v>48</v>
      </c>
      <c r="AC225" s="47" t="s">
        <v>1333</v>
      </c>
      <c r="AD225" s="47">
        <v>74.94</v>
      </c>
      <c r="AE225" s="47" t="s">
        <v>182</v>
      </c>
      <c r="AF225" s="47">
        <v>899.28</v>
      </c>
      <c r="AG225" s="47">
        <v>299.76</v>
      </c>
      <c r="AH225" s="47" t="s">
        <v>182</v>
      </c>
      <c r="AI225" s="47" t="s">
        <v>181</v>
      </c>
      <c r="AJ225" s="47" t="s">
        <v>102</v>
      </c>
      <c r="AK225" s="47"/>
      <c r="AL225" s="47" t="s">
        <v>63</v>
      </c>
      <c r="AM225" s="47"/>
      <c r="AN225" s="47"/>
      <c r="AO225" s="47"/>
      <c r="AP225" s="47" t="s">
        <v>64</v>
      </c>
      <c r="AQ225" s="48">
        <v>42361</v>
      </c>
      <c r="AR225" s="47"/>
      <c r="AS225" s="47"/>
      <c r="AT225" s="47"/>
      <c r="AU225" s="47">
        <v>649275185930</v>
      </c>
      <c r="AV225" s="47"/>
      <c r="AW225" s="47"/>
    </row>
    <row r="226" spans="1:49" x14ac:dyDescent="0.2">
      <c r="A226" s="47">
        <v>10020229</v>
      </c>
      <c r="B226" s="47">
        <v>380</v>
      </c>
      <c r="C226" s="47" t="s">
        <v>26</v>
      </c>
      <c r="D226" s="47" t="s">
        <v>573</v>
      </c>
      <c r="E226" s="48">
        <v>42361</v>
      </c>
      <c r="F226" s="47">
        <v>93627026</v>
      </c>
      <c r="G226" s="47">
        <v>380</v>
      </c>
      <c r="H226" s="48">
        <v>42350</v>
      </c>
      <c r="I226" s="47"/>
      <c r="J226" s="47">
        <v>1201047</v>
      </c>
      <c r="K226" s="47" t="s">
        <v>79</v>
      </c>
      <c r="L226" s="47">
        <v>1058305</v>
      </c>
      <c r="M226" s="47" t="s">
        <v>99</v>
      </c>
      <c r="N226" s="47">
        <v>1171089</v>
      </c>
      <c r="O226" s="47" t="s">
        <v>75</v>
      </c>
      <c r="P226" s="47">
        <v>52936831</v>
      </c>
      <c r="Q226" s="47"/>
      <c r="R226" s="47"/>
      <c r="S226" s="47">
        <v>52544055228</v>
      </c>
      <c r="T226" s="47" t="s">
        <v>1613</v>
      </c>
      <c r="U226" s="47" t="s">
        <v>1344</v>
      </c>
      <c r="V226" s="47" t="s">
        <v>1614</v>
      </c>
      <c r="W226" s="47" t="s">
        <v>1331</v>
      </c>
      <c r="X226" s="47" t="s">
        <v>1615</v>
      </c>
      <c r="Y226" s="47">
        <v>204</v>
      </c>
      <c r="Z226" s="47">
        <v>72</v>
      </c>
      <c r="AA226" s="47" t="s">
        <v>1332</v>
      </c>
      <c r="AB226" s="47">
        <v>12</v>
      </c>
      <c r="AC226" s="47" t="s">
        <v>1333</v>
      </c>
      <c r="AD226" s="47">
        <v>132.61000000000001</v>
      </c>
      <c r="AE226" s="47" t="s">
        <v>182</v>
      </c>
      <c r="AF226" s="49">
        <v>27052.44</v>
      </c>
      <c r="AG226" s="49">
        <v>9547.92</v>
      </c>
      <c r="AH226" s="47" t="s">
        <v>182</v>
      </c>
      <c r="AI226" s="47" t="s">
        <v>181</v>
      </c>
      <c r="AJ226" s="47" t="s">
        <v>102</v>
      </c>
      <c r="AK226" s="47"/>
      <c r="AL226" s="47" t="s">
        <v>63</v>
      </c>
      <c r="AM226" s="47" t="s">
        <v>94</v>
      </c>
      <c r="AN226" s="47" t="s">
        <v>95</v>
      </c>
      <c r="AO226" s="48">
        <v>42374</v>
      </c>
      <c r="AP226" s="47"/>
      <c r="AQ226" s="47"/>
      <c r="AR226" s="47"/>
      <c r="AS226" s="47"/>
      <c r="AT226" s="47"/>
      <c r="AU226" s="47">
        <v>649275174830</v>
      </c>
      <c r="AV226" s="47" t="s">
        <v>96</v>
      </c>
      <c r="AW226" s="47" t="s">
        <v>1835</v>
      </c>
    </row>
    <row r="227" spans="1:49" x14ac:dyDescent="0.2">
      <c r="A227" s="47">
        <v>10020230</v>
      </c>
      <c r="B227" s="47">
        <v>10</v>
      </c>
      <c r="C227" s="47" t="s">
        <v>22</v>
      </c>
      <c r="D227" s="47" t="s">
        <v>573</v>
      </c>
      <c r="E227" s="48">
        <v>42361</v>
      </c>
      <c r="F227" s="47"/>
      <c r="G227" s="47">
        <v>10</v>
      </c>
      <c r="H227" s="47"/>
      <c r="I227" s="47"/>
      <c r="J227" s="47">
        <v>1201014</v>
      </c>
      <c r="K227" s="47" t="s">
        <v>58</v>
      </c>
      <c r="L227" s="47">
        <v>1334901</v>
      </c>
      <c r="M227" s="47" t="s">
        <v>59</v>
      </c>
      <c r="N227" s="47">
        <v>1021986</v>
      </c>
      <c r="O227" s="47" t="s">
        <v>60</v>
      </c>
      <c r="P227" s="47">
        <v>220217260</v>
      </c>
      <c r="Q227" s="47"/>
      <c r="R227" s="47"/>
      <c r="S227" s="47">
        <v>591379783</v>
      </c>
      <c r="T227" s="47" t="s">
        <v>1674</v>
      </c>
      <c r="U227" s="47" t="s">
        <v>1322</v>
      </c>
      <c r="V227" s="47" t="s">
        <v>1412</v>
      </c>
      <c r="W227" s="47" t="s">
        <v>1331</v>
      </c>
      <c r="X227" s="47"/>
      <c r="Y227" s="47">
        <v>0</v>
      </c>
      <c r="Z227" s="47">
        <v>96</v>
      </c>
      <c r="AA227" s="47" t="s">
        <v>1621</v>
      </c>
      <c r="AB227" s="47">
        <v>24</v>
      </c>
      <c r="AC227" s="47" t="s">
        <v>1622</v>
      </c>
      <c r="AD227" s="47">
        <v>4</v>
      </c>
      <c r="AE227" s="47" t="s">
        <v>182</v>
      </c>
      <c r="AF227" s="47">
        <v>0</v>
      </c>
      <c r="AG227" s="47">
        <v>384</v>
      </c>
      <c r="AH227" s="47" t="s">
        <v>182</v>
      </c>
      <c r="AI227" s="47" t="s">
        <v>181</v>
      </c>
      <c r="AJ227" s="47"/>
      <c r="AK227" s="47"/>
      <c r="AL227" s="47" t="s">
        <v>63</v>
      </c>
      <c r="AM227" s="47"/>
      <c r="AN227" s="47"/>
      <c r="AO227" s="47"/>
      <c r="AP227" s="47" t="s">
        <v>64</v>
      </c>
      <c r="AQ227" s="48">
        <v>42361</v>
      </c>
      <c r="AR227" s="47"/>
      <c r="AS227" s="47"/>
      <c r="AT227" s="47"/>
      <c r="AU227" s="47"/>
      <c r="AV227" s="47"/>
      <c r="AW227" s="47"/>
    </row>
    <row r="228" spans="1:49" x14ac:dyDescent="0.2">
      <c r="A228" s="47">
        <v>10020230</v>
      </c>
      <c r="B228" s="47">
        <v>20</v>
      </c>
      <c r="C228" s="47" t="s">
        <v>22</v>
      </c>
      <c r="D228" s="47" t="s">
        <v>573</v>
      </c>
      <c r="E228" s="48">
        <v>42361</v>
      </c>
      <c r="F228" s="47"/>
      <c r="G228" s="47">
        <v>20</v>
      </c>
      <c r="H228" s="47"/>
      <c r="I228" s="47"/>
      <c r="J228" s="47">
        <v>1201014</v>
      </c>
      <c r="K228" s="47" t="s">
        <v>58</v>
      </c>
      <c r="L228" s="47">
        <v>1334901</v>
      </c>
      <c r="M228" s="47" t="s">
        <v>59</v>
      </c>
      <c r="N228" s="47">
        <v>1021986</v>
      </c>
      <c r="O228" s="47" t="s">
        <v>60</v>
      </c>
      <c r="P228" s="47">
        <v>220217260</v>
      </c>
      <c r="Q228" s="47"/>
      <c r="R228" s="47"/>
      <c r="S228" s="47">
        <v>52544024828</v>
      </c>
      <c r="T228" s="47" t="s">
        <v>1460</v>
      </c>
      <c r="U228" s="47" t="s">
        <v>1344</v>
      </c>
      <c r="V228" s="47" t="s">
        <v>1461</v>
      </c>
      <c r="W228" s="47" t="s">
        <v>1331</v>
      </c>
      <c r="X228" s="47"/>
      <c r="Y228" s="47">
        <v>0</v>
      </c>
      <c r="Z228" s="47">
        <v>336</v>
      </c>
      <c r="AA228" s="47" t="s">
        <v>1621</v>
      </c>
      <c r="AB228" s="47">
        <v>24</v>
      </c>
      <c r="AC228" s="47" t="s">
        <v>1622</v>
      </c>
      <c r="AD228" s="47">
        <v>147.38999999999999</v>
      </c>
      <c r="AE228" s="47" t="s">
        <v>182</v>
      </c>
      <c r="AF228" s="47">
        <v>0</v>
      </c>
      <c r="AG228" s="49">
        <v>49523.040000000001</v>
      </c>
      <c r="AH228" s="47" t="s">
        <v>182</v>
      </c>
      <c r="AI228" s="47" t="s">
        <v>181</v>
      </c>
      <c r="AJ228" s="47"/>
      <c r="AK228" s="47"/>
      <c r="AL228" s="47" t="s">
        <v>63</v>
      </c>
      <c r="AM228" s="47"/>
      <c r="AN228" s="47"/>
      <c r="AO228" s="47"/>
      <c r="AP228" s="47" t="s">
        <v>64</v>
      </c>
      <c r="AQ228" s="48">
        <v>42361</v>
      </c>
      <c r="AR228" s="47"/>
      <c r="AS228" s="47"/>
      <c r="AT228" s="47"/>
      <c r="AU228" s="47"/>
      <c r="AV228" s="47"/>
      <c r="AW228" s="47"/>
    </row>
    <row r="229" spans="1:49" x14ac:dyDescent="0.2">
      <c r="A229" s="47">
        <v>10020240</v>
      </c>
      <c r="B229" s="47">
        <v>10</v>
      </c>
      <c r="C229" s="47" t="s">
        <v>26</v>
      </c>
      <c r="D229" s="47" t="s">
        <v>432</v>
      </c>
      <c r="E229" s="48">
        <v>42366</v>
      </c>
      <c r="F229" s="47">
        <v>93567722</v>
      </c>
      <c r="G229" s="47">
        <v>10</v>
      </c>
      <c r="H229" s="48">
        <v>42299</v>
      </c>
      <c r="I229" s="48">
        <v>42303</v>
      </c>
      <c r="J229" s="47">
        <v>1201354</v>
      </c>
      <c r="K229" s="47" t="s">
        <v>778</v>
      </c>
      <c r="L229" s="47">
        <v>1329790</v>
      </c>
      <c r="M229" s="47" t="s">
        <v>1076</v>
      </c>
      <c r="N229" s="47">
        <v>1171836</v>
      </c>
      <c r="O229" s="47" t="s">
        <v>780</v>
      </c>
      <c r="P229" s="47" t="s">
        <v>1077</v>
      </c>
      <c r="Q229" s="47"/>
      <c r="R229" s="47"/>
      <c r="S229" s="47">
        <v>591578601</v>
      </c>
      <c r="T229" s="47" t="s">
        <v>1836</v>
      </c>
      <c r="U229" s="47" t="s">
        <v>1322</v>
      </c>
      <c r="V229" s="47" t="s">
        <v>1837</v>
      </c>
      <c r="W229" s="47" t="s">
        <v>1331</v>
      </c>
      <c r="X229" s="47"/>
      <c r="Y229" s="47">
        <v>21500</v>
      </c>
      <c r="Z229" s="47">
        <v>144</v>
      </c>
      <c r="AA229" s="47" t="s">
        <v>1332</v>
      </c>
      <c r="AB229" s="47">
        <v>48</v>
      </c>
      <c r="AC229" s="47" t="s">
        <v>1333</v>
      </c>
      <c r="AD229" s="47">
        <v>3.1</v>
      </c>
      <c r="AE229" s="47" t="s">
        <v>182</v>
      </c>
      <c r="AF229" s="49">
        <v>66650</v>
      </c>
      <c r="AG229" s="47">
        <v>446.4</v>
      </c>
      <c r="AH229" s="47" t="s">
        <v>182</v>
      </c>
      <c r="AI229" s="47" t="s">
        <v>181</v>
      </c>
      <c r="AJ229" s="47" t="s">
        <v>67</v>
      </c>
      <c r="AK229" s="47"/>
      <c r="AL229" s="47" t="s">
        <v>63</v>
      </c>
      <c r="AM229" s="47"/>
      <c r="AN229" s="47"/>
      <c r="AO229" s="47"/>
      <c r="AP229" s="47" t="s">
        <v>64</v>
      </c>
      <c r="AQ229" s="48">
        <v>42366</v>
      </c>
      <c r="AR229" s="47"/>
      <c r="AS229" s="47"/>
      <c r="AT229" s="47"/>
      <c r="AU229" s="47">
        <v>3527002301</v>
      </c>
      <c r="AV229" s="47"/>
      <c r="AW229" s="47"/>
    </row>
    <row r="230" spans="1:49" x14ac:dyDescent="0.2">
      <c r="A230" s="47">
        <v>10020241</v>
      </c>
      <c r="B230" s="47">
        <v>30</v>
      </c>
      <c r="C230" s="47" t="s">
        <v>18</v>
      </c>
      <c r="D230" s="47" t="s">
        <v>432</v>
      </c>
      <c r="E230" s="48">
        <v>42366</v>
      </c>
      <c r="F230" s="47">
        <v>93628416</v>
      </c>
      <c r="G230" s="47">
        <v>30</v>
      </c>
      <c r="H230" s="48">
        <v>42352</v>
      </c>
      <c r="I230" s="47"/>
      <c r="J230" s="47">
        <v>1201399</v>
      </c>
      <c r="K230" s="47" t="s">
        <v>144</v>
      </c>
      <c r="L230" s="47">
        <v>1335374</v>
      </c>
      <c r="M230" s="47" t="s">
        <v>146</v>
      </c>
      <c r="N230" s="47">
        <v>1171970</v>
      </c>
      <c r="O230" s="47" t="s">
        <v>144</v>
      </c>
      <c r="P230" s="47">
        <v>2100042924</v>
      </c>
      <c r="Q230" s="47"/>
      <c r="R230" s="47"/>
      <c r="S230" s="47">
        <v>45963061959</v>
      </c>
      <c r="T230" s="47" t="s">
        <v>1838</v>
      </c>
      <c r="U230" s="47" t="s">
        <v>1322</v>
      </c>
      <c r="V230" s="47" t="s">
        <v>1839</v>
      </c>
      <c r="W230" s="47" t="s">
        <v>1331</v>
      </c>
      <c r="X230" s="47" t="s">
        <v>1840</v>
      </c>
      <c r="Y230" s="47">
        <v>528</v>
      </c>
      <c r="Z230" s="47">
        <v>3</v>
      </c>
      <c r="AA230" s="47" t="s">
        <v>1332</v>
      </c>
      <c r="AB230" s="47">
        <v>100</v>
      </c>
      <c r="AC230" s="47" t="s">
        <v>1333</v>
      </c>
      <c r="AD230" s="47">
        <v>140</v>
      </c>
      <c r="AE230" s="47" t="s">
        <v>182</v>
      </c>
      <c r="AF230" s="49">
        <v>73920</v>
      </c>
      <c r="AG230" s="47">
        <v>420</v>
      </c>
      <c r="AH230" s="47" t="s">
        <v>182</v>
      </c>
      <c r="AI230" s="47" t="s">
        <v>181</v>
      </c>
      <c r="AJ230" s="47" t="s">
        <v>102</v>
      </c>
      <c r="AK230" s="47"/>
      <c r="AL230" s="47" t="s">
        <v>63</v>
      </c>
      <c r="AM230" s="47"/>
      <c r="AN230" s="47"/>
      <c r="AO230" s="47"/>
      <c r="AP230" s="47" t="s">
        <v>64</v>
      </c>
      <c r="AQ230" s="48">
        <v>42366</v>
      </c>
      <c r="AR230" s="47"/>
      <c r="AS230" s="47"/>
      <c r="AT230" s="47"/>
      <c r="AU230" s="47">
        <v>649275179913</v>
      </c>
      <c r="AV230" s="47"/>
      <c r="AW230" s="47"/>
    </row>
    <row r="231" spans="1:49" x14ac:dyDescent="0.2">
      <c r="A231" s="47">
        <v>10020242</v>
      </c>
      <c r="B231" s="47">
        <v>70</v>
      </c>
      <c r="C231" s="47" t="s">
        <v>18</v>
      </c>
      <c r="D231" s="47" t="s">
        <v>573</v>
      </c>
      <c r="E231" s="48">
        <v>42366</v>
      </c>
      <c r="F231" s="47">
        <v>93637190</v>
      </c>
      <c r="G231" s="47">
        <v>70</v>
      </c>
      <c r="H231" s="48">
        <v>42359</v>
      </c>
      <c r="I231" s="47"/>
      <c r="J231" s="47">
        <v>1201120</v>
      </c>
      <c r="K231" s="47" t="s">
        <v>117</v>
      </c>
      <c r="L231" s="47">
        <v>1307782</v>
      </c>
      <c r="M231" s="47" t="s">
        <v>119</v>
      </c>
      <c r="N231" s="47">
        <v>1171090</v>
      </c>
      <c r="O231" s="47" t="s">
        <v>118</v>
      </c>
      <c r="P231" s="47" t="s">
        <v>1757</v>
      </c>
      <c r="Q231" s="47"/>
      <c r="R231" s="47"/>
      <c r="S231" s="47">
        <v>456045801</v>
      </c>
      <c r="T231" s="47" t="s">
        <v>1841</v>
      </c>
      <c r="U231" s="47" t="s">
        <v>1340</v>
      </c>
      <c r="V231" s="47" t="s">
        <v>1708</v>
      </c>
      <c r="W231" s="47" t="s">
        <v>1331</v>
      </c>
      <c r="X231" s="47"/>
      <c r="Y231" s="47">
        <v>15984</v>
      </c>
      <c r="Z231" s="47">
        <v>2</v>
      </c>
      <c r="AA231" s="47" t="s">
        <v>1332</v>
      </c>
      <c r="AB231" s="47">
        <v>144</v>
      </c>
      <c r="AC231" s="47" t="s">
        <v>1333</v>
      </c>
      <c r="AD231" s="47">
        <v>50.63</v>
      </c>
      <c r="AE231" s="47" t="s">
        <v>182</v>
      </c>
      <c r="AF231" s="49">
        <v>809269.92</v>
      </c>
      <c r="AG231" s="47">
        <v>101.26</v>
      </c>
      <c r="AH231" s="47" t="s">
        <v>182</v>
      </c>
      <c r="AI231" s="47" t="s">
        <v>181</v>
      </c>
      <c r="AJ231" s="47" t="s">
        <v>870</v>
      </c>
      <c r="AK231" s="47"/>
      <c r="AL231" s="47" t="s">
        <v>63</v>
      </c>
      <c r="AM231" s="47"/>
      <c r="AN231" s="47"/>
      <c r="AO231" s="47"/>
      <c r="AP231" s="47" t="s">
        <v>64</v>
      </c>
      <c r="AQ231" s="48">
        <v>42366</v>
      </c>
      <c r="AR231" s="47"/>
      <c r="AS231" s="47"/>
      <c r="AT231" s="47"/>
      <c r="AU231" s="47" t="s">
        <v>1842</v>
      </c>
      <c r="AV231" s="47"/>
      <c r="AW231" s="47"/>
    </row>
    <row r="232" spans="1:49" x14ac:dyDescent="0.2">
      <c r="A232" s="47">
        <v>10020243</v>
      </c>
      <c r="B232" s="47">
        <v>210</v>
      </c>
      <c r="C232" s="47" t="s">
        <v>18</v>
      </c>
      <c r="D232" s="47" t="s">
        <v>136</v>
      </c>
      <c r="E232" s="48">
        <v>42366</v>
      </c>
      <c r="F232" s="47">
        <v>93633381</v>
      </c>
      <c r="G232" s="47">
        <v>210</v>
      </c>
      <c r="H232" s="48">
        <v>42355</v>
      </c>
      <c r="I232" s="47"/>
      <c r="J232" s="47">
        <v>1201566</v>
      </c>
      <c r="K232" s="47" t="s">
        <v>154</v>
      </c>
      <c r="L232" s="47">
        <v>1340365</v>
      </c>
      <c r="M232" s="47" t="s">
        <v>694</v>
      </c>
      <c r="N232" s="47">
        <v>1201566</v>
      </c>
      <c r="O232" s="47" t="s">
        <v>154</v>
      </c>
      <c r="P232" s="47">
        <v>3026415</v>
      </c>
      <c r="Q232" s="47"/>
      <c r="R232" s="47"/>
      <c r="S232" s="47">
        <v>430375414</v>
      </c>
      <c r="T232" s="47" t="s">
        <v>1843</v>
      </c>
      <c r="U232" s="47" t="s">
        <v>1450</v>
      </c>
      <c r="V232" s="47" t="s">
        <v>1844</v>
      </c>
      <c r="W232" s="47" t="s">
        <v>1331</v>
      </c>
      <c r="X232" s="47">
        <v>95210</v>
      </c>
      <c r="Y232" s="47">
        <v>144</v>
      </c>
      <c r="Z232" s="47">
        <v>8</v>
      </c>
      <c r="AA232" s="47" t="s">
        <v>1332</v>
      </c>
      <c r="AB232" s="47">
        <v>36</v>
      </c>
      <c r="AC232" s="47" t="s">
        <v>1333</v>
      </c>
      <c r="AD232" s="47">
        <v>240.05</v>
      </c>
      <c r="AE232" s="47" t="s">
        <v>182</v>
      </c>
      <c r="AF232" s="49">
        <v>34567.199999999997</v>
      </c>
      <c r="AG232" s="49">
        <v>1920.4</v>
      </c>
      <c r="AH232" s="47" t="s">
        <v>182</v>
      </c>
      <c r="AI232" s="47" t="s">
        <v>181</v>
      </c>
      <c r="AJ232" s="47" t="s">
        <v>102</v>
      </c>
      <c r="AK232" s="47"/>
      <c r="AL232" s="47" t="s">
        <v>63</v>
      </c>
      <c r="AM232" s="47"/>
      <c r="AN232" s="47"/>
      <c r="AO232" s="47"/>
      <c r="AP232" s="47" t="s">
        <v>64</v>
      </c>
      <c r="AQ232" s="48">
        <v>42366</v>
      </c>
      <c r="AR232" s="47"/>
      <c r="AS232" s="47"/>
      <c r="AT232" s="47"/>
      <c r="AU232" s="47">
        <v>649275186021</v>
      </c>
      <c r="AV232" s="47"/>
      <c r="AW232" s="47"/>
    </row>
    <row r="233" spans="1:49" x14ac:dyDescent="0.2">
      <c r="A233" s="47">
        <v>10020244</v>
      </c>
      <c r="B233" s="47">
        <v>60</v>
      </c>
      <c r="C233" s="47" t="s">
        <v>26</v>
      </c>
      <c r="D233" s="47" t="s">
        <v>573</v>
      </c>
      <c r="E233" s="48">
        <v>42366</v>
      </c>
      <c r="F233" s="47">
        <v>93632505</v>
      </c>
      <c r="G233" s="47">
        <v>60</v>
      </c>
      <c r="H233" s="48">
        <v>42355</v>
      </c>
      <c r="I233" s="48">
        <v>42356</v>
      </c>
      <c r="J233" s="47">
        <v>1201120</v>
      </c>
      <c r="K233" s="47" t="s">
        <v>117</v>
      </c>
      <c r="L233" s="47">
        <v>1307782</v>
      </c>
      <c r="M233" s="47" t="s">
        <v>119</v>
      </c>
      <c r="N233" s="47">
        <v>1171090</v>
      </c>
      <c r="O233" s="47" t="s">
        <v>118</v>
      </c>
      <c r="P233" s="47" t="s">
        <v>1845</v>
      </c>
      <c r="Q233" s="47"/>
      <c r="R233" s="47"/>
      <c r="S233" s="47">
        <v>456045701</v>
      </c>
      <c r="T233" s="47" t="s">
        <v>1846</v>
      </c>
      <c r="U233" s="47" t="s">
        <v>1340</v>
      </c>
      <c r="V233" s="47" t="s">
        <v>1708</v>
      </c>
      <c r="W233" s="47" t="s">
        <v>1331</v>
      </c>
      <c r="X233" s="47">
        <v>1153099</v>
      </c>
      <c r="Y233" s="47">
        <v>7056</v>
      </c>
      <c r="Z233" s="47">
        <v>1296</v>
      </c>
      <c r="AA233" s="47" t="s">
        <v>1332</v>
      </c>
      <c r="AB233" s="47">
        <v>144</v>
      </c>
      <c r="AC233" s="47" t="s">
        <v>1333</v>
      </c>
      <c r="AD233" s="47">
        <v>43.13</v>
      </c>
      <c r="AE233" s="47" t="s">
        <v>182</v>
      </c>
      <c r="AF233" s="49">
        <v>304325.28000000003</v>
      </c>
      <c r="AG233" s="49">
        <v>55896.480000000003</v>
      </c>
      <c r="AH233" s="47" t="s">
        <v>182</v>
      </c>
      <c r="AI233" s="47" t="s">
        <v>181</v>
      </c>
      <c r="AJ233" s="47" t="s">
        <v>67</v>
      </c>
      <c r="AK233" s="47"/>
      <c r="AL233" s="47" t="s">
        <v>63</v>
      </c>
      <c r="AM233" s="47" t="s">
        <v>94</v>
      </c>
      <c r="AN233" s="47" t="s">
        <v>95</v>
      </c>
      <c r="AO233" s="48">
        <v>42374</v>
      </c>
      <c r="AP233" s="47" t="s">
        <v>83</v>
      </c>
      <c r="AQ233" s="48">
        <v>42374</v>
      </c>
      <c r="AR233" s="47"/>
      <c r="AS233" s="47"/>
      <c r="AT233" s="47"/>
      <c r="AU233" s="47">
        <v>3511802140</v>
      </c>
      <c r="AV233" s="47" t="s">
        <v>96</v>
      </c>
      <c r="AW233" s="47" t="s">
        <v>1847</v>
      </c>
    </row>
    <row r="234" spans="1:49" x14ac:dyDescent="0.2">
      <c r="A234" s="47">
        <v>10020245</v>
      </c>
      <c r="B234" s="47">
        <v>70</v>
      </c>
      <c r="C234" s="47" t="s">
        <v>26</v>
      </c>
      <c r="D234" s="47" t="s">
        <v>78</v>
      </c>
      <c r="E234" s="48">
        <v>42366</v>
      </c>
      <c r="F234" s="47">
        <v>93624368</v>
      </c>
      <c r="G234" s="47">
        <v>70</v>
      </c>
      <c r="H234" s="48">
        <v>42348</v>
      </c>
      <c r="I234" s="47"/>
      <c r="J234" s="47">
        <v>1201301</v>
      </c>
      <c r="K234" s="47" t="s">
        <v>378</v>
      </c>
      <c r="L234" s="47">
        <v>1058866</v>
      </c>
      <c r="M234" s="47" t="s">
        <v>379</v>
      </c>
      <c r="N234" s="47">
        <v>1171972</v>
      </c>
      <c r="O234" s="47" t="s">
        <v>379</v>
      </c>
      <c r="P234" s="47">
        <v>13012948</v>
      </c>
      <c r="Q234" s="47"/>
      <c r="R234" s="47"/>
      <c r="S234" s="47">
        <v>591379883</v>
      </c>
      <c r="T234" s="47" t="s">
        <v>1848</v>
      </c>
      <c r="U234" s="47" t="s">
        <v>1322</v>
      </c>
      <c r="V234" s="47" t="s">
        <v>1581</v>
      </c>
      <c r="W234" s="47" t="s">
        <v>1331</v>
      </c>
      <c r="X234" s="47" t="s">
        <v>1849</v>
      </c>
      <c r="Y234" s="47">
        <v>120</v>
      </c>
      <c r="Z234" s="47">
        <v>12</v>
      </c>
      <c r="AA234" s="47" t="s">
        <v>1332</v>
      </c>
      <c r="AB234" s="47">
        <v>24</v>
      </c>
      <c r="AC234" s="47" t="s">
        <v>1333</v>
      </c>
      <c r="AD234" s="47">
        <v>2.4700000000000002</v>
      </c>
      <c r="AE234" s="47" t="s">
        <v>182</v>
      </c>
      <c r="AF234" s="47">
        <v>296.39999999999998</v>
      </c>
      <c r="AG234" s="47">
        <v>0</v>
      </c>
      <c r="AH234" s="47" t="s">
        <v>182</v>
      </c>
      <c r="AI234" s="47" t="s">
        <v>181</v>
      </c>
      <c r="AJ234" s="47" t="s">
        <v>97</v>
      </c>
      <c r="AK234" s="47"/>
      <c r="AL234" s="47" t="s">
        <v>63</v>
      </c>
      <c r="AM234" s="47"/>
      <c r="AN234" s="47"/>
      <c r="AO234" s="47"/>
      <c r="AP234" s="47" t="s">
        <v>64</v>
      </c>
      <c r="AQ234" s="48">
        <v>42366</v>
      </c>
      <c r="AR234" s="47"/>
      <c r="AS234" s="47"/>
      <c r="AT234" s="47"/>
      <c r="AU234" s="47">
        <v>87944972780364</v>
      </c>
      <c r="AV234" s="47"/>
      <c r="AW234" s="47"/>
    </row>
    <row r="235" spans="1:49" x14ac:dyDescent="0.2">
      <c r="A235" s="47">
        <v>10020246</v>
      </c>
      <c r="B235" s="47">
        <v>30</v>
      </c>
      <c r="C235" s="47" t="s">
        <v>18</v>
      </c>
      <c r="D235" s="47" t="s">
        <v>573</v>
      </c>
      <c r="E235" s="48">
        <v>42366</v>
      </c>
      <c r="F235" s="47">
        <v>93637196</v>
      </c>
      <c r="G235" s="47">
        <v>30</v>
      </c>
      <c r="H235" s="48">
        <v>42359</v>
      </c>
      <c r="I235" s="47"/>
      <c r="J235" s="47">
        <v>1201120</v>
      </c>
      <c r="K235" s="47" t="s">
        <v>117</v>
      </c>
      <c r="L235" s="47">
        <v>1307782</v>
      </c>
      <c r="M235" s="47" t="s">
        <v>119</v>
      </c>
      <c r="N235" s="47">
        <v>1171090</v>
      </c>
      <c r="O235" s="47" t="s">
        <v>118</v>
      </c>
      <c r="P235" s="47" t="s">
        <v>1850</v>
      </c>
      <c r="Q235" s="47"/>
      <c r="R235" s="47"/>
      <c r="S235" s="47">
        <v>472022041</v>
      </c>
      <c r="T235" s="47" t="s">
        <v>1851</v>
      </c>
      <c r="U235" s="47" t="s">
        <v>1459</v>
      </c>
      <c r="V235" s="47" t="s">
        <v>1546</v>
      </c>
      <c r="W235" s="47" t="s">
        <v>1459</v>
      </c>
      <c r="X235" s="47" t="s">
        <v>1852</v>
      </c>
      <c r="Y235" s="47">
        <v>504</v>
      </c>
      <c r="Z235" s="47">
        <v>72</v>
      </c>
      <c r="AA235" s="47" t="s">
        <v>1332</v>
      </c>
      <c r="AB235" s="47">
        <v>36</v>
      </c>
      <c r="AC235" s="47" t="s">
        <v>1333</v>
      </c>
      <c r="AD235" s="47">
        <v>4</v>
      </c>
      <c r="AE235" s="47" t="s">
        <v>182</v>
      </c>
      <c r="AF235" s="49">
        <v>2016</v>
      </c>
      <c r="AG235" s="47">
        <v>288</v>
      </c>
      <c r="AH235" s="47" t="s">
        <v>182</v>
      </c>
      <c r="AI235" s="47" t="s">
        <v>181</v>
      </c>
      <c r="AJ235" s="47" t="s">
        <v>97</v>
      </c>
      <c r="AK235" s="47"/>
      <c r="AL235" s="47" t="s">
        <v>63</v>
      </c>
      <c r="AM235" s="47"/>
      <c r="AN235" s="47"/>
      <c r="AO235" s="47"/>
      <c r="AP235" s="47" t="s">
        <v>64</v>
      </c>
      <c r="AQ235" s="48">
        <v>42366</v>
      </c>
      <c r="AR235" s="47"/>
      <c r="AS235" s="47"/>
      <c r="AT235" s="47"/>
      <c r="AU235" s="47">
        <v>87944972819835</v>
      </c>
      <c r="AV235" s="47"/>
      <c r="AW235" s="47"/>
    </row>
    <row r="236" spans="1:49" x14ac:dyDescent="0.2">
      <c r="A236" s="47">
        <v>10020247</v>
      </c>
      <c r="B236" s="47">
        <v>60</v>
      </c>
      <c r="C236" s="47" t="s">
        <v>18</v>
      </c>
      <c r="D236" s="47" t="s">
        <v>78</v>
      </c>
      <c r="E236" s="48">
        <v>42366</v>
      </c>
      <c r="F236" s="47">
        <v>93637161</v>
      </c>
      <c r="G236" s="47">
        <v>60</v>
      </c>
      <c r="H236" s="48">
        <v>42359</v>
      </c>
      <c r="I236" s="47"/>
      <c r="J236" s="47">
        <v>1201120</v>
      </c>
      <c r="K236" s="47" t="s">
        <v>117</v>
      </c>
      <c r="L236" s="47">
        <v>1307782</v>
      </c>
      <c r="M236" s="47" t="s">
        <v>119</v>
      </c>
      <c r="N236" s="47">
        <v>1171090</v>
      </c>
      <c r="O236" s="47" t="s">
        <v>118</v>
      </c>
      <c r="P236" s="47" t="s">
        <v>1853</v>
      </c>
      <c r="Q236" s="47"/>
      <c r="R236" s="47"/>
      <c r="S236" s="47">
        <v>591381760</v>
      </c>
      <c r="T236" s="47" t="s">
        <v>1357</v>
      </c>
      <c r="U236" s="47" t="s">
        <v>1322</v>
      </c>
      <c r="V236" s="47" t="s">
        <v>1358</v>
      </c>
      <c r="W236" s="47" t="s">
        <v>1331</v>
      </c>
      <c r="X236" s="47"/>
      <c r="Y236" s="47">
        <v>7200</v>
      </c>
      <c r="Z236" s="47">
        <v>444</v>
      </c>
      <c r="AA236" s="47" t="s">
        <v>1332</v>
      </c>
      <c r="AB236" s="47">
        <v>12</v>
      </c>
      <c r="AC236" s="47" t="s">
        <v>1333</v>
      </c>
      <c r="AD236" s="47">
        <v>24</v>
      </c>
      <c r="AE236" s="47" t="s">
        <v>182</v>
      </c>
      <c r="AF236" s="49">
        <v>172800</v>
      </c>
      <c r="AG236" s="49">
        <v>10656</v>
      </c>
      <c r="AH236" s="47" t="s">
        <v>182</v>
      </c>
      <c r="AI236" s="47" t="s">
        <v>181</v>
      </c>
      <c r="AJ236" s="47" t="s">
        <v>121</v>
      </c>
      <c r="AK236" s="47"/>
      <c r="AL236" s="47" t="s">
        <v>63</v>
      </c>
      <c r="AM236" s="47"/>
      <c r="AN236" s="47"/>
      <c r="AO236" s="47"/>
      <c r="AP236" s="47" t="s">
        <v>83</v>
      </c>
      <c r="AQ236" s="48">
        <v>42366</v>
      </c>
      <c r="AR236" s="47"/>
      <c r="AS236" s="47"/>
      <c r="AT236" s="47"/>
      <c r="AU236" s="47" t="s">
        <v>1854</v>
      </c>
      <c r="AV236" s="47"/>
      <c r="AW236" s="47"/>
    </row>
    <row r="237" spans="1:49" x14ac:dyDescent="0.2">
      <c r="A237" s="47">
        <v>10020247</v>
      </c>
      <c r="B237" s="47">
        <v>70</v>
      </c>
      <c r="C237" s="47" t="s">
        <v>18</v>
      </c>
      <c r="D237" s="47" t="s">
        <v>78</v>
      </c>
      <c r="E237" s="48">
        <v>42366</v>
      </c>
      <c r="F237" s="47">
        <v>93637161</v>
      </c>
      <c r="G237" s="47">
        <v>70</v>
      </c>
      <c r="H237" s="48">
        <v>42359</v>
      </c>
      <c r="I237" s="47"/>
      <c r="J237" s="47">
        <v>1201120</v>
      </c>
      <c r="K237" s="47" t="s">
        <v>117</v>
      </c>
      <c r="L237" s="47">
        <v>1307782</v>
      </c>
      <c r="M237" s="47" t="s">
        <v>119</v>
      </c>
      <c r="N237" s="47">
        <v>1171090</v>
      </c>
      <c r="O237" s="47" t="s">
        <v>118</v>
      </c>
      <c r="P237" s="47" t="s">
        <v>1853</v>
      </c>
      <c r="Q237" s="47"/>
      <c r="R237" s="47"/>
      <c r="S237" s="47">
        <v>591381730</v>
      </c>
      <c r="T237" s="47" t="s">
        <v>1373</v>
      </c>
      <c r="U237" s="47" t="s">
        <v>1322</v>
      </c>
      <c r="V237" s="47" t="s">
        <v>1358</v>
      </c>
      <c r="W237" s="47" t="s">
        <v>1331</v>
      </c>
      <c r="X237" s="47"/>
      <c r="Y237" s="47">
        <v>14400</v>
      </c>
      <c r="Z237" s="47">
        <v>528</v>
      </c>
      <c r="AA237" s="47" t="s">
        <v>1332</v>
      </c>
      <c r="AB237" s="47">
        <v>24</v>
      </c>
      <c r="AC237" s="47" t="s">
        <v>1333</v>
      </c>
      <c r="AD237" s="47">
        <v>12</v>
      </c>
      <c r="AE237" s="47" t="s">
        <v>182</v>
      </c>
      <c r="AF237" s="49">
        <v>172800</v>
      </c>
      <c r="AG237" s="49">
        <v>6336</v>
      </c>
      <c r="AH237" s="47" t="s">
        <v>182</v>
      </c>
      <c r="AI237" s="47" t="s">
        <v>181</v>
      </c>
      <c r="AJ237" s="47" t="s">
        <v>121</v>
      </c>
      <c r="AK237" s="47"/>
      <c r="AL237" s="47" t="s">
        <v>63</v>
      </c>
      <c r="AM237" s="47"/>
      <c r="AN237" s="47"/>
      <c r="AO237" s="47"/>
      <c r="AP237" s="47" t="s">
        <v>83</v>
      </c>
      <c r="AQ237" s="48">
        <v>42366</v>
      </c>
      <c r="AR237" s="47"/>
      <c r="AS237" s="47"/>
      <c r="AT237" s="47"/>
      <c r="AU237" s="47" t="s">
        <v>1854</v>
      </c>
      <c r="AV237" s="47"/>
      <c r="AW237" s="47"/>
    </row>
    <row r="238" spans="1:49" x14ac:dyDescent="0.2">
      <c r="A238" s="47">
        <v>10020247</v>
      </c>
      <c r="B238" s="47">
        <v>1420</v>
      </c>
      <c r="C238" s="47" t="s">
        <v>18</v>
      </c>
      <c r="D238" s="47" t="s">
        <v>78</v>
      </c>
      <c r="E238" s="48">
        <v>42366</v>
      </c>
      <c r="F238" s="47">
        <v>93637161</v>
      </c>
      <c r="G238" s="47">
        <v>1420</v>
      </c>
      <c r="H238" s="48">
        <v>42359</v>
      </c>
      <c r="I238" s="47"/>
      <c r="J238" s="47">
        <v>1201120</v>
      </c>
      <c r="K238" s="47" t="s">
        <v>117</v>
      </c>
      <c r="L238" s="47">
        <v>1307782</v>
      </c>
      <c r="M238" s="47" t="s">
        <v>119</v>
      </c>
      <c r="N238" s="47">
        <v>1171090</v>
      </c>
      <c r="O238" s="47" t="s">
        <v>118</v>
      </c>
      <c r="P238" s="47" t="s">
        <v>1853</v>
      </c>
      <c r="Q238" s="47"/>
      <c r="R238" s="47"/>
      <c r="S238" s="47">
        <v>591379860</v>
      </c>
      <c r="T238" s="47" t="s">
        <v>1580</v>
      </c>
      <c r="U238" s="47" t="s">
        <v>1322</v>
      </c>
      <c r="V238" s="47" t="s">
        <v>1581</v>
      </c>
      <c r="W238" s="47" t="s">
        <v>1331</v>
      </c>
      <c r="X238" s="47"/>
      <c r="Y238" s="47">
        <v>3072</v>
      </c>
      <c r="Z238" s="47">
        <v>180</v>
      </c>
      <c r="AA238" s="47" t="s">
        <v>1332</v>
      </c>
      <c r="AB238" s="47">
        <v>12</v>
      </c>
      <c r="AC238" s="47" t="s">
        <v>1333</v>
      </c>
      <c r="AD238" s="47">
        <v>9</v>
      </c>
      <c r="AE238" s="47" t="s">
        <v>182</v>
      </c>
      <c r="AF238" s="49">
        <v>27648</v>
      </c>
      <c r="AG238" s="49">
        <v>1620</v>
      </c>
      <c r="AH238" s="47" t="s">
        <v>182</v>
      </c>
      <c r="AI238" s="47" t="s">
        <v>181</v>
      </c>
      <c r="AJ238" s="47" t="s">
        <v>121</v>
      </c>
      <c r="AK238" s="47"/>
      <c r="AL238" s="47" t="s">
        <v>63</v>
      </c>
      <c r="AM238" s="47"/>
      <c r="AN238" s="47"/>
      <c r="AO238" s="47"/>
      <c r="AP238" s="47" t="s">
        <v>83</v>
      </c>
      <c r="AQ238" s="48">
        <v>42366</v>
      </c>
      <c r="AR238" s="47"/>
      <c r="AS238" s="47"/>
      <c r="AT238" s="47"/>
      <c r="AU238" s="47" t="s">
        <v>1854</v>
      </c>
      <c r="AV238" s="47"/>
      <c r="AW238" s="47"/>
    </row>
    <row r="239" spans="1:49" x14ac:dyDescent="0.2">
      <c r="A239" s="47">
        <v>10020247</v>
      </c>
      <c r="B239" s="47">
        <v>1440</v>
      </c>
      <c r="C239" s="47" t="s">
        <v>18</v>
      </c>
      <c r="D239" s="47" t="s">
        <v>78</v>
      </c>
      <c r="E239" s="48">
        <v>42366</v>
      </c>
      <c r="F239" s="47">
        <v>93637161</v>
      </c>
      <c r="G239" s="47">
        <v>1440</v>
      </c>
      <c r="H239" s="48">
        <v>42359</v>
      </c>
      <c r="I239" s="47"/>
      <c r="J239" s="47">
        <v>1201120</v>
      </c>
      <c r="K239" s="47" t="s">
        <v>117</v>
      </c>
      <c r="L239" s="47">
        <v>1307782</v>
      </c>
      <c r="M239" s="47" t="s">
        <v>119</v>
      </c>
      <c r="N239" s="47">
        <v>1171090</v>
      </c>
      <c r="O239" s="47" t="s">
        <v>118</v>
      </c>
      <c r="P239" s="47" t="s">
        <v>1853</v>
      </c>
      <c r="Q239" s="47"/>
      <c r="R239" s="47"/>
      <c r="S239" s="47">
        <v>591379883</v>
      </c>
      <c r="T239" s="47" t="s">
        <v>1848</v>
      </c>
      <c r="U239" s="47" t="s">
        <v>1322</v>
      </c>
      <c r="V239" s="47" t="s">
        <v>1581</v>
      </c>
      <c r="W239" s="47" t="s">
        <v>1331</v>
      </c>
      <c r="X239" s="47"/>
      <c r="Y239" s="47">
        <v>3072</v>
      </c>
      <c r="Z239" s="47">
        <v>96</v>
      </c>
      <c r="AA239" s="47" t="s">
        <v>1332</v>
      </c>
      <c r="AB239" s="47">
        <v>24</v>
      </c>
      <c r="AC239" s="47" t="s">
        <v>1333</v>
      </c>
      <c r="AD239" s="47">
        <v>3.75</v>
      </c>
      <c r="AE239" s="47" t="s">
        <v>182</v>
      </c>
      <c r="AF239" s="49">
        <v>11520</v>
      </c>
      <c r="AG239" s="47">
        <v>360</v>
      </c>
      <c r="AH239" s="47" t="s">
        <v>182</v>
      </c>
      <c r="AI239" s="47" t="s">
        <v>181</v>
      </c>
      <c r="AJ239" s="47" t="s">
        <v>121</v>
      </c>
      <c r="AK239" s="47"/>
      <c r="AL239" s="47" t="s">
        <v>63</v>
      </c>
      <c r="AM239" s="47"/>
      <c r="AN239" s="47"/>
      <c r="AO239" s="47"/>
      <c r="AP239" s="47" t="s">
        <v>83</v>
      </c>
      <c r="AQ239" s="48">
        <v>42366</v>
      </c>
      <c r="AR239" s="47"/>
      <c r="AS239" s="47"/>
      <c r="AT239" s="47"/>
      <c r="AU239" s="47" t="s">
        <v>1854</v>
      </c>
      <c r="AV239" s="47"/>
      <c r="AW239" s="47"/>
    </row>
    <row r="240" spans="1:49" x14ac:dyDescent="0.2">
      <c r="A240" s="47">
        <v>10020248</v>
      </c>
      <c r="B240" s="47">
        <v>830</v>
      </c>
      <c r="C240" s="47" t="s">
        <v>18</v>
      </c>
      <c r="D240" s="47" t="s">
        <v>78</v>
      </c>
      <c r="E240" s="48">
        <v>42366</v>
      </c>
      <c r="F240" s="47">
        <v>93632625</v>
      </c>
      <c r="G240" s="47">
        <v>830</v>
      </c>
      <c r="H240" s="48">
        <v>42355</v>
      </c>
      <c r="I240" s="48">
        <v>42356</v>
      </c>
      <c r="J240" s="47">
        <v>1201399</v>
      </c>
      <c r="K240" s="47" t="s">
        <v>144</v>
      </c>
      <c r="L240" s="47">
        <v>1334926</v>
      </c>
      <c r="M240" s="47" t="s">
        <v>145</v>
      </c>
      <c r="N240" s="47">
        <v>1171970</v>
      </c>
      <c r="O240" s="47" t="s">
        <v>144</v>
      </c>
      <c r="P240" s="47">
        <v>8106681310</v>
      </c>
      <c r="Q240" s="47"/>
      <c r="R240" s="47"/>
      <c r="S240" s="47">
        <v>50383078105</v>
      </c>
      <c r="T240" s="47" t="s">
        <v>1855</v>
      </c>
      <c r="U240" s="47" t="s">
        <v>1322</v>
      </c>
      <c r="V240" s="47" t="s">
        <v>1856</v>
      </c>
      <c r="W240" s="47" t="s">
        <v>1331</v>
      </c>
      <c r="X240" s="47"/>
      <c r="Y240" s="47">
        <v>2040</v>
      </c>
      <c r="Z240" s="47">
        <v>60</v>
      </c>
      <c r="AA240" s="47" t="s">
        <v>1332</v>
      </c>
      <c r="AB240" s="47">
        <v>60</v>
      </c>
      <c r="AC240" s="47" t="s">
        <v>1333</v>
      </c>
      <c r="AD240" s="47">
        <v>4.6500000000000004</v>
      </c>
      <c r="AE240" s="47" t="s">
        <v>182</v>
      </c>
      <c r="AF240" s="49">
        <v>9486</v>
      </c>
      <c r="AG240" s="47">
        <v>279</v>
      </c>
      <c r="AH240" s="47" t="s">
        <v>182</v>
      </c>
      <c r="AI240" s="47" t="s">
        <v>181</v>
      </c>
      <c r="AJ240" s="47" t="s">
        <v>91</v>
      </c>
      <c r="AK240" s="47"/>
      <c r="AL240" s="47" t="s">
        <v>63</v>
      </c>
      <c r="AM240" s="47"/>
      <c r="AN240" s="47"/>
      <c r="AO240" s="47"/>
      <c r="AP240" s="47" t="s">
        <v>64</v>
      </c>
      <c r="AQ240" s="48">
        <v>42366</v>
      </c>
      <c r="AR240" s="47"/>
      <c r="AS240" s="47"/>
      <c r="AT240" s="47"/>
      <c r="AU240" s="47" t="s">
        <v>1857</v>
      </c>
      <c r="AV240" s="47"/>
      <c r="AW240" s="47"/>
    </row>
    <row r="241" spans="1:49" x14ac:dyDescent="0.2">
      <c r="A241" s="47">
        <v>10020249</v>
      </c>
      <c r="B241" s="47">
        <v>2720</v>
      </c>
      <c r="C241" s="47" t="s">
        <v>26</v>
      </c>
      <c r="D241" s="47" t="s">
        <v>573</v>
      </c>
      <c r="E241" s="48">
        <v>42366</v>
      </c>
      <c r="F241" s="47">
        <v>93622467</v>
      </c>
      <c r="G241" s="47">
        <v>2720</v>
      </c>
      <c r="H241" s="48">
        <v>42347</v>
      </c>
      <c r="I241" s="47"/>
      <c r="J241" s="47">
        <v>1201047</v>
      </c>
      <c r="K241" s="47" t="s">
        <v>79</v>
      </c>
      <c r="L241" s="47">
        <v>1317086</v>
      </c>
      <c r="M241" s="47" t="s">
        <v>85</v>
      </c>
      <c r="N241" s="47">
        <v>1171089</v>
      </c>
      <c r="O241" s="47" t="s">
        <v>75</v>
      </c>
      <c r="P241" s="47">
        <v>23617375</v>
      </c>
      <c r="Q241" s="47"/>
      <c r="R241" s="47"/>
      <c r="S241" s="47">
        <v>591231919</v>
      </c>
      <c r="T241" s="47" t="s">
        <v>1858</v>
      </c>
      <c r="U241" s="47" t="s">
        <v>1322</v>
      </c>
      <c r="V241" s="47" t="s">
        <v>1859</v>
      </c>
      <c r="W241" s="47" t="s">
        <v>1331</v>
      </c>
      <c r="X241" s="47" t="s">
        <v>1860</v>
      </c>
      <c r="Y241" s="47">
        <v>144</v>
      </c>
      <c r="Z241" s="47">
        <v>48</v>
      </c>
      <c r="AA241" s="47" t="s">
        <v>1332</v>
      </c>
      <c r="AB241" s="47">
        <v>48</v>
      </c>
      <c r="AC241" s="47" t="s">
        <v>1333</v>
      </c>
      <c r="AD241" s="47">
        <v>169.59</v>
      </c>
      <c r="AE241" s="47" t="s">
        <v>182</v>
      </c>
      <c r="AF241" s="49">
        <v>24420.959999999999</v>
      </c>
      <c r="AG241" s="49">
        <v>8140.32</v>
      </c>
      <c r="AH241" s="47" t="s">
        <v>182</v>
      </c>
      <c r="AI241" s="47" t="s">
        <v>181</v>
      </c>
      <c r="AJ241" s="47" t="s">
        <v>86</v>
      </c>
      <c r="AK241" s="47"/>
      <c r="AL241" s="47" t="s">
        <v>63</v>
      </c>
      <c r="AM241" s="47"/>
      <c r="AN241" s="47"/>
      <c r="AO241" s="47"/>
      <c r="AP241" s="47" t="s">
        <v>64</v>
      </c>
      <c r="AQ241" s="48">
        <v>42366</v>
      </c>
      <c r="AR241" s="47"/>
      <c r="AS241" s="47"/>
      <c r="AT241" s="47"/>
      <c r="AU241" s="47" t="s">
        <v>1861</v>
      </c>
      <c r="AV241" s="47"/>
      <c r="AW241" s="47"/>
    </row>
    <row r="242" spans="1:49" x14ac:dyDescent="0.2">
      <c r="A242" s="47">
        <v>10020250</v>
      </c>
      <c r="B242" s="47">
        <v>310</v>
      </c>
      <c r="C242" s="47" t="s">
        <v>18</v>
      </c>
      <c r="D242" s="47" t="s">
        <v>136</v>
      </c>
      <c r="E242" s="48">
        <v>42366</v>
      </c>
      <c r="F242" s="47">
        <v>93637178</v>
      </c>
      <c r="G242" s="47">
        <v>310</v>
      </c>
      <c r="H242" s="48">
        <v>42359</v>
      </c>
      <c r="I242" s="47"/>
      <c r="J242" s="47">
        <v>1201120</v>
      </c>
      <c r="K242" s="47" t="s">
        <v>117</v>
      </c>
      <c r="L242" s="47">
        <v>1307782</v>
      </c>
      <c r="M242" s="47" t="s">
        <v>119</v>
      </c>
      <c r="N242" s="47">
        <v>1171090</v>
      </c>
      <c r="O242" s="47" t="s">
        <v>118</v>
      </c>
      <c r="P242" s="47" t="s">
        <v>1757</v>
      </c>
      <c r="Q242" s="47"/>
      <c r="R242" s="47"/>
      <c r="S242" s="47">
        <v>456430001</v>
      </c>
      <c r="T242" s="47" t="s">
        <v>1377</v>
      </c>
      <c r="U242" s="47" t="s">
        <v>1340</v>
      </c>
      <c r="V242" s="47" t="s">
        <v>1378</v>
      </c>
      <c r="W242" s="47" t="s">
        <v>1331</v>
      </c>
      <c r="X242" s="47"/>
      <c r="Y242" s="47">
        <v>3614</v>
      </c>
      <c r="Z242" s="47">
        <v>10</v>
      </c>
      <c r="AA242" s="47" t="s">
        <v>1332</v>
      </c>
      <c r="AB242" s="47">
        <v>48</v>
      </c>
      <c r="AC242" s="47" t="s">
        <v>1333</v>
      </c>
      <c r="AD242" s="47">
        <v>60.51</v>
      </c>
      <c r="AE242" s="47" t="s">
        <v>182</v>
      </c>
      <c r="AF242" s="49">
        <v>218683.14</v>
      </c>
      <c r="AG242" s="47">
        <v>605.1</v>
      </c>
      <c r="AH242" s="47" t="s">
        <v>182</v>
      </c>
      <c r="AI242" s="47" t="s">
        <v>181</v>
      </c>
      <c r="AJ242" s="47" t="s">
        <v>121</v>
      </c>
      <c r="AK242" s="47"/>
      <c r="AL242" s="47" t="s">
        <v>63</v>
      </c>
      <c r="AM242" s="47"/>
      <c r="AN242" s="47"/>
      <c r="AO242" s="47"/>
      <c r="AP242" s="47" t="s">
        <v>64</v>
      </c>
      <c r="AQ242" s="48">
        <v>42366</v>
      </c>
      <c r="AR242" s="47"/>
      <c r="AS242" s="47"/>
      <c r="AT242" s="47"/>
      <c r="AU242" s="47" t="s">
        <v>1854</v>
      </c>
      <c r="AV242" s="47"/>
      <c r="AW242" s="47"/>
    </row>
    <row r="243" spans="1:49" x14ac:dyDescent="0.2">
      <c r="A243" s="47">
        <v>10020251</v>
      </c>
      <c r="B243" s="47">
        <v>1980</v>
      </c>
      <c r="C243" s="47" t="s">
        <v>26</v>
      </c>
      <c r="D243" s="47" t="s">
        <v>573</v>
      </c>
      <c r="E243" s="48">
        <v>42366</v>
      </c>
      <c r="F243" s="47">
        <v>93636977</v>
      </c>
      <c r="G243" s="47">
        <v>1980</v>
      </c>
      <c r="H243" s="48">
        <v>42359</v>
      </c>
      <c r="I243" s="47"/>
      <c r="J243" s="47">
        <v>1201047</v>
      </c>
      <c r="K243" s="47" t="s">
        <v>79</v>
      </c>
      <c r="L243" s="47">
        <v>1038994</v>
      </c>
      <c r="M243" s="47" t="s">
        <v>80</v>
      </c>
      <c r="N243" s="47">
        <v>1171089</v>
      </c>
      <c r="O243" s="47" t="s">
        <v>75</v>
      </c>
      <c r="P243" s="47">
        <v>40446547</v>
      </c>
      <c r="Q243" s="47"/>
      <c r="R243" s="47"/>
      <c r="S243" s="47">
        <v>591376730</v>
      </c>
      <c r="T243" s="47" t="s">
        <v>1594</v>
      </c>
      <c r="U243" s="47" t="s">
        <v>1322</v>
      </c>
      <c r="V243" s="47" t="s">
        <v>1591</v>
      </c>
      <c r="W243" s="47" t="s">
        <v>1331</v>
      </c>
      <c r="X243" s="47" t="s">
        <v>1862</v>
      </c>
      <c r="Y243" s="47">
        <v>120</v>
      </c>
      <c r="Z243" s="47">
        <v>24</v>
      </c>
      <c r="AA243" s="47" t="s">
        <v>1332</v>
      </c>
      <c r="AB243" s="47">
        <v>24</v>
      </c>
      <c r="AC243" s="47" t="s">
        <v>1333</v>
      </c>
      <c r="AD243" s="47">
        <v>225.94</v>
      </c>
      <c r="AE243" s="47" t="s">
        <v>182</v>
      </c>
      <c r="AF243" s="49">
        <v>27112.799999999999</v>
      </c>
      <c r="AG243" s="49">
        <v>5422.56</v>
      </c>
      <c r="AH243" s="47" t="s">
        <v>182</v>
      </c>
      <c r="AI243" s="47" t="s">
        <v>181</v>
      </c>
      <c r="AJ243" s="47" t="s">
        <v>86</v>
      </c>
      <c r="AK243" s="47"/>
      <c r="AL243" s="47" t="s">
        <v>63</v>
      </c>
      <c r="AM243" s="47" t="s">
        <v>94</v>
      </c>
      <c r="AN243" s="47" t="s">
        <v>95</v>
      </c>
      <c r="AO243" s="48">
        <v>42373</v>
      </c>
      <c r="AP243" s="47" t="s">
        <v>64</v>
      </c>
      <c r="AQ243" s="48">
        <v>42373</v>
      </c>
      <c r="AR243" s="47"/>
      <c r="AS243" s="47"/>
      <c r="AT243" s="47"/>
      <c r="AU243" s="47" t="s">
        <v>1863</v>
      </c>
      <c r="AV243" s="47" t="s">
        <v>96</v>
      </c>
      <c r="AW243" s="47" t="s">
        <v>1864</v>
      </c>
    </row>
    <row r="244" spans="1:49" x14ac:dyDescent="0.2">
      <c r="A244" s="47">
        <v>10020252</v>
      </c>
      <c r="B244" s="47">
        <v>70</v>
      </c>
      <c r="C244" s="47" t="s">
        <v>18</v>
      </c>
      <c r="D244" s="47" t="s">
        <v>573</v>
      </c>
      <c r="E244" s="48">
        <v>42366</v>
      </c>
      <c r="F244" s="47">
        <v>93638471</v>
      </c>
      <c r="G244" s="47">
        <v>70</v>
      </c>
      <c r="H244" s="48">
        <v>42360</v>
      </c>
      <c r="I244" s="47"/>
      <c r="J244" s="47">
        <v>1201120</v>
      </c>
      <c r="K244" s="47" t="s">
        <v>117</v>
      </c>
      <c r="L244" s="47">
        <v>1307782</v>
      </c>
      <c r="M244" s="47" t="s">
        <v>119</v>
      </c>
      <c r="N244" s="47">
        <v>1171090</v>
      </c>
      <c r="O244" s="47" t="s">
        <v>118</v>
      </c>
      <c r="P244" s="47" t="s">
        <v>1865</v>
      </c>
      <c r="Q244" s="47"/>
      <c r="R244" s="47"/>
      <c r="S244" s="47">
        <v>591387544</v>
      </c>
      <c r="T244" s="47" t="s">
        <v>1866</v>
      </c>
      <c r="U244" s="47" t="s">
        <v>1322</v>
      </c>
      <c r="V244" s="47" t="s">
        <v>1401</v>
      </c>
      <c r="W244" s="47" t="s">
        <v>1331</v>
      </c>
      <c r="X244" s="47">
        <v>1149327</v>
      </c>
      <c r="Y244" s="47">
        <v>200</v>
      </c>
      <c r="Z244" s="47">
        <v>16</v>
      </c>
      <c r="AA244" s="47" t="s">
        <v>1332</v>
      </c>
      <c r="AB244" s="47">
        <v>50</v>
      </c>
      <c r="AC244" s="47" t="s">
        <v>1333</v>
      </c>
      <c r="AD244" s="47">
        <v>113.01</v>
      </c>
      <c r="AE244" s="47" t="s">
        <v>182</v>
      </c>
      <c r="AF244" s="49">
        <v>22602</v>
      </c>
      <c r="AG244" s="49">
        <v>1808.16</v>
      </c>
      <c r="AH244" s="47" t="s">
        <v>182</v>
      </c>
      <c r="AI244" s="47" t="s">
        <v>181</v>
      </c>
      <c r="AJ244" s="47" t="s">
        <v>97</v>
      </c>
      <c r="AK244" s="47"/>
      <c r="AL244" s="47" t="s">
        <v>63</v>
      </c>
      <c r="AM244" s="47"/>
      <c r="AN244" s="47"/>
      <c r="AO244" s="47"/>
      <c r="AP244" s="47" t="s">
        <v>64</v>
      </c>
      <c r="AQ244" s="48">
        <v>42366</v>
      </c>
      <c r="AR244" s="47"/>
      <c r="AS244" s="47"/>
      <c r="AT244" s="47"/>
      <c r="AU244" s="47">
        <v>87944972823986</v>
      </c>
      <c r="AV244" s="47"/>
      <c r="AW244" s="47"/>
    </row>
    <row r="245" spans="1:49" x14ac:dyDescent="0.2">
      <c r="A245" s="47">
        <v>10020253</v>
      </c>
      <c r="B245" s="47">
        <v>20</v>
      </c>
      <c r="C245" s="47" t="s">
        <v>26</v>
      </c>
      <c r="D245" s="47" t="s">
        <v>78</v>
      </c>
      <c r="E245" s="48">
        <v>42366</v>
      </c>
      <c r="F245" s="47">
        <v>93637247</v>
      </c>
      <c r="G245" s="47">
        <v>20</v>
      </c>
      <c r="H245" s="48">
        <v>42359</v>
      </c>
      <c r="I245" s="47"/>
      <c r="J245" s="47">
        <v>1201215</v>
      </c>
      <c r="K245" s="47" t="s">
        <v>138</v>
      </c>
      <c r="L245" s="47">
        <v>1014692</v>
      </c>
      <c r="M245" s="47" t="s">
        <v>1867</v>
      </c>
      <c r="N245" s="47">
        <v>1201215</v>
      </c>
      <c r="O245" s="47" t="s">
        <v>138</v>
      </c>
      <c r="P245" s="47" t="s">
        <v>1868</v>
      </c>
      <c r="Q245" s="47"/>
      <c r="R245" s="47"/>
      <c r="S245" s="47">
        <v>45963053930</v>
      </c>
      <c r="T245" s="47" t="s">
        <v>1869</v>
      </c>
      <c r="U245" s="47" t="s">
        <v>1322</v>
      </c>
      <c r="V245" s="47" t="s">
        <v>1647</v>
      </c>
      <c r="W245" s="47" t="s">
        <v>1331</v>
      </c>
      <c r="X245" s="47">
        <v>406153</v>
      </c>
      <c r="Y245" s="47">
        <v>1</v>
      </c>
      <c r="Z245" s="47">
        <v>1</v>
      </c>
      <c r="AA245" s="47" t="s">
        <v>1332</v>
      </c>
      <c r="AB245" s="47">
        <v>432</v>
      </c>
      <c r="AC245" s="47" t="s">
        <v>1333</v>
      </c>
      <c r="AD245" s="47">
        <v>2.69</v>
      </c>
      <c r="AE245" s="47" t="s">
        <v>182</v>
      </c>
      <c r="AF245" s="47">
        <v>2.69</v>
      </c>
      <c r="AG245" s="47">
        <v>2.69</v>
      </c>
      <c r="AH245" s="47" t="s">
        <v>182</v>
      </c>
      <c r="AI245" s="47" t="s">
        <v>181</v>
      </c>
      <c r="AJ245" s="47" t="s">
        <v>97</v>
      </c>
      <c r="AK245" s="47"/>
      <c r="AL245" s="47" t="s">
        <v>63</v>
      </c>
      <c r="AM245" s="47"/>
      <c r="AN245" s="47"/>
      <c r="AO245" s="47"/>
      <c r="AP245" s="47" t="s">
        <v>64</v>
      </c>
      <c r="AQ245" s="48">
        <v>42366</v>
      </c>
      <c r="AR245" s="47"/>
      <c r="AS245" s="47"/>
      <c r="AT245" s="47"/>
      <c r="AU245" s="47">
        <v>87944972817916</v>
      </c>
      <c r="AV245" s="47"/>
      <c r="AW245" s="47"/>
    </row>
    <row r="246" spans="1:49" x14ac:dyDescent="0.2">
      <c r="A246" s="47">
        <v>10020254</v>
      </c>
      <c r="B246" s="47">
        <v>20</v>
      </c>
      <c r="C246" s="47" t="s">
        <v>18</v>
      </c>
      <c r="D246" s="47" t="s">
        <v>432</v>
      </c>
      <c r="E246" s="48">
        <v>42366</v>
      </c>
      <c r="F246" s="47">
        <v>93638598</v>
      </c>
      <c r="G246" s="47">
        <v>20</v>
      </c>
      <c r="H246" s="48">
        <v>42360</v>
      </c>
      <c r="I246" s="47"/>
      <c r="J246" s="47">
        <v>1201399</v>
      </c>
      <c r="K246" s="47" t="s">
        <v>144</v>
      </c>
      <c r="L246" s="47">
        <v>1329719</v>
      </c>
      <c r="M246" s="47" t="s">
        <v>145</v>
      </c>
      <c r="N246" s="47">
        <v>1171970</v>
      </c>
      <c r="O246" s="47" t="s">
        <v>144</v>
      </c>
      <c r="P246" s="47">
        <v>8120735833</v>
      </c>
      <c r="Q246" s="47"/>
      <c r="R246" s="47"/>
      <c r="S246" s="47">
        <v>591319872</v>
      </c>
      <c r="T246" s="47" t="s">
        <v>1870</v>
      </c>
      <c r="U246" s="47" t="s">
        <v>1322</v>
      </c>
      <c r="V246" s="47" t="s">
        <v>1732</v>
      </c>
      <c r="W246" s="47">
        <v>2</v>
      </c>
      <c r="X246" s="47" t="s">
        <v>1871</v>
      </c>
      <c r="Y246" s="47">
        <v>624</v>
      </c>
      <c r="Z246" s="47">
        <v>10</v>
      </c>
      <c r="AA246" s="47" t="s">
        <v>1332</v>
      </c>
      <c r="AB246" s="47">
        <v>24</v>
      </c>
      <c r="AC246" s="47" t="s">
        <v>1333</v>
      </c>
      <c r="AD246" s="47">
        <v>35.65</v>
      </c>
      <c r="AE246" s="47" t="s">
        <v>182</v>
      </c>
      <c r="AF246" s="49">
        <v>22245.599999999999</v>
      </c>
      <c r="AG246" s="47">
        <v>356.5</v>
      </c>
      <c r="AH246" s="47" t="s">
        <v>182</v>
      </c>
      <c r="AI246" s="47" t="s">
        <v>181</v>
      </c>
      <c r="AJ246" s="47" t="s">
        <v>102</v>
      </c>
      <c r="AK246" s="47"/>
      <c r="AL246" s="47" t="s">
        <v>120</v>
      </c>
      <c r="AM246" s="47"/>
      <c r="AN246" s="47"/>
      <c r="AO246" s="47"/>
      <c r="AP246" s="47"/>
      <c r="AQ246" s="47"/>
      <c r="AR246" s="47"/>
      <c r="AS246" s="47"/>
      <c r="AT246" s="47"/>
      <c r="AU246" s="47">
        <v>649275194854</v>
      </c>
      <c r="AV246" s="47"/>
      <c r="AW246" s="47"/>
    </row>
    <row r="247" spans="1:49" x14ac:dyDescent="0.2">
      <c r="A247" s="47">
        <v>10020255</v>
      </c>
      <c r="B247" s="47">
        <v>140</v>
      </c>
      <c r="C247" s="47" t="s">
        <v>26</v>
      </c>
      <c r="D247" s="47" t="s">
        <v>78</v>
      </c>
      <c r="E247" s="48">
        <v>42366</v>
      </c>
      <c r="F247" s="47">
        <v>93633207</v>
      </c>
      <c r="G247" s="47">
        <v>140</v>
      </c>
      <c r="H247" s="48">
        <v>42355</v>
      </c>
      <c r="I247" s="47"/>
      <c r="J247" s="47">
        <v>1201156</v>
      </c>
      <c r="K247" s="47" t="s">
        <v>131</v>
      </c>
      <c r="L247" s="47">
        <v>1017717</v>
      </c>
      <c r="M247" s="47" t="s">
        <v>1872</v>
      </c>
      <c r="N247" s="47">
        <v>1201156</v>
      </c>
      <c r="O247" s="47" t="s">
        <v>131</v>
      </c>
      <c r="P247" s="47">
        <v>4729584</v>
      </c>
      <c r="Q247" s="47"/>
      <c r="R247" s="47"/>
      <c r="S247" s="47">
        <v>591222215</v>
      </c>
      <c r="T247" s="47" t="s">
        <v>1873</v>
      </c>
      <c r="U247" s="47" t="s">
        <v>1322</v>
      </c>
      <c r="V247" s="47" t="s">
        <v>1874</v>
      </c>
      <c r="W247" s="47" t="s">
        <v>1331</v>
      </c>
      <c r="X247" s="47"/>
      <c r="Y247" s="47">
        <v>156</v>
      </c>
      <c r="Z247" s="47">
        <v>12</v>
      </c>
      <c r="AA247" s="47" t="s">
        <v>1332</v>
      </c>
      <c r="AB247" s="47">
        <v>60</v>
      </c>
      <c r="AC247" s="47" t="s">
        <v>1333</v>
      </c>
      <c r="AD247" s="47">
        <v>12</v>
      </c>
      <c r="AE247" s="47" t="s">
        <v>182</v>
      </c>
      <c r="AF247" s="49">
        <v>1872</v>
      </c>
      <c r="AG247" s="47">
        <v>144</v>
      </c>
      <c r="AH247" s="47" t="s">
        <v>182</v>
      </c>
      <c r="AI247" s="47" t="s">
        <v>181</v>
      </c>
      <c r="AJ247" s="47" t="s">
        <v>97</v>
      </c>
      <c r="AK247" s="47"/>
      <c r="AL247" s="47" t="s">
        <v>63</v>
      </c>
      <c r="AM247" s="47"/>
      <c r="AN247" s="47"/>
      <c r="AO247" s="47"/>
      <c r="AP247" s="47" t="s">
        <v>64</v>
      </c>
      <c r="AQ247" s="48">
        <v>42366</v>
      </c>
      <c r="AR247" s="47"/>
      <c r="AS247" s="47"/>
      <c r="AT247" s="47"/>
      <c r="AU247" s="47">
        <v>87944972806811</v>
      </c>
      <c r="AV247" s="47"/>
      <c r="AW247" s="47"/>
    </row>
    <row r="248" spans="1:49" x14ac:dyDescent="0.2">
      <c r="A248" s="47">
        <v>10020256</v>
      </c>
      <c r="B248" s="47">
        <v>10</v>
      </c>
      <c r="C248" s="47" t="s">
        <v>23</v>
      </c>
      <c r="D248" s="47" t="s">
        <v>78</v>
      </c>
      <c r="E248" s="48">
        <v>42366</v>
      </c>
      <c r="F248" s="47">
        <v>93628254</v>
      </c>
      <c r="G248" s="47">
        <v>10</v>
      </c>
      <c r="H248" s="48">
        <v>42352</v>
      </c>
      <c r="I248" s="47"/>
      <c r="J248" s="47">
        <v>1201120</v>
      </c>
      <c r="K248" s="47" t="s">
        <v>117</v>
      </c>
      <c r="L248" s="47">
        <v>1307782</v>
      </c>
      <c r="M248" s="47" t="s">
        <v>119</v>
      </c>
      <c r="N248" s="47">
        <v>1171090</v>
      </c>
      <c r="O248" s="47" t="s">
        <v>118</v>
      </c>
      <c r="P248" s="47" t="s">
        <v>1875</v>
      </c>
      <c r="Q248" s="47"/>
      <c r="R248" s="47"/>
      <c r="S248" s="47">
        <v>61874010060</v>
      </c>
      <c r="T248" s="47" t="s">
        <v>1876</v>
      </c>
      <c r="U248" s="47" t="s">
        <v>1381</v>
      </c>
      <c r="V248" s="47" t="s">
        <v>1656</v>
      </c>
      <c r="W248" s="47">
        <v>4</v>
      </c>
      <c r="X248" s="47"/>
      <c r="Y248" s="47">
        <v>816</v>
      </c>
      <c r="Z248" s="47">
        <v>24</v>
      </c>
      <c r="AA248" s="47" t="s">
        <v>1332</v>
      </c>
      <c r="AB248" s="47">
        <v>24</v>
      </c>
      <c r="AC248" s="47" t="s">
        <v>1333</v>
      </c>
      <c r="AD248" s="47">
        <v>960</v>
      </c>
      <c r="AE248" s="47" t="s">
        <v>182</v>
      </c>
      <c r="AF248" s="49">
        <v>783360</v>
      </c>
      <c r="AG248" s="49">
        <v>23040</v>
      </c>
      <c r="AH248" s="47" t="s">
        <v>182</v>
      </c>
      <c r="AI248" s="47" t="s">
        <v>181</v>
      </c>
      <c r="AJ248" s="47" t="s">
        <v>121</v>
      </c>
      <c r="AK248" s="47"/>
      <c r="AL248" s="47" t="s">
        <v>63</v>
      </c>
      <c r="AM248" s="47"/>
      <c r="AN248" s="47"/>
      <c r="AO248" s="47"/>
      <c r="AP248" s="47" t="s">
        <v>64</v>
      </c>
      <c r="AQ248" s="48">
        <v>42366</v>
      </c>
      <c r="AR248" s="47"/>
      <c r="AS248" s="47"/>
      <c r="AT248" s="47"/>
      <c r="AU248" s="47" t="s">
        <v>1877</v>
      </c>
      <c r="AV248" s="47"/>
      <c r="AW248" s="47"/>
    </row>
    <row r="249" spans="1:49" x14ac:dyDescent="0.2">
      <c r="A249" s="47">
        <v>10020257</v>
      </c>
      <c r="B249" s="47">
        <v>90</v>
      </c>
      <c r="C249" s="47" t="s">
        <v>18</v>
      </c>
      <c r="D249" s="47" t="s">
        <v>136</v>
      </c>
      <c r="E249" s="48">
        <v>42366</v>
      </c>
      <c r="F249" s="47">
        <v>93637158</v>
      </c>
      <c r="G249" s="47">
        <v>90</v>
      </c>
      <c r="H249" s="48">
        <v>42359</v>
      </c>
      <c r="I249" s="47"/>
      <c r="J249" s="47">
        <v>1201120</v>
      </c>
      <c r="K249" s="47" t="s">
        <v>117</v>
      </c>
      <c r="L249" s="47">
        <v>1307782</v>
      </c>
      <c r="M249" s="47" t="s">
        <v>119</v>
      </c>
      <c r="N249" s="47">
        <v>1171090</v>
      </c>
      <c r="O249" s="47" t="s">
        <v>118</v>
      </c>
      <c r="P249" s="47" t="s">
        <v>1878</v>
      </c>
      <c r="Q249" s="47"/>
      <c r="R249" s="47"/>
      <c r="S249" s="47">
        <v>52544025612</v>
      </c>
      <c r="T249" s="47" t="s">
        <v>1879</v>
      </c>
      <c r="U249" s="47" t="s">
        <v>1450</v>
      </c>
      <c r="V249" s="47" t="s">
        <v>1880</v>
      </c>
      <c r="W249" s="47" t="s">
        <v>1331</v>
      </c>
      <c r="X249" s="47"/>
      <c r="Y249" s="47">
        <v>3636</v>
      </c>
      <c r="Z249" s="47">
        <v>2</v>
      </c>
      <c r="AA249" s="47" t="s">
        <v>1332</v>
      </c>
      <c r="AB249" s="47">
        <v>12</v>
      </c>
      <c r="AC249" s="47" t="s">
        <v>1333</v>
      </c>
      <c r="AD249" s="47">
        <v>325.72000000000003</v>
      </c>
      <c r="AE249" s="47" t="s">
        <v>182</v>
      </c>
      <c r="AF249" s="49">
        <v>1184317.92</v>
      </c>
      <c r="AG249" s="47">
        <v>651.44000000000005</v>
      </c>
      <c r="AH249" s="47" t="s">
        <v>182</v>
      </c>
      <c r="AI249" s="47" t="s">
        <v>181</v>
      </c>
      <c r="AJ249" s="47" t="s">
        <v>870</v>
      </c>
      <c r="AK249" s="47"/>
      <c r="AL249" s="47" t="s">
        <v>63</v>
      </c>
      <c r="AM249" s="47"/>
      <c r="AN249" s="47"/>
      <c r="AO249" s="47"/>
      <c r="AP249" s="47" t="s">
        <v>64</v>
      </c>
      <c r="AQ249" s="48">
        <v>42366</v>
      </c>
      <c r="AR249" s="47"/>
      <c r="AS249" s="47"/>
      <c r="AT249" s="47"/>
      <c r="AU249" s="47" t="s">
        <v>1842</v>
      </c>
      <c r="AV249" s="47"/>
      <c r="AW249" s="47"/>
    </row>
    <row r="250" spans="1:49" x14ac:dyDescent="0.2">
      <c r="A250" s="47">
        <v>10020258</v>
      </c>
      <c r="B250" s="47">
        <v>30</v>
      </c>
      <c r="C250" s="47" t="s">
        <v>26</v>
      </c>
      <c r="D250" s="47" t="s">
        <v>78</v>
      </c>
      <c r="E250" s="48">
        <v>42366</v>
      </c>
      <c r="F250" s="47">
        <v>93533146</v>
      </c>
      <c r="G250" s="47">
        <v>30</v>
      </c>
      <c r="H250" s="48">
        <v>42270</v>
      </c>
      <c r="I250" s="47"/>
      <c r="J250" s="47">
        <v>1201057</v>
      </c>
      <c r="K250" s="47" t="s">
        <v>643</v>
      </c>
      <c r="L250" s="47">
        <v>1335345</v>
      </c>
      <c r="M250" s="47" t="s">
        <v>1066</v>
      </c>
      <c r="N250" s="47">
        <v>1201057</v>
      </c>
      <c r="O250" s="47" t="s">
        <v>643</v>
      </c>
      <c r="P250" s="47">
        <v>176726</v>
      </c>
      <c r="Q250" s="47"/>
      <c r="R250" s="47"/>
      <c r="S250" s="47">
        <v>591369430</v>
      </c>
      <c r="T250" s="47" t="s">
        <v>1408</v>
      </c>
      <c r="U250" s="47" t="s">
        <v>1322</v>
      </c>
      <c r="V250" s="47" t="s">
        <v>1409</v>
      </c>
      <c r="W250" s="47" t="s">
        <v>1331</v>
      </c>
      <c r="X250" s="47" t="s">
        <v>1410</v>
      </c>
      <c r="Y250" s="47">
        <v>48</v>
      </c>
      <c r="Z250" s="47">
        <v>1</v>
      </c>
      <c r="AA250" s="47" t="s">
        <v>1324</v>
      </c>
      <c r="AB250" s="47">
        <v>48</v>
      </c>
      <c r="AC250" s="47" t="s">
        <v>1325</v>
      </c>
      <c r="AD250" s="47">
        <v>607.52</v>
      </c>
      <c r="AE250" s="47" t="s">
        <v>182</v>
      </c>
      <c r="AF250" s="49">
        <v>29160.959999999999</v>
      </c>
      <c r="AG250" s="47">
        <v>607.52</v>
      </c>
      <c r="AH250" s="47" t="s">
        <v>182</v>
      </c>
      <c r="AI250" s="47" t="s">
        <v>181</v>
      </c>
      <c r="AJ250" s="47" t="s">
        <v>102</v>
      </c>
      <c r="AK250" s="47"/>
      <c r="AL250" s="47" t="s">
        <v>63</v>
      </c>
      <c r="AM250" s="47"/>
      <c r="AN250" s="47"/>
      <c r="AO250" s="47"/>
      <c r="AP250" s="47" t="s">
        <v>64</v>
      </c>
      <c r="AQ250" s="48">
        <v>42366</v>
      </c>
      <c r="AR250" s="47"/>
      <c r="AS250" s="47"/>
      <c r="AT250" s="47"/>
      <c r="AU250" s="47">
        <v>649275042707</v>
      </c>
      <c r="AV250" s="47"/>
      <c r="AW250" s="47"/>
    </row>
    <row r="251" spans="1:49" x14ac:dyDescent="0.2">
      <c r="A251" s="47">
        <v>10020259</v>
      </c>
      <c r="B251" s="47">
        <v>510</v>
      </c>
      <c r="C251" s="47" t="s">
        <v>26</v>
      </c>
      <c r="D251" s="47" t="s">
        <v>573</v>
      </c>
      <c r="E251" s="48">
        <v>42367</v>
      </c>
      <c r="F251" s="47">
        <v>93622918</v>
      </c>
      <c r="G251" s="47">
        <v>510</v>
      </c>
      <c r="H251" s="48">
        <v>42347</v>
      </c>
      <c r="I251" s="48">
        <v>42349</v>
      </c>
      <c r="J251" s="47">
        <v>1201605</v>
      </c>
      <c r="K251" s="47" t="s">
        <v>155</v>
      </c>
      <c r="L251" s="47">
        <v>1023292</v>
      </c>
      <c r="M251" s="47" t="s">
        <v>155</v>
      </c>
      <c r="N251" s="47">
        <v>1172017</v>
      </c>
      <c r="O251" s="47" t="s">
        <v>155</v>
      </c>
      <c r="P251" s="47">
        <v>550895</v>
      </c>
      <c r="Q251" s="47"/>
      <c r="R251" s="47"/>
      <c r="S251" s="47">
        <v>60758011905</v>
      </c>
      <c r="T251" s="47" t="s">
        <v>1511</v>
      </c>
      <c r="U251" s="47" t="s">
        <v>1322</v>
      </c>
      <c r="V251" s="47" t="s">
        <v>1400</v>
      </c>
      <c r="W251" s="47" t="s">
        <v>1331</v>
      </c>
      <c r="X251" s="47">
        <v>89701</v>
      </c>
      <c r="Y251" s="47">
        <v>144</v>
      </c>
      <c r="Z251" s="47">
        <v>72</v>
      </c>
      <c r="AA251" s="47" t="s">
        <v>1332</v>
      </c>
      <c r="AB251" s="47">
        <v>72</v>
      </c>
      <c r="AC251" s="47" t="s">
        <v>1333</v>
      </c>
      <c r="AD251" s="47">
        <v>44</v>
      </c>
      <c r="AE251" s="47" t="s">
        <v>182</v>
      </c>
      <c r="AF251" s="49">
        <v>6336</v>
      </c>
      <c r="AG251" s="49">
        <v>3168</v>
      </c>
      <c r="AH251" s="47" t="s">
        <v>182</v>
      </c>
      <c r="AI251" s="47" t="s">
        <v>181</v>
      </c>
      <c r="AJ251" s="47" t="s">
        <v>67</v>
      </c>
      <c r="AK251" s="47"/>
      <c r="AL251" s="47" t="s">
        <v>63</v>
      </c>
      <c r="AM251" s="47"/>
      <c r="AN251" s="47"/>
      <c r="AO251" s="47"/>
      <c r="AP251" s="47" t="s">
        <v>64</v>
      </c>
      <c r="AQ251" s="48">
        <v>42367</v>
      </c>
      <c r="AR251" s="47"/>
      <c r="AS251" s="47"/>
      <c r="AT251" s="47"/>
      <c r="AU251" s="47">
        <v>3511801226</v>
      </c>
      <c r="AV251" s="47"/>
      <c r="AW251" s="47"/>
    </row>
    <row r="252" spans="1:49" x14ac:dyDescent="0.2">
      <c r="A252" s="47">
        <v>10020271</v>
      </c>
      <c r="B252" s="47">
        <v>150</v>
      </c>
      <c r="C252" s="47" t="s">
        <v>18</v>
      </c>
      <c r="D252" s="47" t="s">
        <v>573</v>
      </c>
      <c r="E252" s="48">
        <v>42367</v>
      </c>
      <c r="F252" s="47">
        <v>93640178</v>
      </c>
      <c r="G252" s="47">
        <v>150</v>
      </c>
      <c r="H252" s="48">
        <v>42361</v>
      </c>
      <c r="I252" s="47"/>
      <c r="J252" s="47">
        <v>1318826</v>
      </c>
      <c r="K252" s="47" t="s">
        <v>110</v>
      </c>
      <c r="L252" s="47">
        <v>1334311</v>
      </c>
      <c r="M252" s="47" t="s">
        <v>113</v>
      </c>
      <c r="N252" s="47">
        <v>1318826</v>
      </c>
      <c r="O252" s="47" t="s">
        <v>110</v>
      </c>
      <c r="P252" s="47">
        <v>2054108</v>
      </c>
      <c r="Q252" s="47"/>
      <c r="R252" s="47"/>
      <c r="S252" s="47">
        <v>58914080244</v>
      </c>
      <c r="T252" s="47" t="s">
        <v>1498</v>
      </c>
      <c r="U252" s="47" t="s">
        <v>1459</v>
      </c>
      <c r="V252" s="47" t="s">
        <v>1496</v>
      </c>
      <c r="W252" s="47" t="s">
        <v>1459</v>
      </c>
      <c r="X252" s="47"/>
      <c r="Y252" s="47">
        <v>288</v>
      </c>
      <c r="Z252" s="47">
        <v>9</v>
      </c>
      <c r="AA252" s="47" t="s">
        <v>1332</v>
      </c>
      <c r="AB252" s="47">
        <v>9</v>
      </c>
      <c r="AC252" s="47" t="s">
        <v>1333</v>
      </c>
      <c r="AD252" s="47">
        <v>487</v>
      </c>
      <c r="AE252" s="47" t="s">
        <v>182</v>
      </c>
      <c r="AF252" s="49">
        <v>1402.56</v>
      </c>
      <c r="AG252" s="47">
        <v>43.83</v>
      </c>
      <c r="AH252" s="47" t="s">
        <v>182</v>
      </c>
      <c r="AI252" s="47" t="s">
        <v>181</v>
      </c>
      <c r="AJ252" s="47" t="s">
        <v>870</v>
      </c>
      <c r="AK252" s="47"/>
      <c r="AL252" s="47" t="s">
        <v>63</v>
      </c>
      <c r="AM252" s="47"/>
      <c r="AN252" s="47"/>
      <c r="AO252" s="47"/>
      <c r="AP252" s="47" t="s">
        <v>64</v>
      </c>
      <c r="AQ252" s="48">
        <v>42367</v>
      </c>
      <c r="AR252" s="47"/>
      <c r="AS252" s="47"/>
      <c r="AT252" s="47"/>
      <c r="AU252" s="47" t="s">
        <v>1881</v>
      </c>
      <c r="AV252" s="47"/>
      <c r="AW252" s="47"/>
    </row>
    <row r="253" spans="1:49" x14ac:dyDescent="0.2">
      <c r="A253" s="47">
        <v>10020271</v>
      </c>
      <c r="B253" s="47">
        <v>160</v>
      </c>
      <c r="C253" s="47" t="s">
        <v>18</v>
      </c>
      <c r="D253" s="47" t="s">
        <v>573</v>
      </c>
      <c r="E253" s="48">
        <v>42367</v>
      </c>
      <c r="F253" s="47">
        <v>93640178</v>
      </c>
      <c r="G253" s="47">
        <v>160</v>
      </c>
      <c r="H253" s="48">
        <v>42361</v>
      </c>
      <c r="I253" s="47"/>
      <c r="J253" s="47">
        <v>1318826</v>
      </c>
      <c r="K253" s="47" t="s">
        <v>110</v>
      </c>
      <c r="L253" s="47">
        <v>1334311</v>
      </c>
      <c r="M253" s="47" t="s">
        <v>113</v>
      </c>
      <c r="N253" s="47">
        <v>1318826</v>
      </c>
      <c r="O253" s="47" t="s">
        <v>110</v>
      </c>
      <c r="P253" s="47">
        <v>2054108</v>
      </c>
      <c r="Q253" s="47"/>
      <c r="R253" s="47"/>
      <c r="S253" s="47">
        <v>58914080044</v>
      </c>
      <c r="T253" s="47" t="s">
        <v>1495</v>
      </c>
      <c r="U253" s="47" t="s">
        <v>1459</v>
      </c>
      <c r="V253" s="47" t="s">
        <v>1496</v>
      </c>
      <c r="W253" s="47" t="s">
        <v>1459</v>
      </c>
      <c r="X253" s="47"/>
      <c r="Y253" s="47">
        <v>324</v>
      </c>
      <c r="Z253" s="47">
        <v>9</v>
      </c>
      <c r="AA253" s="47" t="s">
        <v>1332</v>
      </c>
      <c r="AB253" s="47">
        <v>9</v>
      </c>
      <c r="AC253" s="47" t="s">
        <v>1333</v>
      </c>
      <c r="AD253" s="47">
        <v>483</v>
      </c>
      <c r="AE253" s="47" t="s">
        <v>182</v>
      </c>
      <c r="AF253" s="49">
        <v>1564.92</v>
      </c>
      <c r="AG253" s="47">
        <v>43.47</v>
      </c>
      <c r="AH253" s="47" t="s">
        <v>182</v>
      </c>
      <c r="AI253" s="47" t="s">
        <v>181</v>
      </c>
      <c r="AJ253" s="47" t="s">
        <v>870</v>
      </c>
      <c r="AK253" s="47"/>
      <c r="AL253" s="47" t="s">
        <v>63</v>
      </c>
      <c r="AM253" s="47"/>
      <c r="AN253" s="47"/>
      <c r="AO253" s="47"/>
      <c r="AP253" s="47" t="s">
        <v>64</v>
      </c>
      <c r="AQ253" s="48">
        <v>42367</v>
      </c>
      <c r="AR253" s="47"/>
      <c r="AS253" s="47"/>
      <c r="AT253" s="47"/>
      <c r="AU253" s="47" t="s">
        <v>1881</v>
      </c>
      <c r="AV253" s="47"/>
      <c r="AW253" s="47"/>
    </row>
    <row r="254" spans="1:49" x14ac:dyDescent="0.2">
      <c r="A254" s="47">
        <v>10020283</v>
      </c>
      <c r="B254" s="47">
        <v>30</v>
      </c>
      <c r="C254" s="47" t="s">
        <v>18</v>
      </c>
      <c r="D254" s="47" t="s">
        <v>573</v>
      </c>
      <c r="E254" s="48">
        <v>42367</v>
      </c>
      <c r="F254" s="47">
        <v>93638473</v>
      </c>
      <c r="G254" s="47">
        <v>30</v>
      </c>
      <c r="H254" s="48">
        <v>42360</v>
      </c>
      <c r="I254" s="47"/>
      <c r="J254" s="47">
        <v>1201120</v>
      </c>
      <c r="K254" s="47" t="s">
        <v>117</v>
      </c>
      <c r="L254" s="47">
        <v>1307782</v>
      </c>
      <c r="M254" s="47" t="s">
        <v>119</v>
      </c>
      <c r="N254" s="47">
        <v>1171090</v>
      </c>
      <c r="O254" s="47" t="s">
        <v>118</v>
      </c>
      <c r="P254" s="47" t="s">
        <v>1882</v>
      </c>
      <c r="Q254" s="47"/>
      <c r="R254" s="47"/>
      <c r="S254" s="47">
        <v>472022041</v>
      </c>
      <c r="T254" s="47" t="s">
        <v>1851</v>
      </c>
      <c r="U254" s="47" t="s">
        <v>1459</v>
      </c>
      <c r="V254" s="47" t="s">
        <v>1546</v>
      </c>
      <c r="W254" s="47" t="s">
        <v>1459</v>
      </c>
      <c r="X254" s="47" t="s">
        <v>1852</v>
      </c>
      <c r="Y254" s="47">
        <v>252</v>
      </c>
      <c r="Z254" s="47">
        <v>36</v>
      </c>
      <c r="AA254" s="47" t="s">
        <v>1332</v>
      </c>
      <c r="AB254" s="47">
        <v>36</v>
      </c>
      <c r="AC254" s="47" t="s">
        <v>1333</v>
      </c>
      <c r="AD254" s="47">
        <v>4</v>
      </c>
      <c r="AE254" s="47" t="s">
        <v>182</v>
      </c>
      <c r="AF254" s="49">
        <v>1008</v>
      </c>
      <c r="AG254" s="47">
        <v>144</v>
      </c>
      <c r="AH254" s="47" t="s">
        <v>182</v>
      </c>
      <c r="AI254" s="47" t="s">
        <v>181</v>
      </c>
      <c r="AJ254" s="47" t="s">
        <v>97</v>
      </c>
      <c r="AK254" s="47"/>
      <c r="AL254" s="47" t="s">
        <v>63</v>
      </c>
      <c r="AM254" s="47"/>
      <c r="AN254" s="47"/>
      <c r="AO254" s="47"/>
      <c r="AP254" s="47" t="s">
        <v>64</v>
      </c>
      <c r="AQ254" s="48">
        <v>42367</v>
      </c>
      <c r="AR254" s="47"/>
      <c r="AS254" s="47"/>
      <c r="AT254" s="47"/>
      <c r="AU254" s="47">
        <v>87944972822620</v>
      </c>
      <c r="AV254" s="47"/>
      <c r="AW254" s="47"/>
    </row>
    <row r="255" spans="1:49" x14ac:dyDescent="0.2">
      <c r="A255" s="47">
        <v>10020284</v>
      </c>
      <c r="B255" s="47">
        <v>90</v>
      </c>
      <c r="C255" s="47" t="s">
        <v>18</v>
      </c>
      <c r="D255" s="47" t="s">
        <v>573</v>
      </c>
      <c r="E255" s="48">
        <v>42367</v>
      </c>
      <c r="F255" s="47">
        <v>93627950</v>
      </c>
      <c r="G255" s="47">
        <v>90</v>
      </c>
      <c r="H255" s="48">
        <v>42352</v>
      </c>
      <c r="I255" s="48">
        <v>42354</v>
      </c>
      <c r="J255" s="47">
        <v>1022013</v>
      </c>
      <c r="K255" s="47" t="s">
        <v>114</v>
      </c>
      <c r="L255" s="47">
        <v>1022013</v>
      </c>
      <c r="M255" s="47" t="s">
        <v>114</v>
      </c>
      <c r="N255" s="47">
        <v>1022013</v>
      </c>
      <c r="O255" s="47" t="s">
        <v>114</v>
      </c>
      <c r="P255" s="47">
        <v>76674</v>
      </c>
      <c r="Q255" s="47"/>
      <c r="R255" s="47"/>
      <c r="S255" s="47">
        <v>591379760</v>
      </c>
      <c r="T255" s="47" t="s">
        <v>1411</v>
      </c>
      <c r="U255" s="47" t="s">
        <v>1322</v>
      </c>
      <c r="V255" s="47" t="s">
        <v>1412</v>
      </c>
      <c r="W255" s="47" t="s">
        <v>1331</v>
      </c>
      <c r="X255" s="47"/>
      <c r="Y255" s="47">
        <v>2760</v>
      </c>
      <c r="Z255" s="47">
        <v>4</v>
      </c>
      <c r="AA255" s="47" t="s">
        <v>1332</v>
      </c>
      <c r="AB255" s="47">
        <v>12</v>
      </c>
      <c r="AC255" s="47" t="s">
        <v>1333</v>
      </c>
      <c r="AD255" s="47">
        <v>5.07</v>
      </c>
      <c r="AE255" s="47" t="s">
        <v>182</v>
      </c>
      <c r="AF255" s="49">
        <v>13993.2</v>
      </c>
      <c r="AG255" s="47">
        <v>20.28</v>
      </c>
      <c r="AH255" s="47" t="s">
        <v>182</v>
      </c>
      <c r="AI255" s="47" t="s">
        <v>181</v>
      </c>
      <c r="AJ255" s="47" t="s">
        <v>67</v>
      </c>
      <c r="AK255" s="47"/>
      <c r="AL255" s="47" t="s">
        <v>63</v>
      </c>
      <c r="AM255" s="47"/>
      <c r="AN255" s="47"/>
      <c r="AO255" s="47"/>
      <c r="AP255" s="47" t="s">
        <v>64</v>
      </c>
      <c r="AQ255" s="48">
        <v>42367</v>
      </c>
      <c r="AR255" s="47"/>
      <c r="AS255" s="47"/>
      <c r="AT255" s="47"/>
      <c r="AU255" s="47">
        <v>3511801764</v>
      </c>
      <c r="AV255" s="47"/>
      <c r="AW255" s="47"/>
    </row>
    <row r="256" spans="1:49" x14ac:dyDescent="0.2">
      <c r="A256" s="47">
        <v>10020284</v>
      </c>
      <c r="B256" s="47">
        <v>200</v>
      </c>
      <c r="C256" s="47" t="s">
        <v>18</v>
      </c>
      <c r="D256" s="47" t="s">
        <v>573</v>
      </c>
      <c r="E256" s="48">
        <v>42367</v>
      </c>
      <c r="F256" s="47">
        <v>93627950</v>
      </c>
      <c r="G256" s="47">
        <v>200</v>
      </c>
      <c r="H256" s="48">
        <v>42352</v>
      </c>
      <c r="I256" s="48">
        <v>42354</v>
      </c>
      <c r="J256" s="47">
        <v>1022013</v>
      </c>
      <c r="K256" s="47" t="s">
        <v>114</v>
      </c>
      <c r="L256" s="47">
        <v>1022013</v>
      </c>
      <c r="M256" s="47" t="s">
        <v>114</v>
      </c>
      <c r="N256" s="47">
        <v>1022013</v>
      </c>
      <c r="O256" s="47" t="s">
        <v>114</v>
      </c>
      <c r="P256" s="47">
        <v>76674</v>
      </c>
      <c r="Q256" s="47"/>
      <c r="R256" s="47"/>
      <c r="S256" s="47">
        <v>591379783</v>
      </c>
      <c r="T256" s="47" t="s">
        <v>1674</v>
      </c>
      <c r="U256" s="47" t="s">
        <v>1322</v>
      </c>
      <c r="V256" s="47" t="s">
        <v>1412</v>
      </c>
      <c r="W256" s="47" t="s">
        <v>1331</v>
      </c>
      <c r="X256" s="47"/>
      <c r="Y256" s="47">
        <v>7632</v>
      </c>
      <c r="Z256" s="47">
        <v>6</v>
      </c>
      <c r="AA256" s="47" t="s">
        <v>1332</v>
      </c>
      <c r="AB256" s="47">
        <v>24</v>
      </c>
      <c r="AC256" s="47" t="s">
        <v>1333</v>
      </c>
      <c r="AD256" s="47">
        <v>2.11</v>
      </c>
      <c r="AE256" s="47" t="s">
        <v>182</v>
      </c>
      <c r="AF256" s="49">
        <v>16103.52</v>
      </c>
      <c r="AG256" s="47">
        <v>12.66</v>
      </c>
      <c r="AH256" s="47" t="s">
        <v>182</v>
      </c>
      <c r="AI256" s="47" t="s">
        <v>181</v>
      </c>
      <c r="AJ256" s="47" t="s">
        <v>67</v>
      </c>
      <c r="AK256" s="47"/>
      <c r="AL256" s="47" t="s">
        <v>63</v>
      </c>
      <c r="AM256" s="47"/>
      <c r="AN256" s="47"/>
      <c r="AO256" s="47"/>
      <c r="AP256" s="47" t="s">
        <v>64</v>
      </c>
      <c r="AQ256" s="48">
        <v>42367</v>
      </c>
      <c r="AR256" s="47"/>
      <c r="AS256" s="47"/>
      <c r="AT256" s="47"/>
      <c r="AU256" s="47">
        <v>3511801764</v>
      </c>
      <c r="AV256" s="47"/>
      <c r="AW256" s="47"/>
    </row>
    <row r="257" spans="1:49" x14ac:dyDescent="0.2">
      <c r="A257" s="47">
        <v>10020285</v>
      </c>
      <c r="B257" s="47">
        <v>90</v>
      </c>
      <c r="C257" s="47" t="s">
        <v>24</v>
      </c>
      <c r="D257" s="47" t="s">
        <v>78</v>
      </c>
      <c r="E257" s="48">
        <v>42367</v>
      </c>
      <c r="F257" s="47">
        <v>93630077</v>
      </c>
      <c r="G257" s="47">
        <v>90</v>
      </c>
      <c r="H257" s="48">
        <v>42353</v>
      </c>
      <c r="I257" s="48">
        <v>42360</v>
      </c>
      <c r="J257" s="47">
        <v>1201156</v>
      </c>
      <c r="K257" s="47" t="s">
        <v>131</v>
      </c>
      <c r="L257" s="47">
        <v>1319569</v>
      </c>
      <c r="M257" s="47" t="s">
        <v>132</v>
      </c>
      <c r="N257" s="47">
        <v>1201156</v>
      </c>
      <c r="O257" s="47" t="s">
        <v>131</v>
      </c>
      <c r="P257" s="47">
        <v>8341201</v>
      </c>
      <c r="Q257" s="47"/>
      <c r="R257" s="47"/>
      <c r="S257" s="47">
        <v>472038145</v>
      </c>
      <c r="T257" s="47" t="s">
        <v>1883</v>
      </c>
      <c r="U257" s="47" t="s">
        <v>1322</v>
      </c>
      <c r="V257" s="47" t="s">
        <v>1769</v>
      </c>
      <c r="W257" s="47" t="s">
        <v>1331</v>
      </c>
      <c r="X257" s="47" t="s">
        <v>1884</v>
      </c>
      <c r="Y257" s="47">
        <v>144</v>
      </c>
      <c r="Z257" s="47">
        <v>1</v>
      </c>
      <c r="AA257" s="47" t="s">
        <v>1369</v>
      </c>
      <c r="AB257" s="47">
        <v>48</v>
      </c>
      <c r="AC257" s="47" t="s">
        <v>1370</v>
      </c>
      <c r="AD257" s="47">
        <v>27.9</v>
      </c>
      <c r="AE257" s="47" t="s">
        <v>182</v>
      </c>
      <c r="AF257" s="49">
        <v>4017.6</v>
      </c>
      <c r="AG257" s="49">
        <v>1339.2</v>
      </c>
      <c r="AH257" s="47" t="s">
        <v>182</v>
      </c>
      <c r="AI257" s="47" t="s">
        <v>181</v>
      </c>
      <c r="AJ257" s="47" t="s">
        <v>61</v>
      </c>
      <c r="AK257" s="47"/>
      <c r="AL257" s="47" t="s">
        <v>63</v>
      </c>
      <c r="AM257" s="47"/>
      <c r="AN257" s="47"/>
      <c r="AO257" s="47"/>
      <c r="AP257" s="47" t="s">
        <v>64</v>
      </c>
      <c r="AQ257" s="48">
        <v>42367</v>
      </c>
      <c r="AR257" s="47"/>
      <c r="AS257" s="47"/>
      <c r="AT257" s="47"/>
      <c r="AU257" s="47">
        <v>327765377</v>
      </c>
      <c r="AV257" s="47"/>
      <c r="AW257" s="47"/>
    </row>
    <row r="258" spans="1:49" x14ac:dyDescent="0.2">
      <c r="A258" s="47">
        <v>10020285</v>
      </c>
      <c r="B258" s="47">
        <v>330</v>
      </c>
      <c r="C258" s="47" t="s">
        <v>24</v>
      </c>
      <c r="D258" s="47" t="s">
        <v>78</v>
      </c>
      <c r="E258" s="48">
        <v>42367</v>
      </c>
      <c r="F258" s="47">
        <v>93630077</v>
      </c>
      <c r="G258" s="47">
        <v>330</v>
      </c>
      <c r="H258" s="48">
        <v>42353</v>
      </c>
      <c r="I258" s="48">
        <v>42360</v>
      </c>
      <c r="J258" s="47">
        <v>1201156</v>
      </c>
      <c r="K258" s="47" t="s">
        <v>131</v>
      </c>
      <c r="L258" s="47">
        <v>1319569</v>
      </c>
      <c r="M258" s="47" t="s">
        <v>132</v>
      </c>
      <c r="N258" s="47">
        <v>1201156</v>
      </c>
      <c r="O258" s="47" t="s">
        <v>131</v>
      </c>
      <c r="P258" s="47">
        <v>8341201</v>
      </c>
      <c r="Q258" s="47"/>
      <c r="R258" s="47"/>
      <c r="S258" s="47">
        <v>52544096728</v>
      </c>
      <c r="T258" s="47" t="s">
        <v>1885</v>
      </c>
      <c r="U258" s="47" t="s">
        <v>1344</v>
      </c>
      <c r="V258" s="47" t="s">
        <v>1886</v>
      </c>
      <c r="W258" s="47" t="s">
        <v>1331</v>
      </c>
      <c r="X258" s="47"/>
      <c r="Y258" s="47">
        <v>588</v>
      </c>
      <c r="Z258" s="47">
        <v>1</v>
      </c>
      <c r="AA258" s="47" t="s">
        <v>1369</v>
      </c>
      <c r="AB258" s="47">
        <v>12</v>
      </c>
      <c r="AC258" s="47" t="s">
        <v>1370</v>
      </c>
      <c r="AD258" s="47">
        <v>33.96</v>
      </c>
      <c r="AE258" s="47" t="s">
        <v>182</v>
      </c>
      <c r="AF258" s="49">
        <v>19968.48</v>
      </c>
      <c r="AG258" s="47">
        <v>407.52</v>
      </c>
      <c r="AH258" s="47" t="s">
        <v>182</v>
      </c>
      <c r="AI258" s="47" t="s">
        <v>181</v>
      </c>
      <c r="AJ258" s="47" t="s">
        <v>61</v>
      </c>
      <c r="AK258" s="47"/>
      <c r="AL258" s="47" t="s">
        <v>63</v>
      </c>
      <c r="AM258" s="47"/>
      <c r="AN258" s="47"/>
      <c r="AO258" s="47"/>
      <c r="AP258" s="47" t="s">
        <v>64</v>
      </c>
      <c r="AQ258" s="48">
        <v>42367</v>
      </c>
      <c r="AR258" s="47"/>
      <c r="AS258" s="47"/>
      <c r="AT258" s="47"/>
      <c r="AU258" s="47">
        <v>327765377</v>
      </c>
      <c r="AV258" s="47"/>
      <c r="AW258" s="47"/>
    </row>
    <row r="259" spans="1:49" x14ac:dyDescent="0.2">
      <c r="A259" s="47">
        <v>10020286</v>
      </c>
      <c r="B259" s="47">
        <v>1900</v>
      </c>
      <c r="C259" s="47" t="s">
        <v>18</v>
      </c>
      <c r="D259" s="47" t="s">
        <v>573</v>
      </c>
      <c r="E259" s="48">
        <v>42367</v>
      </c>
      <c r="F259" s="47">
        <v>93638349</v>
      </c>
      <c r="G259" s="47">
        <v>1900</v>
      </c>
      <c r="H259" s="48">
        <v>42360</v>
      </c>
      <c r="I259" s="47"/>
      <c r="J259" s="47">
        <v>1201047</v>
      </c>
      <c r="K259" s="47" t="s">
        <v>79</v>
      </c>
      <c r="L259" s="47">
        <v>1311011</v>
      </c>
      <c r="M259" s="47" t="s">
        <v>85</v>
      </c>
      <c r="N259" s="47">
        <v>1171089</v>
      </c>
      <c r="O259" s="47" t="s">
        <v>75</v>
      </c>
      <c r="P259" s="47">
        <v>19633023</v>
      </c>
      <c r="Q259" s="47"/>
      <c r="R259" s="47"/>
      <c r="S259" s="47">
        <v>591046005</v>
      </c>
      <c r="T259" s="47" t="s">
        <v>1540</v>
      </c>
      <c r="U259" s="47" t="s">
        <v>1322</v>
      </c>
      <c r="V259" s="47" t="s">
        <v>1541</v>
      </c>
      <c r="W259" s="47" t="s">
        <v>1331</v>
      </c>
      <c r="X259" s="47"/>
      <c r="Y259" s="47">
        <v>288</v>
      </c>
      <c r="Z259" s="47">
        <v>12</v>
      </c>
      <c r="AA259" s="47" t="s">
        <v>1332</v>
      </c>
      <c r="AB259" s="47">
        <v>12</v>
      </c>
      <c r="AC259" s="47" t="s">
        <v>1333</v>
      </c>
      <c r="AD259" s="47">
        <v>21.57</v>
      </c>
      <c r="AE259" s="47" t="s">
        <v>182</v>
      </c>
      <c r="AF259" s="49">
        <v>6212.16</v>
      </c>
      <c r="AG259" s="47">
        <v>258.83999999999997</v>
      </c>
      <c r="AH259" s="47" t="s">
        <v>182</v>
      </c>
      <c r="AI259" s="47" t="s">
        <v>181</v>
      </c>
      <c r="AJ259" s="47" t="s">
        <v>86</v>
      </c>
      <c r="AK259" s="47"/>
      <c r="AL259" s="47" t="s">
        <v>63</v>
      </c>
      <c r="AM259" s="47"/>
      <c r="AN259" s="47"/>
      <c r="AO259" s="47"/>
      <c r="AP259" s="47" t="s">
        <v>64</v>
      </c>
      <c r="AQ259" s="48">
        <v>42367</v>
      </c>
      <c r="AR259" s="47"/>
      <c r="AS259" s="47"/>
      <c r="AT259" s="47"/>
      <c r="AU259" s="47" t="s">
        <v>1887</v>
      </c>
      <c r="AV259" s="47"/>
      <c r="AW259" s="47"/>
    </row>
    <row r="260" spans="1:49" x14ac:dyDescent="0.2">
      <c r="A260" s="47">
        <v>10020287</v>
      </c>
      <c r="B260" s="47">
        <v>220</v>
      </c>
      <c r="C260" s="47" t="s">
        <v>26</v>
      </c>
      <c r="D260" s="47" t="s">
        <v>78</v>
      </c>
      <c r="E260" s="48">
        <v>42367</v>
      </c>
      <c r="F260" s="47">
        <v>93639928</v>
      </c>
      <c r="G260" s="47">
        <v>220</v>
      </c>
      <c r="H260" s="48">
        <v>42361</v>
      </c>
      <c r="I260" s="47"/>
      <c r="J260" s="47">
        <v>1201047</v>
      </c>
      <c r="K260" s="47" t="s">
        <v>79</v>
      </c>
      <c r="L260" s="47">
        <v>1064887</v>
      </c>
      <c r="M260" s="47" t="s">
        <v>80</v>
      </c>
      <c r="N260" s="47">
        <v>1171089</v>
      </c>
      <c r="O260" s="47" t="s">
        <v>75</v>
      </c>
      <c r="P260" s="47">
        <v>26989087</v>
      </c>
      <c r="Q260" s="47"/>
      <c r="R260" s="47"/>
      <c r="S260" s="47">
        <v>228315473</v>
      </c>
      <c r="T260" s="47" t="s">
        <v>1888</v>
      </c>
      <c r="U260" s="47" t="s">
        <v>1322</v>
      </c>
      <c r="V260" s="47" t="s">
        <v>1889</v>
      </c>
      <c r="W260" s="47">
        <v>3</v>
      </c>
      <c r="X260" s="47"/>
      <c r="Y260" s="47">
        <v>120</v>
      </c>
      <c r="Z260" s="47">
        <v>24</v>
      </c>
      <c r="AA260" s="47" t="s">
        <v>1332</v>
      </c>
      <c r="AB260" s="47">
        <v>24</v>
      </c>
      <c r="AC260" s="47" t="s">
        <v>1333</v>
      </c>
      <c r="AD260" s="47">
        <v>139.71</v>
      </c>
      <c r="AE260" s="47" t="s">
        <v>182</v>
      </c>
      <c r="AF260" s="49">
        <v>16765.2</v>
      </c>
      <c r="AG260" s="49">
        <v>3353.04</v>
      </c>
      <c r="AH260" s="47" t="s">
        <v>182</v>
      </c>
      <c r="AI260" s="47" t="s">
        <v>181</v>
      </c>
      <c r="AJ260" s="47" t="s">
        <v>102</v>
      </c>
      <c r="AK260" s="47"/>
      <c r="AL260" s="47" t="s">
        <v>63</v>
      </c>
      <c r="AM260" s="47"/>
      <c r="AN260" s="47"/>
      <c r="AO260" s="47"/>
      <c r="AP260" s="47"/>
      <c r="AQ260" s="47"/>
      <c r="AR260" s="47"/>
      <c r="AS260" s="47"/>
      <c r="AT260" s="47"/>
      <c r="AU260" s="47">
        <v>649275196515</v>
      </c>
      <c r="AV260" s="47"/>
      <c r="AW260" s="47"/>
    </row>
    <row r="261" spans="1:49" x14ac:dyDescent="0.2">
      <c r="A261" s="47">
        <v>10020288</v>
      </c>
      <c r="B261" s="47">
        <v>20</v>
      </c>
      <c r="C261" s="47" t="s">
        <v>26</v>
      </c>
      <c r="D261" s="47" t="s">
        <v>432</v>
      </c>
      <c r="E261" s="48">
        <v>42368</v>
      </c>
      <c r="F261" s="47">
        <v>93637489</v>
      </c>
      <c r="G261" s="47">
        <v>20</v>
      </c>
      <c r="H261" s="48">
        <v>42359</v>
      </c>
      <c r="I261" s="48">
        <v>42367</v>
      </c>
      <c r="J261" s="47">
        <v>1201519</v>
      </c>
      <c r="K261" s="47" t="s">
        <v>668</v>
      </c>
      <c r="L261" s="47">
        <v>1323187</v>
      </c>
      <c r="M261" s="47" t="s">
        <v>669</v>
      </c>
      <c r="N261" s="47">
        <v>1201519</v>
      </c>
      <c r="O261" s="47" t="s">
        <v>668</v>
      </c>
      <c r="P261" s="47" t="s">
        <v>1890</v>
      </c>
      <c r="Q261" s="47"/>
      <c r="R261" s="47"/>
      <c r="S261" s="47">
        <v>62037071001</v>
      </c>
      <c r="T261" s="47" t="s">
        <v>1617</v>
      </c>
      <c r="U261" s="47" t="s">
        <v>1322</v>
      </c>
      <c r="V261" s="47" t="s">
        <v>1396</v>
      </c>
      <c r="W261" s="47" t="s">
        <v>1331</v>
      </c>
      <c r="X261" s="47" t="s">
        <v>1618</v>
      </c>
      <c r="Y261" s="47">
        <v>720</v>
      </c>
      <c r="Z261" s="47">
        <v>48</v>
      </c>
      <c r="AA261" s="47" t="s">
        <v>1324</v>
      </c>
      <c r="AB261" s="47">
        <v>48</v>
      </c>
      <c r="AC261" s="47" t="s">
        <v>1325</v>
      </c>
      <c r="AD261" s="47">
        <v>15.4</v>
      </c>
      <c r="AE261" s="47" t="s">
        <v>182</v>
      </c>
      <c r="AF261" s="49">
        <v>11088</v>
      </c>
      <c r="AG261" s="47">
        <v>739.2</v>
      </c>
      <c r="AH261" s="47" t="s">
        <v>182</v>
      </c>
      <c r="AI261" s="47" t="s">
        <v>181</v>
      </c>
      <c r="AJ261" s="47" t="s">
        <v>67</v>
      </c>
      <c r="AK261" s="47"/>
      <c r="AL261" s="47" t="s">
        <v>63</v>
      </c>
      <c r="AM261" s="47"/>
      <c r="AN261" s="47"/>
      <c r="AO261" s="47"/>
      <c r="AP261" s="47" t="s">
        <v>64</v>
      </c>
      <c r="AQ261" s="48">
        <v>42368</v>
      </c>
      <c r="AR261" s="47"/>
      <c r="AS261" s="47"/>
      <c r="AT261" s="47"/>
      <c r="AU261" s="47">
        <v>3511803282</v>
      </c>
      <c r="AV261" s="47"/>
      <c r="AW261" s="47"/>
    </row>
    <row r="262" spans="1:49" x14ac:dyDescent="0.2">
      <c r="A262" s="47">
        <v>10020289</v>
      </c>
      <c r="B262" s="47">
        <v>1180</v>
      </c>
      <c r="C262" s="47" t="s">
        <v>18</v>
      </c>
      <c r="D262" s="47" t="s">
        <v>573</v>
      </c>
      <c r="E262" s="48">
        <v>42368</v>
      </c>
      <c r="F262" s="47">
        <v>93641994</v>
      </c>
      <c r="G262" s="47">
        <v>1180</v>
      </c>
      <c r="H262" s="48">
        <v>42366</v>
      </c>
      <c r="I262" s="47"/>
      <c r="J262" s="47">
        <v>1201120</v>
      </c>
      <c r="K262" s="47" t="s">
        <v>117</v>
      </c>
      <c r="L262" s="47">
        <v>1307782</v>
      </c>
      <c r="M262" s="47" t="s">
        <v>119</v>
      </c>
      <c r="N262" s="47">
        <v>1171090</v>
      </c>
      <c r="O262" s="47" t="s">
        <v>118</v>
      </c>
      <c r="P262" s="47" t="s">
        <v>1891</v>
      </c>
      <c r="Q262" s="47"/>
      <c r="R262" s="47"/>
      <c r="S262" s="47">
        <v>62037086220</v>
      </c>
      <c r="T262" s="47" t="s">
        <v>1361</v>
      </c>
      <c r="U262" s="47" t="s">
        <v>1322</v>
      </c>
      <c r="V262" s="47" t="s">
        <v>1362</v>
      </c>
      <c r="W262" s="47" t="s">
        <v>1331</v>
      </c>
      <c r="X262" s="47"/>
      <c r="Y262" s="47">
        <v>70</v>
      </c>
      <c r="Z262" s="47">
        <v>3</v>
      </c>
      <c r="AA262" s="47" t="s">
        <v>1332</v>
      </c>
      <c r="AB262" s="47">
        <v>5</v>
      </c>
      <c r="AC262" s="47" t="s">
        <v>1333</v>
      </c>
      <c r="AD262" s="47">
        <v>440</v>
      </c>
      <c r="AE262" s="47" t="s">
        <v>182</v>
      </c>
      <c r="AF262" s="49">
        <v>30800</v>
      </c>
      <c r="AG262" s="49">
        <v>1320</v>
      </c>
      <c r="AH262" s="47" t="s">
        <v>182</v>
      </c>
      <c r="AI262" s="47" t="s">
        <v>181</v>
      </c>
      <c r="AJ262" s="47" t="s">
        <v>123</v>
      </c>
      <c r="AK262" s="47"/>
      <c r="AL262" s="47" t="s">
        <v>63</v>
      </c>
      <c r="AM262" s="47"/>
      <c r="AN262" s="47"/>
      <c r="AO262" s="47"/>
      <c r="AP262" s="47" t="s">
        <v>64</v>
      </c>
      <c r="AQ262" s="48">
        <v>42368</v>
      </c>
      <c r="AR262" s="47"/>
      <c r="AS262" s="47"/>
      <c r="AT262" s="47"/>
      <c r="AU262" s="47" t="s">
        <v>1892</v>
      </c>
      <c r="AV262" s="47"/>
      <c r="AW262" s="47"/>
    </row>
    <row r="263" spans="1:49" x14ac:dyDescent="0.2">
      <c r="A263" s="47">
        <v>10020290</v>
      </c>
      <c r="B263" s="47">
        <v>1120</v>
      </c>
      <c r="C263" s="47" t="s">
        <v>26</v>
      </c>
      <c r="D263" s="47" t="s">
        <v>78</v>
      </c>
      <c r="E263" s="48">
        <v>42368</v>
      </c>
      <c r="F263" s="47">
        <v>93632324</v>
      </c>
      <c r="G263" s="47">
        <v>1120</v>
      </c>
      <c r="H263" s="48">
        <v>42355</v>
      </c>
      <c r="I263" s="47"/>
      <c r="J263" s="47">
        <v>1201047</v>
      </c>
      <c r="K263" s="47" t="s">
        <v>79</v>
      </c>
      <c r="L263" s="47">
        <v>1321618</v>
      </c>
      <c r="M263" s="47" t="s">
        <v>85</v>
      </c>
      <c r="N263" s="47">
        <v>1171089</v>
      </c>
      <c r="O263" s="47" t="s">
        <v>75</v>
      </c>
      <c r="P263" s="47">
        <v>55530212</v>
      </c>
      <c r="Q263" s="47"/>
      <c r="R263" s="47"/>
      <c r="S263" s="47">
        <v>60758011905</v>
      </c>
      <c r="T263" s="47" t="s">
        <v>1511</v>
      </c>
      <c r="U263" s="47" t="s">
        <v>1322</v>
      </c>
      <c r="V263" s="47" t="s">
        <v>1400</v>
      </c>
      <c r="W263" s="47" t="s">
        <v>1331</v>
      </c>
      <c r="X263" s="47">
        <v>89702</v>
      </c>
      <c r="Y263" s="47">
        <v>936</v>
      </c>
      <c r="Z263" s="47">
        <v>144</v>
      </c>
      <c r="AA263" s="47" t="s">
        <v>1332</v>
      </c>
      <c r="AB263" s="47">
        <v>72</v>
      </c>
      <c r="AC263" s="47" t="s">
        <v>1333</v>
      </c>
      <c r="AD263" s="47">
        <v>44</v>
      </c>
      <c r="AE263" s="47" t="s">
        <v>182</v>
      </c>
      <c r="AF263" s="49">
        <v>41184</v>
      </c>
      <c r="AG263" s="49">
        <v>6336</v>
      </c>
      <c r="AH263" s="47" t="s">
        <v>182</v>
      </c>
      <c r="AI263" s="47" t="s">
        <v>181</v>
      </c>
      <c r="AJ263" s="47" t="s">
        <v>91</v>
      </c>
      <c r="AK263" s="47"/>
      <c r="AL263" s="47" t="s">
        <v>63</v>
      </c>
      <c r="AM263" s="47" t="s">
        <v>94</v>
      </c>
      <c r="AN263" s="47" t="s">
        <v>95</v>
      </c>
      <c r="AO263" s="48">
        <v>42373</v>
      </c>
      <c r="AP263" s="47" t="s">
        <v>64</v>
      </c>
      <c r="AQ263" s="48">
        <v>42368</v>
      </c>
      <c r="AR263" s="47"/>
      <c r="AS263" s="47"/>
      <c r="AT263" s="47"/>
      <c r="AU263" s="47" t="s">
        <v>1893</v>
      </c>
      <c r="AV263" s="47" t="s">
        <v>96</v>
      </c>
      <c r="AW263" s="47" t="s">
        <v>1894</v>
      </c>
    </row>
    <row r="264" spans="1:49" x14ac:dyDescent="0.2">
      <c r="A264" s="47">
        <v>10020291</v>
      </c>
      <c r="B264" s="47">
        <v>1380</v>
      </c>
      <c r="C264" s="47" t="s">
        <v>18</v>
      </c>
      <c r="D264" s="47" t="s">
        <v>78</v>
      </c>
      <c r="E264" s="48">
        <v>42368</v>
      </c>
      <c r="F264" s="47">
        <v>93639891</v>
      </c>
      <c r="G264" s="47">
        <v>1380</v>
      </c>
      <c r="H264" s="48">
        <v>42361</v>
      </c>
      <c r="I264" s="47"/>
      <c r="J264" s="47">
        <v>1201047</v>
      </c>
      <c r="K264" s="47" t="s">
        <v>79</v>
      </c>
      <c r="L264" s="47">
        <v>1340974</v>
      </c>
      <c r="M264" s="47" t="s">
        <v>93</v>
      </c>
      <c r="N264" s="47">
        <v>1171089</v>
      </c>
      <c r="O264" s="47" t="s">
        <v>75</v>
      </c>
      <c r="P264" s="47">
        <v>87103223</v>
      </c>
      <c r="Q264" s="47"/>
      <c r="R264" s="47"/>
      <c r="S264" s="47">
        <v>456430001</v>
      </c>
      <c r="T264" s="47" t="s">
        <v>1377</v>
      </c>
      <c r="U264" s="47" t="s">
        <v>1340</v>
      </c>
      <c r="V264" s="47" t="s">
        <v>1378</v>
      </c>
      <c r="W264" s="47" t="s">
        <v>1331</v>
      </c>
      <c r="X264" s="47">
        <v>339737</v>
      </c>
      <c r="Y264" s="47">
        <v>2256</v>
      </c>
      <c r="Z264" s="47">
        <v>22</v>
      </c>
      <c r="AA264" s="47" t="s">
        <v>1332</v>
      </c>
      <c r="AB264" s="47">
        <v>48</v>
      </c>
      <c r="AC264" s="47" t="s">
        <v>1333</v>
      </c>
      <c r="AD264" s="47">
        <v>60.51</v>
      </c>
      <c r="AE264" s="47" t="s">
        <v>182</v>
      </c>
      <c r="AF264" s="49">
        <v>136510.56</v>
      </c>
      <c r="AG264" s="49">
        <v>1331.22</v>
      </c>
      <c r="AH264" s="47" t="s">
        <v>182</v>
      </c>
      <c r="AI264" s="47" t="s">
        <v>181</v>
      </c>
      <c r="AJ264" s="47" t="s">
        <v>102</v>
      </c>
      <c r="AK264" s="47"/>
      <c r="AL264" s="47" t="s">
        <v>63</v>
      </c>
      <c r="AM264" s="47"/>
      <c r="AN264" s="47"/>
      <c r="AO264" s="47"/>
      <c r="AP264" s="47" t="s">
        <v>64</v>
      </c>
      <c r="AQ264" s="48">
        <v>42368</v>
      </c>
      <c r="AR264" s="47"/>
      <c r="AS264" s="47"/>
      <c r="AT264" s="47"/>
      <c r="AU264" s="47">
        <v>649275197279</v>
      </c>
      <c r="AV264" s="47"/>
      <c r="AW264" s="47"/>
    </row>
    <row r="265" spans="1:49" x14ac:dyDescent="0.2">
      <c r="A265" s="47">
        <v>10020292</v>
      </c>
      <c r="B265" s="47">
        <v>120</v>
      </c>
      <c r="C265" s="47" t="s">
        <v>18</v>
      </c>
      <c r="D265" s="47" t="s">
        <v>78</v>
      </c>
      <c r="E265" s="48">
        <v>42368</v>
      </c>
      <c r="F265" s="47">
        <v>93642015</v>
      </c>
      <c r="G265" s="47">
        <v>120</v>
      </c>
      <c r="H265" s="48">
        <v>42366</v>
      </c>
      <c r="I265" s="47"/>
      <c r="J265" s="47">
        <v>1201120</v>
      </c>
      <c r="K265" s="47" t="s">
        <v>117</v>
      </c>
      <c r="L265" s="47">
        <v>1307782</v>
      </c>
      <c r="M265" s="47" t="s">
        <v>119</v>
      </c>
      <c r="N265" s="47">
        <v>1171090</v>
      </c>
      <c r="O265" s="47" t="s">
        <v>118</v>
      </c>
      <c r="P265" s="47" t="s">
        <v>1853</v>
      </c>
      <c r="Q265" s="47"/>
      <c r="R265" s="47"/>
      <c r="S265" s="47">
        <v>16252060144</v>
      </c>
      <c r="T265" s="47" t="s">
        <v>1350</v>
      </c>
      <c r="U265" s="47" t="s">
        <v>1322</v>
      </c>
      <c r="V265" s="47" t="s">
        <v>1351</v>
      </c>
      <c r="W265" s="47" t="s">
        <v>1331</v>
      </c>
      <c r="X265" s="47">
        <v>1141445</v>
      </c>
      <c r="Y265" s="47">
        <v>2184</v>
      </c>
      <c r="Z265" s="47">
        <v>7</v>
      </c>
      <c r="AA265" s="47" t="s">
        <v>1332</v>
      </c>
      <c r="AB265" s="47">
        <v>312</v>
      </c>
      <c r="AC265" s="47" t="s">
        <v>1333</v>
      </c>
      <c r="AD265" s="47">
        <v>7.5</v>
      </c>
      <c r="AE265" s="47" t="s">
        <v>182</v>
      </c>
      <c r="AF265" s="49">
        <v>16380</v>
      </c>
      <c r="AG265" s="47">
        <v>52.5</v>
      </c>
      <c r="AH265" s="47" t="s">
        <v>182</v>
      </c>
      <c r="AI265" s="47" t="s">
        <v>181</v>
      </c>
      <c r="AJ265" s="47" t="s">
        <v>102</v>
      </c>
      <c r="AK265" s="47"/>
      <c r="AL265" s="47" t="s">
        <v>63</v>
      </c>
      <c r="AM265" s="47"/>
      <c r="AN265" s="47"/>
      <c r="AO265" s="47"/>
      <c r="AP265" s="47" t="s">
        <v>64</v>
      </c>
      <c r="AQ265" s="48">
        <v>42368</v>
      </c>
      <c r="AR265" s="47"/>
      <c r="AS265" s="47"/>
      <c r="AT265" s="47"/>
      <c r="AU265" s="47">
        <v>649275203131</v>
      </c>
      <c r="AV265" s="47"/>
      <c r="AW265" s="47"/>
    </row>
    <row r="266" spans="1:49" x14ac:dyDescent="0.2">
      <c r="A266" s="47">
        <v>10020293</v>
      </c>
      <c r="B266" s="47">
        <v>250</v>
      </c>
      <c r="C266" s="47" t="s">
        <v>26</v>
      </c>
      <c r="D266" s="47" t="s">
        <v>573</v>
      </c>
      <c r="E266" s="48">
        <v>42368</v>
      </c>
      <c r="F266" s="47">
        <v>93619518</v>
      </c>
      <c r="G266" s="47">
        <v>250</v>
      </c>
      <c r="H266" s="48">
        <v>42345</v>
      </c>
      <c r="I266" s="48">
        <v>42346</v>
      </c>
      <c r="J266" s="47">
        <v>1201120</v>
      </c>
      <c r="K266" s="47" t="s">
        <v>117</v>
      </c>
      <c r="L266" s="47">
        <v>1307782</v>
      </c>
      <c r="M266" s="47" t="s">
        <v>119</v>
      </c>
      <c r="N266" s="47">
        <v>1171090</v>
      </c>
      <c r="O266" s="47" t="s">
        <v>118</v>
      </c>
      <c r="P266" s="47" t="s">
        <v>1845</v>
      </c>
      <c r="Q266" s="47"/>
      <c r="R266" s="47"/>
      <c r="S266" s="47">
        <v>456120230</v>
      </c>
      <c r="T266" s="47" t="s">
        <v>1767</v>
      </c>
      <c r="U266" s="47" t="s">
        <v>1381</v>
      </c>
      <c r="V266" s="47" t="s">
        <v>1456</v>
      </c>
      <c r="W266" s="47" t="s">
        <v>1331</v>
      </c>
      <c r="X266" s="47"/>
      <c r="Y266" s="47">
        <v>14411</v>
      </c>
      <c r="Z266" s="47">
        <v>288</v>
      </c>
      <c r="AA266" s="47" t="s">
        <v>1332</v>
      </c>
      <c r="AB266" s="47">
        <v>144</v>
      </c>
      <c r="AC266" s="47" t="s">
        <v>1333</v>
      </c>
      <c r="AD266" s="47">
        <v>304.54000000000002</v>
      </c>
      <c r="AE266" s="47" t="s">
        <v>182</v>
      </c>
      <c r="AF266" s="49">
        <v>4388725.9400000004</v>
      </c>
      <c r="AG266" s="49">
        <v>87707.520000000004</v>
      </c>
      <c r="AH266" s="47" t="s">
        <v>182</v>
      </c>
      <c r="AI266" s="47" t="s">
        <v>181</v>
      </c>
      <c r="AJ266" s="47" t="s">
        <v>91</v>
      </c>
      <c r="AK266" s="47"/>
      <c r="AL266" s="47" t="s">
        <v>63</v>
      </c>
      <c r="AM266" s="47"/>
      <c r="AN266" s="47"/>
      <c r="AO266" s="47"/>
      <c r="AP266" s="47"/>
      <c r="AQ266" s="47"/>
      <c r="AR266" s="47"/>
      <c r="AS266" s="47"/>
      <c r="AT266" s="47"/>
      <c r="AU266" s="47" t="s">
        <v>1895</v>
      </c>
      <c r="AV266" s="47"/>
      <c r="AW266" s="47"/>
    </row>
    <row r="267" spans="1:49" x14ac:dyDescent="0.2">
      <c r="A267" s="47">
        <v>10020294</v>
      </c>
      <c r="B267" s="47">
        <v>1150</v>
      </c>
      <c r="C267" s="47" t="s">
        <v>26</v>
      </c>
      <c r="D267" s="47" t="s">
        <v>573</v>
      </c>
      <c r="E267" s="48">
        <v>42368</v>
      </c>
      <c r="F267" s="47">
        <v>93632498</v>
      </c>
      <c r="G267" s="47">
        <v>1150</v>
      </c>
      <c r="H267" s="48">
        <v>42355</v>
      </c>
      <c r="I267" s="47"/>
      <c r="J267" s="47">
        <v>1201120</v>
      </c>
      <c r="K267" s="47" t="s">
        <v>117</v>
      </c>
      <c r="L267" s="47">
        <v>1307782</v>
      </c>
      <c r="M267" s="47" t="s">
        <v>119</v>
      </c>
      <c r="N267" s="47">
        <v>1171090</v>
      </c>
      <c r="O267" s="47" t="s">
        <v>118</v>
      </c>
      <c r="P267" s="47" t="s">
        <v>1421</v>
      </c>
      <c r="Q267" s="47"/>
      <c r="R267" s="47"/>
      <c r="S267" s="47">
        <v>60758088010</v>
      </c>
      <c r="T267" s="47" t="s">
        <v>1751</v>
      </c>
      <c r="U267" s="47" t="s">
        <v>1322</v>
      </c>
      <c r="V267" s="47" t="s">
        <v>1752</v>
      </c>
      <c r="W267" s="47" t="s">
        <v>1331</v>
      </c>
      <c r="X267" s="47">
        <v>90355</v>
      </c>
      <c r="Y267" s="47">
        <v>3168</v>
      </c>
      <c r="Z267" s="47">
        <v>288</v>
      </c>
      <c r="AA267" s="47" t="s">
        <v>1332</v>
      </c>
      <c r="AB267" s="47">
        <v>72</v>
      </c>
      <c r="AC267" s="47" t="s">
        <v>1333</v>
      </c>
      <c r="AD267" s="47">
        <v>123.55</v>
      </c>
      <c r="AE267" s="47" t="s">
        <v>182</v>
      </c>
      <c r="AF267" s="49">
        <v>391406.4</v>
      </c>
      <c r="AG267" s="49">
        <v>35582.400000000001</v>
      </c>
      <c r="AH267" s="47" t="s">
        <v>182</v>
      </c>
      <c r="AI267" s="47" t="s">
        <v>181</v>
      </c>
      <c r="AJ267" s="47" t="s">
        <v>97</v>
      </c>
      <c r="AK267" s="47"/>
      <c r="AL267" s="47" t="s">
        <v>63</v>
      </c>
      <c r="AM267" s="47" t="s">
        <v>81</v>
      </c>
      <c r="AN267" s="47" t="s">
        <v>88</v>
      </c>
      <c r="AO267" s="48">
        <v>42374</v>
      </c>
      <c r="AP267" s="47"/>
      <c r="AQ267" s="47"/>
      <c r="AR267" s="47"/>
      <c r="AS267" s="47"/>
      <c r="AT267" s="47"/>
      <c r="AU267" s="47">
        <v>87944972799595</v>
      </c>
      <c r="AV267" s="47" t="s">
        <v>89</v>
      </c>
      <c r="AW267" s="47" t="s">
        <v>1896</v>
      </c>
    </row>
    <row r="268" spans="1:49" x14ac:dyDescent="0.2">
      <c r="A268" s="47">
        <v>10020295</v>
      </c>
      <c r="B268" s="47">
        <v>200</v>
      </c>
      <c r="C268" s="47" t="s">
        <v>18</v>
      </c>
      <c r="D268" s="47" t="s">
        <v>573</v>
      </c>
      <c r="E268" s="48">
        <v>42368</v>
      </c>
      <c r="F268" s="47">
        <v>93637531</v>
      </c>
      <c r="G268" s="47">
        <v>200</v>
      </c>
      <c r="H268" s="48">
        <v>42359</v>
      </c>
      <c r="I268" s="48">
        <v>42361</v>
      </c>
      <c r="J268" s="47">
        <v>1201605</v>
      </c>
      <c r="K268" s="47" t="s">
        <v>155</v>
      </c>
      <c r="L268" s="47">
        <v>1310002</v>
      </c>
      <c r="M268" s="47" t="s">
        <v>155</v>
      </c>
      <c r="N268" s="47">
        <v>1172017</v>
      </c>
      <c r="O268" s="47" t="s">
        <v>155</v>
      </c>
      <c r="P268" s="47">
        <v>553141</v>
      </c>
      <c r="Q268" s="47"/>
      <c r="R268" s="47"/>
      <c r="S268" s="47">
        <v>228315573</v>
      </c>
      <c r="T268" s="47" t="s">
        <v>1897</v>
      </c>
      <c r="U268" s="47" t="s">
        <v>1322</v>
      </c>
      <c r="V268" s="47" t="s">
        <v>1889</v>
      </c>
      <c r="W268" s="47">
        <v>3</v>
      </c>
      <c r="X268" s="47" t="s">
        <v>1898</v>
      </c>
      <c r="Y268" s="47">
        <v>144</v>
      </c>
      <c r="Z268" s="47">
        <v>5</v>
      </c>
      <c r="AA268" s="47" t="s">
        <v>1332</v>
      </c>
      <c r="AB268" s="47">
        <v>24</v>
      </c>
      <c r="AC268" s="47" t="s">
        <v>1333</v>
      </c>
      <c r="AD268" s="47">
        <v>250.39</v>
      </c>
      <c r="AE268" s="47" t="s">
        <v>182</v>
      </c>
      <c r="AF268" s="49">
        <v>36056.160000000003</v>
      </c>
      <c r="AG268" s="49">
        <v>1251.95</v>
      </c>
      <c r="AH268" s="47" t="s">
        <v>182</v>
      </c>
      <c r="AI268" s="47" t="s">
        <v>181</v>
      </c>
      <c r="AJ268" s="47" t="s">
        <v>67</v>
      </c>
      <c r="AK268" s="47"/>
      <c r="AL268" s="47" t="s">
        <v>63</v>
      </c>
      <c r="AM268" s="47"/>
      <c r="AN268" s="47"/>
      <c r="AO268" s="47"/>
      <c r="AP268" s="47" t="s">
        <v>83</v>
      </c>
      <c r="AQ268" s="48">
        <v>42373</v>
      </c>
      <c r="AR268" s="47"/>
      <c r="AS268" s="47"/>
      <c r="AT268" s="47"/>
      <c r="AU268" s="47">
        <v>3511803385</v>
      </c>
      <c r="AV268" s="47"/>
      <c r="AW268" s="47"/>
    </row>
    <row r="269" spans="1:49" x14ac:dyDescent="0.2">
      <c r="A269" s="47">
        <v>10020296</v>
      </c>
      <c r="B269" s="47">
        <v>10</v>
      </c>
      <c r="C269" s="47" t="s">
        <v>27</v>
      </c>
      <c r="D269" s="47" t="s">
        <v>573</v>
      </c>
      <c r="E269" s="48">
        <v>42368</v>
      </c>
      <c r="F269" s="47">
        <v>93641983</v>
      </c>
      <c r="G269" s="47">
        <v>10</v>
      </c>
      <c r="H269" s="48">
        <v>42366</v>
      </c>
      <c r="I269" s="47"/>
      <c r="J269" s="47">
        <v>1201119</v>
      </c>
      <c r="K269" s="47" t="s">
        <v>996</v>
      </c>
      <c r="L269" s="47">
        <v>1201119</v>
      </c>
      <c r="M269" s="47" t="s">
        <v>996</v>
      </c>
      <c r="N269" s="47">
        <v>1201119</v>
      </c>
      <c r="O269" s="47" t="s">
        <v>996</v>
      </c>
      <c r="P269" s="47" t="s">
        <v>1899</v>
      </c>
      <c r="Q269" s="47"/>
      <c r="R269" s="47"/>
      <c r="S269" s="47">
        <v>591288830</v>
      </c>
      <c r="T269" s="47" t="s">
        <v>1482</v>
      </c>
      <c r="U269" s="47" t="s">
        <v>1322</v>
      </c>
      <c r="V269" s="47" t="s">
        <v>1483</v>
      </c>
      <c r="W269" s="47" t="s">
        <v>1331</v>
      </c>
      <c r="X269" s="47"/>
      <c r="Y269" s="47">
        <v>252</v>
      </c>
      <c r="Z269" s="47">
        <v>252</v>
      </c>
      <c r="AA269" s="47" t="s">
        <v>1332</v>
      </c>
      <c r="AB269" s="47">
        <v>72</v>
      </c>
      <c r="AC269" s="47" t="s">
        <v>1333</v>
      </c>
      <c r="AD269" s="47">
        <v>25</v>
      </c>
      <c r="AE269" s="47" t="s">
        <v>182</v>
      </c>
      <c r="AF269" s="49">
        <v>6300</v>
      </c>
      <c r="AG269" s="49">
        <v>6300</v>
      </c>
      <c r="AH269" s="47" t="s">
        <v>182</v>
      </c>
      <c r="AI269" s="47" t="s">
        <v>181</v>
      </c>
      <c r="AJ269" s="47" t="s">
        <v>102</v>
      </c>
      <c r="AK269" s="47"/>
      <c r="AL269" s="47" t="s">
        <v>63</v>
      </c>
      <c r="AM269" s="47"/>
      <c r="AN269" s="47"/>
      <c r="AO269" s="47"/>
      <c r="AP269" s="47" t="s">
        <v>64</v>
      </c>
      <c r="AQ269" s="48">
        <v>42368</v>
      </c>
      <c r="AR269" s="47"/>
      <c r="AS269" s="47"/>
      <c r="AT269" s="47"/>
      <c r="AU269" s="47">
        <v>649275199352</v>
      </c>
      <c r="AV269" s="47"/>
      <c r="AW269" s="47"/>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88"/>
  <sheetViews>
    <sheetView workbookViewId="0">
      <selection sqref="A1:XFD1048576"/>
    </sheetView>
  </sheetViews>
  <sheetFormatPr defaultRowHeight="12.75" x14ac:dyDescent="0.2"/>
  <cols>
    <col min="1" max="1" width="9" style="52" bestFit="1" customWidth="1"/>
    <col min="2" max="2" width="7.140625" style="52" bestFit="1" customWidth="1"/>
    <col min="3" max="3" width="18" style="52" bestFit="1" customWidth="1"/>
    <col min="4" max="4" width="12.5703125" style="52" bestFit="1" customWidth="1"/>
    <col min="5" max="5" width="10" style="52" bestFit="1" customWidth="1"/>
    <col min="6" max="6" width="13.28515625" style="52" bestFit="1" customWidth="1"/>
    <col min="7" max="7" width="5" style="52" bestFit="1" customWidth="1"/>
    <col min="8" max="8" width="8" style="52" bestFit="1" customWidth="1"/>
    <col min="9" max="9" width="34.5703125" style="52" bestFit="1" customWidth="1"/>
    <col min="10" max="10" width="8" style="52" bestFit="1" customWidth="1"/>
    <col min="11" max="11" width="44.140625" style="52" bestFit="1" customWidth="1"/>
    <col min="12" max="12" width="8" style="52" bestFit="1" customWidth="1"/>
    <col min="13" max="13" width="34.5703125" style="52" bestFit="1" customWidth="1"/>
    <col min="14" max="14" width="12.85546875" style="52" bestFit="1" customWidth="1"/>
    <col min="15" max="15" width="6.42578125" style="52" bestFit="1" customWidth="1"/>
    <col min="16" max="16" width="10.85546875" style="52" bestFit="1" customWidth="1"/>
    <col min="17" max="17" width="12" style="52" bestFit="1" customWidth="1"/>
    <col min="18" max="18" width="46.85546875" style="52" bestFit="1" customWidth="1"/>
    <col min="19" max="19" width="12.85546875" style="52" bestFit="1" customWidth="1"/>
    <col min="20" max="20" width="26.42578125" style="52" bestFit="1" customWidth="1"/>
    <col min="21" max="21" width="8.7109375" style="52" bestFit="1" customWidth="1"/>
    <col min="22" max="22" width="11" style="52" bestFit="1" customWidth="1"/>
    <col min="23" max="23" width="7.5703125" style="52" bestFit="1" customWidth="1"/>
    <col min="24" max="24" width="7.28515625" style="52" bestFit="1" customWidth="1"/>
    <col min="25" max="25" width="5.28515625" style="52" bestFit="1" customWidth="1"/>
    <col min="26" max="26" width="8.7109375" style="52" bestFit="1" customWidth="1"/>
    <col min="27" max="27" width="4.85546875" style="52" bestFit="1" customWidth="1"/>
    <col min="28" max="28" width="11.7109375" style="52" bestFit="1" customWidth="1"/>
    <col min="29" max="29" width="9.140625" style="52"/>
    <col min="30" max="30" width="4.85546875" style="52" bestFit="1" customWidth="1"/>
    <col min="31" max="31" width="5.85546875" style="52" bestFit="1" customWidth="1"/>
    <col min="32" max="32" width="6.42578125" style="52" bestFit="1" customWidth="1"/>
    <col min="33" max="33" width="9.85546875" style="52" bestFit="1" customWidth="1"/>
    <col min="34" max="34" width="17.42578125" style="52" bestFit="1" customWidth="1"/>
    <col min="35" max="35" width="37" style="52" bestFit="1" customWidth="1"/>
    <col min="36" max="36" width="16.85546875" style="52" bestFit="1" customWidth="1"/>
    <col min="37" max="37" width="15.85546875" style="52" bestFit="1" customWidth="1"/>
    <col min="38" max="38" width="18.28515625" style="52" bestFit="1" customWidth="1"/>
    <col min="39" max="39" width="11.5703125" style="52" bestFit="1" customWidth="1"/>
    <col min="40" max="40" width="12.5703125" style="52" bestFit="1" customWidth="1"/>
    <col min="41" max="41" width="17.85546875" style="52" bestFit="1" customWidth="1"/>
    <col min="42" max="42" width="37.7109375" style="52" bestFit="1" customWidth="1"/>
    <col min="43" max="43" width="118.28515625" style="52" bestFit="1" customWidth="1"/>
    <col min="44" max="16384" width="9.140625" style="52"/>
  </cols>
  <sheetData>
    <row r="1" spans="1:43" x14ac:dyDescent="0.2">
      <c r="A1" s="51" t="s">
        <v>31</v>
      </c>
      <c r="B1" s="51" t="s">
        <v>1303</v>
      </c>
      <c r="C1" s="51" t="s">
        <v>4</v>
      </c>
      <c r="D1" s="51" t="s">
        <v>32</v>
      </c>
      <c r="E1" s="51" t="s">
        <v>33</v>
      </c>
      <c r="F1" s="51" t="s">
        <v>175</v>
      </c>
      <c r="G1" s="51" t="s">
        <v>1304</v>
      </c>
      <c r="H1" s="51" t="s">
        <v>35</v>
      </c>
      <c r="I1" s="51" t="s">
        <v>36</v>
      </c>
      <c r="J1" s="51" t="s">
        <v>37</v>
      </c>
      <c r="K1" s="51" t="s">
        <v>38</v>
      </c>
      <c r="L1" s="51" t="s">
        <v>39</v>
      </c>
      <c r="M1" s="51" t="s">
        <v>40</v>
      </c>
      <c r="N1" s="51" t="s">
        <v>41</v>
      </c>
      <c r="O1" s="51" t="s">
        <v>177</v>
      </c>
      <c r="P1" s="51" t="s">
        <v>42</v>
      </c>
      <c r="Q1" s="51" t="s">
        <v>1305</v>
      </c>
      <c r="R1" s="51" t="s">
        <v>1306</v>
      </c>
      <c r="S1" s="51" t="s">
        <v>1307</v>
      </c>
      <c r="T1" s="51" t="s">
        <v>1308</v>
      </c>
      <c r="U1" s="51" t="s">
        <v>1309</v>
      </c>
      <c r="V1" s="51" t="s">
        <v>1310</v>
      </c>
      <c r="W1" s="51" t="s">
        <v>1311</v>
      </c>
      <c r="X1" s="51" t="s">
        <v>1312</v>
      </c>
      <c r="Y1" s="51" t="s">
        <v>1313</v>
      </c>
      <c r="Z1" s="51" t="s">
        <v>1316</v>
      </c>
      <c r="AA1" s="51" t="s">
        <v>1317</v>
      </c>
      <c r="AB1" s="51" t="s">
        <v>1318</v>
      </c>
      <c r="AC1" s="51" t="s">
        <v>1319</v>
      </c>
      <c r="AD1" s="51" t="s">
        <v>1317</v>
      </c>
      <c r="AE1" s="51" t="s">
        <v>178</v>
      </c>
      <c r="AF1" s="51" t="s">
        <v>43</v>
      </c>
      <c r="AG1" s="51" t="s">
        <v>46</v>
      </c>
      <c r="AH1" s="51" t="s">
        <v>47</v>
      </c>
      <c r="AI1" s="51" t="s">
        <v>48</v>
      </c>
      <c r="AJ1" s="51" t="s">
        <v>49</v>
      </c>
      <c r="AK1" s="51" t="s">
        <v>50</v>
      </c>
      <c r="AL1" s="51" t="s">
        <v>51</v>
      </c>
      <c r="AM1" s="51" t="s">
        <v>52</v>
      </c>
      <c r="AN1" s="51" t="s">
        <v>53</v>
      </c>
      <c r="AO1" s="51" t="s">
        <v>54</v>
      </c>
      <c r="AP1" s="51" t="s">
        <v>56</v>
      </c>
      <c r="AQ1" s="51" t="s">
        <v>57</v>
      </c>
    </row>
    <row r="2" spans="1:43" x14ac:dyDescent="0.2">
      <c r="A2" s="51">
        <v>10020299</v>
      </c>
      <c r="B2" s="51">
        <v>10</v>
      </c>
      <c r="C2" s="51" t="s">
        <v>18</v>
      </c>
      <c r="D2" s="51" t="s">
        <v>432</v>
      </c>
      <c r="E2" s="53">
        <v>42373</v>
      </c>
      <c r="F2" s="51">
        <v>93634689</v>
      </c>
      <c r="G2" s="51">
        <v>10</v>
      </c>
      <c r="H2" s="51">
        <v>1201354</v>
      </c>
      <c r="I2" s="51" t="s">
        <v>778</v>
      </c>
      <c r="J2" s="51">
        <v>1061270</v>
      </c>
      <c r="K2" s="51" t="s">
        <v>779</v>
      </c>
      <c r="L2" s="51">
        <v>1171836</v>
      </c>
      <c r="M2" s="51" t="s">
        <v>780</v>
      </c>
      <c r="N2" s="51" t="s">
        <v>1901</v>
      </c>
      <c r="O2" s="51"/>
      <c r="P2" s="51"/>
      <c r="Q2" s="51">
        <v>52544027928</v>
      </c>
      <c r="R2" s="51" t="s">
        <v>1902</v>
      </c>
      <c r="S2" s="51" t="s">
        <v>1344</v>
      </c>
      <c r="T2" s="51" t="s">
        <v>1903</v>
      </c>
      <c r="U2" s="51" t="s">
        <v>1331</v>
      </c>
      <c r="V2" s="51"/>
      <c r="W2" s="51">
        <v>5604</v>
      </c>
      <c r="X2" s="51">
        <v>4</v>
      </c>
      <c r="Y2" s="51" t="s">
        <v>1332</v>
      </c>
      <c r="Z2" s="51">
        <v>27</v>
      </c>
      <c r="AA2" s="51" t="s">
        <v>182</v>
      </c>
      <c r="AB2" s="54">
        <v>151308</v>
      </c>
      <c r="AC2" s="51">
        <v>108</v>
      </c>
      <c r="AD2" s="51" t="s">
        <v>182</v>
      </c>
      <c r="AE2" s="51" t="s">
        <v>181</v>
      </c>
      <c r="AF2" s="51" t="s">
        <v>67</v>
      </c>
      <c r="AG2" s="51" t="s">
        <v>69</v>
      </c>
      <c r="AH2" s="51" t="s">
        <v>70</v>
      </c>
      <c r="AI2" s="51" t="s">
        <v>76</v>
      </c>
      <c r="AJ2" s="53">
        <v>42377</v>
      </c>
      <c r="AK2" s="51" t="s">
        <v>64</v>
      </c>
      <c r="AL2" s="53">
        <v>42373</v>
      </c>
      <c r="AM2" s="51" t="s">
        <v>100</v>
      </c>
      <c r="AN2" s="51">
        <v>62073500</v>
      </c>
      <c r="AO2" s="53">
        <v>42403</v>
      </c>
      <c r="AP2" s="51" t="s">
        <v>77</v>
      </c>
      <c r="AQ2" s="51" t="s">
        <v>355</v>
      </c>
    </row>
    <row r="3" spans="1:43" x14ac:dyDescent="0.2">
      <c r="A3" s="51">
        <v>10020300</v>
      </c>
      <c r="B3" s="51">
        <v>1060</v>
      </c>
      <c r="C3" s="51" t="s">
        <v>22</v>
      </c>
      <c r="D3" s="51" t="s">
        <v>78</v>
      </c>
      <c r="E3" s="53">
        <v>42373</v>
      </c>
      <c r="F3" s="51">
        <v>93639927</v>
      </c>
      <c r="G3" s="51">
        <v>1060</v>
      </c>
      <c r="H3" s="51">
        <v>1201047</v>
      </c>
      <c r="I3" s="51" t="s">
        <v>79</v>
      </c>
      <c r="J3" s="51">
        <v>1064887</v>
      </c>
      <c r="K3" s="51" t="s">
        <v>80</v>
      </c>
      <c r="L3" s="51">
        <v>1171089</v>
      </c>
      <c r="M3" s="51" t="s">
        <v>75</v>
      </c>
      <c r="N3" s="51">
        <v>26989088</v>
      </c>
      <c r="O3" s="51"/>
      <c r="P3" s="51"/>
      <c r="Q3" s="51">
        <v>591272060</v>
      </c>
      <c r="R3" s="51" t="s">
        <v>1558</v>
      </c>
      <c r="S3" s="51" t="s">
        <v>1322</v>
      </c>
      <c r="T3" s="51" t="s">
        <v>1559</v>
      </c>
      <c r="U3" s="51" t="s">
        <v>1331</v>
      </c>
      <c r="V3" s="51" t="s">
        <v>1560</v>
      </c>
      <c r="W3" s="51">
        <v>24</v>
      </c>
      <c r="X3" s="51">
        <v>24</v>
      </c>
      <c r="Y3" s="51" t="s">
        <v>1332</v>
      </c>
      <c r="Z3" s="51">
        <v>822.46</v>
      </c>
      <c r="AA3" s="51" t="s">
        <v>182</v>
      </c>
      <c r="AB3" s="54">
        <v>19739.04</v>
      </c>
      <c r="AC3" s="54">
        <v>19739.04</v>
      </c>
      <c r="AD3" s="51" t="s">
        <v>182</v>
      </c>
      <c r="AE3" s="51" t="s">
        <v>181</v>
      </c>
      <c r="AF3" s="51" t="s">
        <v>102</v>
      </c>
      <c r="AG3" s="51" t="s">
        <v>63</v>
      </c>
      <c r="AH3" s="51"/>
      <c r="AI3" s="51"/>
      <c r="AJ3" s="51"/>
      <c r="AK3" s="51" t="s">
        <v>64</v>
      </c>
      <c r="AL3" s="53">
        <v>42373</v>
      </c>
      <c r="AM3" s="51"/>
      <c r="AN3" s="51"/>
      <c r="AO3" s="51"/>
      <c r="AP3" s="51"/>
      <c r="AQ3" s="51"/>
    </row>
    <row r="4" spans="1:43" x14ac:dyDescent="0.2">
      <c r="A4" s="51">
        <v>10020302</v>
      </c>
      <c r="B4" s="51">
        <v>820</v>
      </c>
      <c r="C4" s="51" t="s">
        <v>26</v>
      </c>
      <c r="D4" s="51" t="s">
        <v>78</v>
      </c>
      <c r="E4" s="53">
        <v>42373</v>
      </c>
      <c r="F4" s="51">
        <v>93633128</v>
      </c>
      <c r="G4" s="51">
        <v>820</v>
      </c>
      <c r="H4" s="51">
        <v>1201047</v>
      </c>
      <c r="I4" s="51" t="s">
        <v>79</v>
      </c>
      <c r="J4" s="51">
        <v>1003718</v>
      </c>
      <c r="K4" s="51" t="s">
        <v>80</v>
      </c>
      <c r="L4" s="51">
        <v>1171089</v>
      </c>
      <c r="M4" s="51" t="s">
        <v>75</v>
      </c>
      <c r="N4" s="51">
        <v>17401237</v>
      </c>
      <c r="O4" s="51"/>
      <c r="P4" s="51"/>
      <c r="Q4" s="51">
        <v>228259711</v>
      </c>
      <c r="R4" s="51" t="s">
        <v>1904</v>
      </c>
      <c r="S4" s="51" t="s">
        <v>1322</v>
      </c>
      <c r="T4" s="51" t="s">
        <v>1905</v>
      </c>
      <c r="U4" s="51" t="s">
        <v>1331</v>
      </c>
      <c r="V4" s="51" t="s">
        <v>1906</v>
      </c>
      <c r="W4" s="51">
        <v>24</v>
      </c>
      <c r="X4" s="51">
        <v>24</v>
      </c>
      <c r="Y4" s="51" t="s">
        <v>1332</v>
      </c>
      <c r="Z4" s="51">
        <v>31.84</v>
      </c>
      <c r="AA4" s="51" t="s">
        <v>182</v>
      </c>
      <c r="AB4" s="51">
        <v>764.16</v>
      </c>
      <c r="AC4" s="51">
        <v>764.16</v>
      </c>
      <c r="AD4" s="51" t="s">
        <v>182</v>
      </c>
      <c r="AE4" s="51" t="s">
        <v>181</v>
      </c>
      <c r="AF4" s="51" t="s">
        <v>67</v>
      </c>
      <c r="AG4" s="51" t="s">
        <v>63</v>
      </c>
      <c r="AH4" s="51" t="s">
        <v>81</v>
      </c>
      <c r="AI4" s="51" t="s">
        <v>88</v>
      </c>
      <c r="AJ4" s="53">
        <v>42389</v>
      </c>
      <c r="AK4" s="51" t="s">
        <v>64</v>
      </c>
      <c r="AL4" s="53">
        <v>42373</v>
      </c>
      <c r="AM4" s="51"/>
      <c r="AN4" s="51"/>
      <c r="AO4" s="51"/>
      <c r="AP4" s="51" t="s">
        <v>89</v>
      </c>
      <c r="AQ4" s="51" t="s">
        <v>274</v>
      </c>
    </row>
    <row r="5" spans="1:43" x14ac:dyDescent="0.2">
      <c r="A5" s="51">
        <v>10020303</v>
      </c>
      <c r="B5" s="51">
        <v>2210</v>
      </c>
      <c r="C5" s="51" t="s">
        <v>26</v>
      </c>
      <c r="D5" s="51" t="s">
        <v>78</v>
      </c>
      <c r="E5" s="53">
        <v>42373</v>
      </c>
      <c r="F5" s="51">
        <v>93634503</v>
      </c>
      <c r="G5" s="51">
        <v>2210</v>
      </c>
      <c r="H5" s="51">
        <v>1201047</v>
      </c>
      <c r="I5" s="51" t="s">
        <v>79</v>
      </c>
      <c r="J5" s="51">
        <v>1051549</v>
      </c>
      <c r="K5" s="51" t="s">
        <v>85</v>
      </c>
      <c r="L5" s="51">
        <v>1171089</v>
      </c>
      <c r="M5" s="51" t="s">
        <v>75</v>
      </c>
      <c r="N5" s="51">
        <v>12917993</v>
      </c>
      <c r="O5" s="51"/>
      <c r="P5" s="51"/>
      <c r="Q5" s="51">
        <v>228284903</v>
      </c>
      <c r="R5" s="51" t="s">
        <v>1488</v>
      </c>
      <c r="S5" s="51" t="s">
        <v>1322</v>
      </c>
      <c r="T5" s="51" t="s">
        <v>1489</v>
      </c>
      <c r="U5" s="51" t="s">
        <v>1331</v>
      </c>
      <c r="V5" s="51" t="s">
        <v>1907</v>
      </c>
      <c r="W5" s="51">
        <v>24</v>
      </c>
      <c r="X5" s="51">
        <v>24</v>
      </c>
      <c r="Y5" s="51" t="s">
        <v>1332</v>
      </c>
      <c r="Z5" s="51">
        <v>242.88</v>
      </c>
      <c r="AA5" s="51" t="s">
        <v>182</v>
      </c>
      <c r="AB5" s="54">
        <v>5829.12</v>
      </c>
      <c r="AC5" s="54">
        <v>5829.12</v>
      </c>
      <c r="AD5" s="51" t="s">
        <v>182</v>
      </c>
      <c r="AE5" s="51" t="s">
        <v>181</v>
      </c>
      <c r="AF5" s="51" t="s">
        <v>91</v>
      </c>
      <c r="AG5" s="51" t="s">
        <v>63</v>
      </c>
      <c r="AH5" s="51" t="s">
        <v>81</v>
      </c>
      <c r="AI5" s="51" t="s">
        <v>88</v>
      </c>
      <c r="AJ5" s="53">
        <v>42394</v>
      </c>
      <c r="AK5" s="51" t="s">
        <v>64</v>
      </c>
      <c r="AL5" s="53">
        <v>42373</v>
      </c>
      <c r="AM5" s="51"/>
      <c r="AN5" s="51"/>
      <c r="AO5" s="51"/>
      <c r="AP5" s="51" t="s">
        <v>89</v>
      </c>
      <c r="AQ5" s="51" t="s">
        <v>872</v>
      </c>
    </row>
    <row r="6" spans="1:43" x14ac:dyDescent="0.2">
      <c r="A6" s="51">
        <v>10020304</v>
      </c>
      <c r="B6" s="51">
        <v>1400</v>
      </c>
      <c r="C6" s="51" t="s">
        <v>26</v>
      </c>
      <c r="D6" s="51" t="s">
        <v>78</v>
      </c>
      <c r="E6" s="53">
        <v>42373</v>
      </c>
      <c r="F6" s="51">
        <v>93634534</v>
      </c>
      <c r="G6" s="51">
        <v>1400</v>
      </c>
      <c r="H6" s="51">
        <v>1201047</v>
      </c>
      <c r="I6" s="51" t="s">
        <v>79</v>
      </c>
      <c r="J6" s="51">
        <v>1051549</v>
      </c>
      <c r="K6" s="51" t="s">
        <v>85</v>
      </c>
      <c r="L6" s="51">
        <v>1171089</v>
      </c>
      <c r="M6" s="51" t="s">
        <v>75</v>
      </c>
      <c r="N6" s="51">
        <v>12917993</v>
      </c>
      <c r="O6" s="51"/>
      <c r="P6" s="51"/>
      <c r="Q6" s="51">
        <v>228266611</v>
      </c>
      <c r="R6" s="51" t="s">
        <v>1908</v>
      </c>
      <c r="S6" s="51" t="s">
        <v>1322</v>
      </c>
      <c r="T6" s="51" t="s">
        <v>1367</v>
      </c>
      <c r="U6" s="51" t="s">
        <v>1331</v>
      </c>
      <c r="V6" s="51" t="s">
        <v>1909</v>
      </c>
      <c r="W6" s="51">
        <v>96</v>
      </c>
      <c r="X6" s="51">
        <v>24</v>
      </c>
      <c r="Y6" s="51" t="s">
        <v>1332</v>
      </c>
      <c r="Z6" s="51">
        <v>8.75</v>
      </c>
      <c r="AA6" s="51" t="s">
        <v>182</v>
      </c>
      <c r="AB6" s="51">
        <v>840</v>
      </c>
      <c r="AC6" s="51">
        <v>210</v>
      </c>
      <c r="AD6" s="51" t="s">
        <v>182</v>
      </c>
      <c r="AE6" s="51" t="s">
        <v>181</v>
      </c>
      <c r="AF6" s="51" t="s">
        <v>91</v>
      </c>
      <c r="AG6" s="51" t="s">
        <v>69</v>
      </c>
      <c r="AH6" s="51" t="s">
        <v>94</v>
      </c>
      <c r="AI6" s="51" t="s">
        <v>95</v>
      </c>
      <c r="AJ6" s="53">
        <v>42380</v>
      </c>
      <c r="AK6" s="51" t="s">
        <v>64</v>
      </c>
      <c r="AL6" s="53">
        <v>42373</v>
      </c>
      <c r="AM6" s="51" t="s">
        <v>100</v>
      </c>
      <c r="AN6" s="51">
        <v>62076595</v>
      </c>
      <c r="AO6" s="53">
        <v>42408</v>
      </c>
      <c r="AP6" s="51" t="s">
        <v>96</v>
      </c>
      <c r="AQ6" s="51" t="s">
        <v>1910</v>
      </c>
    </row>
    <row r="7" spans="1:43" x14ac:dyDescent="0.2">
      <c r="A7" s="51">
        <v>10020305</v>
      </c>
      <c r="B7" s="51">
        <v>1810</v>
      </c>
      <c r="C7" s="51" t="s">
        <v>26</v>
      </c>
      <c r="D7" s="51" t="s">
        <v>78</v>
      </c>
      <c r="E7" s="53">
        <v>42373</v>
      </c>
      <c r="F7" s="51">
        <v>93636963</v>
      </c>
      <c r="G7" s="51">
        <v>1810</v>
      </c>
      <c r="H7" s="51">
        <v>1201047</v>
      </c>
      <c r="I7" s="51" t="s">
        <v>79</v>
      </c>
      <c r="J7" s="51">
        <v>1051549</v>
      </c>
      <c r="K7" s="51" t="s">
        <v>85</v>
      </c>
      <c r="L7" s="51">
        <v>1171089</v>
      </c>
      <c r="M7" s="51" t="s">
        <v>75</v>
      </c>
      <c r="N7" s="51">
        <v>12917993</v>
      </c>
      <c r="O7" s="51"/>
      <c r="P7" s="51"/>
      <c r="Q7" s="51">
        <v>591396501</v>
      </c>
      <c r="R7" s="51" t="s">
        <v>1911</v>
      </c>
      <c r="S7" s="51" t="s">
        <v>1322</v>
      </c>
      <c r="T7" s="51" t="s">
        <v>1912</v>
      </c>
      <c r="U7" s="51" t="s">
        <v>1331</v>
      </c>
      <c r="V7" s="51">
        <v>502390</v>
      </c>
      <c r="W7" s="51">
        <v>144</v>
      </c>
      <c r="X7" s="51">
        <v>144</v>
      </c>
      <c r="Y7" s="51" t="s">
        <v>1332</v>
      </c>
      <c r="Z7" s="51">
        <v>323.97000000000003</v>
      </c>
      <c r="AA7" s="51" t="s">
        <v>182</v>
      </c>
      <c r="AB7" s="54">
        <v>46651.68</v>
      </c>
      <c r="AC7" s="51">
        <v>0</v>
      </c>
      <c r="AD7" s="51" t="s">
        <v>182</v>
      </c>
      <c r="AE7" s="51" t="s">
        <v>181</v>
      </c>
      <c r="AF7" s="51" t="s">
        <v>97</v>
      </c>
      <c r="AG7" s="51" t="s">
        <v>63</v>
      </c>
      <c r="AH7" s="51" t="s">
        <v>81</v>
      </c>
      <c r="AI7" s="51" t="s">
        <v>88</v>
      </c>
      <c r="AJ7" s="53">
        <v>42375</v>
      </c>
      <c r="AK7" s="51" t="s">
        <v>83</v>
      </c>
      <c r="AL7" s="53">
        <v>42388</v>
      </c>
      <c r="AM7" s="51"/>
      <c r="AN7" s="51"/>
      <c r="AO7" s="51"/>
      <c r="AP7" s="51" t="s">
        <v>89</v>
      </c>
      <c r="AQ7" s="51" t="s">
        <v>1913</v>
      </c>
    </row>
    <row r="8" spans="1:43" x14ac:dyDescent="0.2">
      <c r="A8" s="51">
        <v>10020306</v>
      </c>
      <c r="B8" s="51">
        <v>80</v>
      </c>
      <c r="C8" s="51" t="s">
        <v>26</v>
      </c>
      <c r="D8" s="51" t="s">
        <v>78</v>
      </c>
      <c r="E8" s="53">
        <v>42373</v>
      </c>
      <c r="F8" s="51">
        <v>93637610</v>
      </c>
      <c r="G8" s="51">
        <v>80</v>
      </c>
      <c r="H8" s="51">
        <v>1201731</v>
      </c>
      <c r="I8" s="51" t="s">
        <v>342</v>
      </c>
      <c r="J8" s="51">
        <v>1319945</v>
      </c>
      <c r="K8" s="51" t="s">
        <v>343</v>
      </c>
      <c r="L8" s="51">
        <v>1171089</v>
      </c>
      <c r="M8" s="51" t="s">
        <v>75</v>
      </c>
      <c r="N8" s="51">
        <v>300074836</v>
      </c>
      <c r="O8" s="51"/>
      <c r="P8" s="51"/>
      <c r="Q8" s="51">
        <v>45963061359</v>
      </c>
      <c r="R8" s="51" t="s">
        <v>1914</v>
      </c>
      <c r="S8" s="51" t="s">
        <v>1322</v>
      </c>
      <c r="T8" s="51" t="s">
        <v>1915</v>
      </c>
      <c r="U8" s="51" t="s">
        <v>1331</v>
      </c>
      <c r="V8" s="51"/>
      <c r="W8" s="51">
        <v>3500</v>
      </c>
      <c r="X8" s="51">
        <v>5</v>
      </c>
      <c r="Y8" s="51" t="s">
        <v>1332</v>
      </c>
      <c r="Z8" s="51">
        <v>100</v>
      </c>
      <c r="AA8" s="51" t="s">
        <v>182</v>
      </c>
      <c r="AB8" s="54">
        <v>350000</v>
      </c>
      <c r="AC8" s="51">
        <v>500</v>
      </c>
      <c r="AD8" s="51" t="s">
        <v>182</v>
      </c>
      <c r="AE8" s="51" t="s">
        <v>181</v>
      </c>
      <c r="AF8" s="51" t="s">
        <v>67</v>
      </c>
      <c r="AG8" s="51" t="s">
        <v>69</v>
      </c>
      <c r="AH8" s="51" t="s">
        <v>105</v>
      </c>
      <c r="AI8" s="51" t="s">
        <v>82</v>
      </c>
      <c r="AJ8" s="53">
        <v>42389</v>
      </c>
      <c r="AK8" s="51" t="s">
        <v>64</v>
      </c>
      <c r="AL8" s="53">
        <v>42373</v>
      </c>
      <c r="AM8" s="51" t="s">
        <v>100</v>
      </c>
      <c r="AN8" s="51">
        <v>62070541</v>
      </c>
      <c r="AO8" s="53">
        <v>42398</v>
      </c>
      <c r="AP8" s="51" t="s">
        <v>89</v>
      </c>
      <c r="AQ8" s="51" t="s">
        <v>1916</v>
      </c>
    </row>
    <row r="9" spans="1:43" x14ac:dyDescent="0.2">
      <c r="A9" s="51">
        <v>10020307</v>
      </c>
      <c r="B9" s="51">
        <v>1660</v>
      </c>
      <c r="C9" s="51" t="s">
        <v>18</v>
      </c>
      <c r="D9" s="51" t="s">
        <v>573</v>
      </c>
      <c r="E9" s="53">
        <v>42373</v>
      </c>
      <c r="F9" s="51">
        <v>93641990</v>
      </c>
      <c r="G9" s="51">
        <v>1660</v>
      </c>
      <c r="H9" s="51">
        <v>1201120</v>
      </c>
      <c r="I9" s="51" t="s">
        <v>117</v>
      </c>
      <c r="J9" s="51">
        <v>1307782</v>
      </c>
      <c r="K9" s="51" t="s">
        <v>119</v>
      </c>
      <c r="L9" s="51">
        <v>1171090</v>
      </c>
      <c r="M9" s="51" t="s">
        <v>118</v>
      </c>
      <c r="N9" s="51" t="s">
        <v>1891</v>
      </c>
      <c r="O9" s="51"/>
      <c r="P9" s="51"/>
      <c r="Q9" s="51">
        <v>591379883</v>
      </c>
      <c r="R9" s="51" t="s">
        <v>1848</v>
      </c>
      <c r="S9" s="51" t="s">
        <v>1322</v>
      </c>
      <c r="T9" s="51" t="s">
        <v>1581</v>
      </c>
      <c r="U9" s="51" t="s">
        <v>1331</v>
      </c>
      <c r="V9" s="51"/>
      <c r="W9" s="51">
        <v>3072</v>
      </c>
      <c r="X9" s="51">
        <v>24</v>
      </c>
      <c r="Y9" s="51" t="s">
        <v>1332</v>
      </c>
      <c r="Z9" s="51">
        <v>3.75</v>
      </c>
      <c r="AA9" s="51" t="s">
        <v>182</v>
      </c>
      <c r="AB9" s="54">
        <v>11520</v>
      </c>
      <c r="AC9" s="51">
        <v>90</v>
      </c>
      <c r="AD9" s="51" t="s">
        <v>182</v>
      </c>
      <c r="AE9" s="51" t="s">
        <v>181</v>
      </c>
      <c r="AF9" s="51" t="s">
        <v>123</v>
      </c>
      <c r="AG9" s="51" t="s">
        <v>69</v>
      </c>
      <c r="AH9" s="51" t="s">
        <v>70</v>
      </c>
      <c r="AI9" s="51" t="s">
        <v>76</v>
      </c>
      <c r="AJ9" s="53">
        <v>42422</v>
      </c>
      <c r="AK9" s="51" t="s">
        <v>64</v>
      </c>
      <c r="AL9" s="53">
        <v>42418</v>
      </c>
      <c r="AM9" s="51" t="s">
        <v>100</v>
      </c>
      <c r="AN9" s="51">
        <v>62086921</v>
      </c>
      <c r="AO9" s="53">
        <v>42424</v>
      </c>
      <c r="AP9" s="51" t="s">
        <v>77</v>
      </c>
      <c r="AQ9" s="51" t="s">
        <v>1013</v>
      </c>
    </row>
    <row r="10" spans="1:43" x14ac:dyDescent="0.2">
      <c r="A10" s="51">
        <v>10020308</v>
      </c>
      <c r="B10" s="51">
        <v>290</v>
      </c>
      <c r="C10" s="51" t="s">
        <v>18</v>
      </c>
      <c r="D10" s="51" t="s">
        <v>78</v>
      </c>
      <c r="E10" s="53">
        <v>42373</v>
      </c>
      <c r="F10" s="51">
        <v>93643401</v>
      </c>
      <c r="G10" s="51">
        <v>290</v>
      </c>
      <c r="H10" s="51">
        <v>1201315</v>
      </c>
      <c r="I10" s="51" t="s">
        <v>256</v>
      </c>
      <c r="J10" s="51">
        <v>1319929</v>
      </c>
      <c r="K10" s="51" t="s">
        <v>558</v>
      </c>
      <c r="L10" s="51">
        <v>1201315</v>
      </c>
      <c r="M10" s="51" t="s">
        <v>256</v>
      </c>
      <c r="N10" s="51">
        <v>5689494</v>
      </c>
      <c r="O10" s="51"/>
      <c r="P10" s="51"/>
      <c r="Q10" s="51">
        <v>591379730</v>
      </c>
      <c r="R10" s="51" t="s">
        <v>1917</v>
      </c>
      <c r="S10" s="51" t="s">
        <v>1322</v>
      </c>
      <c r="T10" s="51" t="s">
        <v>1412</v>
      </c>
      <c r="U10" s="51" t="s">
        <v>1331</v>
      </c>
      <c r="V10" s="51"/>
      <c r="W10" s="51">
        <v>1008</v>
      </c>
      <c r="X10" s="51">
        <v>4</v>
      </c>
      <c r="Y10" s="51" t="s">
        <v>1332</v>
      </c>
      <c r="Z10" s="51">
        <v>4.8</v>
      </c>
      <c r="AA10" s="51" t="s">
        <v>182</v>
      </c>
      <c r="AB10" s="54">
        <v>4838.3999999999996</v>
      </c>
      <c r="AC10" s="51">
        <v>19.2</v>
      </c>
      <c r="AD10" s="51" t="s">
        <v>182</v>
      </c>
      <c r="AE10" s="51" t="s">
        <v>181</v>
      </c>
      <c r="AF10" s="51" t="s">
        <v>102</v>
      </c>
      <c r="AG10" s="51" t="s">
        <v>69</v>
      </c>
      <c r="AH10" s="51" t="s">
        <v>70</v>
      </c>
      <c r="AI10" s="51" t="s">
        <v>76</v>
      </c>
      <c r="AJ10" s="53">
        <v>42377</v>
      </c>
      <c r="AK10" s="51" t="s">
        <v>64</v>
      </c>
      <c r="AL10" s="53">
        <v>42373</v>
      </c>
      <c r="AM10" s="51" t="s">
        <v>100</v>
      </c>
      <c r="AN10" s="51">
        <v>62067171</v>
      </c>
      <c r="AO10" s="53">
        <v>42394</v>
      </c>
      <c r="AP10" s="51" t="s">
        <v>77</v>
      </c>
      <c r="AQ10" s="51" t="s">
        <v>355</v>
      </c>
    </row>
    <row r="11" spans="1:43" x14ac:dyDescent="0.2">
      <c r="A11" s="51">
        <v>10020309</v>
      </c>
      <c r="B11" s="51">
        <v>450</v>
      </c>
      <c r="C11" s="51" t="s">
        <v>18</v>
      </c>
      <c r="D11" s="51" t="s">
        <v>573</v>
      </c>
      <c r="E11" s="53">
        <v>42373</v>
      </c>
      <c r="F11" s="51">
        <v>93641992</v>
      </c>
      <c r="G11" s="51">
        <v>450</v>
      </c>
      <c r="H11" s="51">
        <v>1201120</v>
      </c>
      <c r="I11" s="51" t="s">
        <v>117</v>
      </c>
      <c r="J11" s="51">
        <v>1307782</v>
      </c>
      <c r="K11" s="51" t="s">
        <v>119</v>
      </c>
      <c r="L11" s="51">
        <v>1171090</v>
      </c>
      <c r="M11" s="51" t="s">
        <v>118</v>
      </c>
      <c r="N11" s="51" t="s">
        <v>1891</v>
      </c>
      <c r="O11" s="51" t="s">
        <v>1918</v>
      </c>
      <c r="P11" s="51">
        <v>93641992</v>
      </c>
      <c r="Q11" s="51">
        <v>45963014205</v>
      </c>
      <c r="R11" s="51" t="s">
        <v>1919</v>
      </c>
      <c r="S11" s="51" t="s">
        <v>1322</v>
      </c>
      <c r="T11" s="51" t="s">
        <v>1599</v>
      </c>
      <c r="U11" s="51" t="s">
        <v>1331</v>
      </c>
      <c r="V11" s="51" t="s">
        <v>1920</v>
      </c>
      <c r="W11" s="51">
        <v>12</v>
      </c>
      <c r="X11" s="51">
        <v>1</v>
      </c>
      <c r="Y11" s="51" t="s">
        <v>1332</v>
      </c>
      <c r="Z11" s="51">
        <v>747.65</v>
      </c>
      <c r="AA11" s="51" t="s">
        <v>182</v>
      </c>
      <c r="AB11" s="54">
        <v>8971.7999999999993</v>
      </c>
      <c r="AC11" s="51">
        <v>747.65</v>
      </c>
      <c r="AD11" s="51" t="s">
        <v>182</v>
      </c>
      <c r="AE11" s="51" t="s">
        <v>181</v>
      </c>
      <c r="AF11" s="51" t="s">
        <v>123</v>
      </c>
      <c r="AG11" s="51" t="s">
        <v>63</v>
      </c>
      <c r="AH11" s="51" t="s">
        <v>70</v>
      </c>
      <c r="AI11" s="51" t="s">
        <v>76</v>
      </c>
      <c r="AJ11" s="53">
        <v>42429</v>
      </c>
      <c r="AK11" s="51" t="s">
        <v>64</v>
      </c>
      <c r="AL11" s="53">
        <v>42425</v>
      </c>
      <c r="AM11" s="51"/>
      <c r="AN11" s="51"/>
      <c r="AO11" s="51"/>
      <c r="AP11" s="51" t="s">
        <v>77</v>
      </c>
      <c r="AQ11" s="51" t="s">
        <v>323</v>
      </c>
    </row>
    <row r="12" spans="1:43" x14ac:dyDescent="0.2">
      <c r="A12" s="51">
        <v>10020310</v>
      </c>
      <c r="B12" s="51">
        <v>20</v>
      </c>
      <c r="C12" s="51" t="s">
        <v>18</v>
      </c>
      <c r="D12" s="51" t="s">
        <v>573</v>
      </c>
      <c r="E12" s="53">
        <v>42373</v>
      </c>
      <c r="F12" s="51">
        <v>93642605</v>
      </c>
      <c r="G12" s="51">
        <v>20</v>
      </c>
      <c r="H12" s="51">
        <v>1201120</v>
      </c>
      <c r="I12" s="51" t="s">
        <v>117</v>
      </c>
      <c r="J12" s="51">
        <v>1307782</v>
      </c>
      <c r="K12" s="51" t="s">
        <v>119</v>
      </c>
      <c r="L12" s="51">
        <v>1171090</v>
      </c>
      <c r="M12" s="51" t="s">
        <v>118</v>
      </c>
      <c r="N12" s="51" t="s">
        <v>1921</v>
      </c>
      <c r="O12" s="51"/>
      <c r="P12" s="51"/>
      <c r="Q12" s="51">
        <v>472022041</v>
      </c>
      <c r="R12" s="51" t="s">
        <v>1851</v>
      </c>
      <c r="S12" s="51" t="s">
        <v>1459</v>
      </c>
      <c r="T12" s="51" t="s">
        <v>1546</v>
      </c>
      <c r="U12" s="51" t="s">
        <v>1459</v>
      </c>
      <c r="V12" s="51" t="s">
        <v>1852</v>
      </c>
      <c r="W12" s="51">
        <v>252</v>
      </c>
      <c r="X12" s="51">
        <v>36</v>
      </c>
      <c r="Y12" s="51" t="s">
        <v>1332</v>
      </c>
      <c r="Z12" s="51">
        <v>4</v>
      </c>
      <c r="AA12" s="51" t="s">
        <v>182</v>
      </c>
      <c r="AB12" s="54">
        <v>1008</v>
      </c>
      <c r="AC12" s="51">
        <v>144</v>
      </c>
      <c r="AD12" s="51" t="s">
        <v>182</v>
      </c>
      <c r="AE12" s="51" t="s">
        <v>181</v>
      </c>
      <c r="AF12" s="51" t="s">
        <v>102</v>
      </c>
      <c r="AG12" s="51" t="s">
        <v>69</v>
      </c>
      <c r="AH12" s="51" t="s">
        <v>70</v>
      </c>
      <c r="AI12" s="51" t="s">
        <v>76</v>
      </c>
      <c r="AJ12" s="53">
        <v>42377</v>
      </c>
      <c r="AK12" s="51" t="s">
        <v>64</v>
      </c>
      <c r="AL12" s="53">
        <v>42373</v>
      </c>
      <c r="AM12" s="51" t="s">
        <v>100</v>
      </c>
      <c r="AN12" s="51">
        <v>62073496</v>
      </c>
      <c r="AO12" s="53">
        <v>42403</v>
      </c>
      <c r="AP12" s="51" t="s">
        <v>77</v>
      </c>
      <c r="AQ12" s="51" t="s">
        <v>658</v>
      </c>
    </row>
    <row r="13" spans="1:43" x14ac:dyDescent="0.2">
      <c r="A13" s="51">
        <v>10020311</v>
      </c>
      <c r="B13" s="51">
        <v>120</v>
      </c>
      <c r="C13" s="51" t="s">
        <v>18</v>
      </c>
      <c r="D13" s="51" t="s">
        <v>573</v>
      </c>
      <c r="E13" s="53">
        <v>42373</v>
      </c>
      <c r="F13" s="51">
        <v>93641990</v>
      </c>
      <c r="G13" s="51">
        <v>120</v>
      </c>
      <c r="H13" s="51">
        <v>1201120</v>
      </c>
      <c r="I13" s="51" t="s">
        <v>117</v>
      </c>
      <c r="J13" s="51">
        <v>1307782</v>
      </c>
      <c r="K13" s="51" t="s">
        <v>119</v>
      </c>
      <c r="L13" s="51">
        <v>1171090</v>
      </c>
      <c r="M13" s="51" t="s">
        <v>118</v>
      </c>
      <c r="N13" s="51" t="s">
        <v>1891</v>
      </c>
      <c r="O13" s="51"/>
      <c r="P13" s="51"/>
      <c r="Q13" s="51">
        <v>591381730</v>
      </c>
      <c r="R13" s="51" t="s">
        <v>1373</v>
      </c>
      <c r="S13" s="51" t="s">
        <v>1322</v>
      </c>
      <c r="T13" s="51" t="s">
        <v>1358</v>
      </c>
      <c r="U13" s="51" t="s">
        <v>1331</v>
      </c>
      <c r="V13" s="51"/>
      <c r="W13" s="51">
        <v>13440</v>
      </c>
      <c r="X13" s="51">
        <v>24</v>
      </c>
      <c r="Y13" s="51" t="s">
        <v>1332</v>
      </c>
      <c r="Z13" s="51">
        <v>12</v>
      </c>
      <c r="AA13" s="51" t="s">
        <v>182</v>
      </c>
      <c r="AB13" s="54">
        <v>161280</v>
      </c>
      <c r="AC13" s="51">
        <v>288</v>
      </c>
      <c r="AD13" s="51" t="s">
        <v>182</v>
      </c>
      <c r="AE13" s="51" t="s">
        <v>181</v>
      </c>
      <c r="AF13" s="51" t="s">
        <v>123</v>
      </c>
      <c r="AG13" s="51" t="s">
        <v>69</v>
      </c>
      <c r="AH13" s="51" t="s">
        <v>70</v>
      </c>
      <c r="AI13" s="51" t="s">
        <v>76</v>
      </c>
      <c r="AJ13" s="53">
        <v>42377</v>
      </c>
      <c r="AK13" s="51" t="s">
        <v>64</v>
      </c>
      <c r="AL13" s="53">
        <v>42373</v>
      </c>
      <c r="AM13" s="51" t="s">
        <v>100</v>
      </c>
      <c r="AN13" s="51">
        <v>62073507</v>
      </c>
      <c r="AO13" s="53">
        <v>42403</v>
      </c>
      <c r="AP13" s="51" t="s">
        <v>77</v>
      </c>
      <c r="AQ13" s="51" t="s">
        <v>1013</v>
      </c>
    </row>
    <row r="14" spans="1:43" x14ac:dyDescent="0.2">
      <c r="A14" s="51">
        <v>10020312</v>
      </c>
      <c r="B14" s="51">
        <v>780</v>
      </c>
      <c r="C14" s="51" t="s">
        <v>26</v>
      </c>
      <c r="D14" s="51" t="s">
        <v>78</v>
      </c>
      <c r="E14" s="53">
        <v>42373</v>
      </c>
      <c r="F14" s="51">
        <v>93639926</v>
      </c>
      <c r="G14" s="51">
        <v>780</v>
      </c>
      <c r="H14" s="51">
        <v>1201047</v>
      </c>
      <c r="I14" s="51" t="s">
        <v>79</v>
      </c>
      <c r="J14" s="51">
        <v>1030704</v>
      </c>
      <c r="K14" s="51" t="s">
        <v>101</v>
      </c>
      <c r="L14" s="51">
        <v>1171089</v>
      </c>
      <c r="M14" s="51" t="s">
        <v>75</v>
      </c>
      <c r="N14" s="51">
        <v>3506116</v>
      </c>
      <c r="O14" s="51"/>
      <c r="P14" s="51"/>
      <c r="Q14" s="51">
        <v>591532101</v>
      </c>
      <c r="R14" s="51" t="s">
        <v>1922</v>
      </c>
      <c r="S14" s="51" t="s">
        <v>1322</v>
      </c>
      <c r="T14" s="51" t="s">
        <v>1923</v>
      </c>
      <c r="U14" s="51" t="s">
        <v>1331</v>
      </c>
      <c r="V14" s="51" t="s">
        <v>1924</v>
      </c>
      <c r="W14" s="51">
        <v>48</v>
      </c>
      <c r="X14" s="51">
        <v>48</v>
      </c>
      <c r="Y14" s="51" t="s">
        <v>1332</v>
      </c>
      <c r="Z14" s="51">
        <v>36.18</v>
      </c>
      <c r="AA14" s="51" t="s">
        <v>182</v>
      </c>
      <c r="AB14" s="54">
        <v>1736.64</v>
      </c>
      <c r="AC14" s="54">
        <v>1736.64</v>
      </c>
      <c r="AD14" s="51" t="s">
        <v>182</v>
      </c>
      <c r="AE14" s="51" t="s">
        <v>181</v>
      </c>
      <c r="AF14" s="51" t="s">
        <v>102</v>
      </c>
      <c r="AG14" s="51" t="s">
        <v>69</v>
      </c>
      <c r="AH14" s="51" t="s">
        <v>94</v>
      </c>
      <c r="AI14" s="51" t="s">
        <v>95</v>
      </c>
      <c r="AJ14" s="53">
        <v>42380</v>
      </c>
      <c r="AK14" s="51" t="s">
        <v>64</v>
      </c>
      <c r="AL14" s="53">
        <v>42373</v>
      </c>
      <c r="AM14" s="51" t="s">
        <v>100</v>
      </c>
      <c r="AN14" s="51">
        <v>62076597</v>
      </c>
      <c r="AO14" s="53">
        <v>42408</v>
      </c>
      <c r="AP14" s="51" t="s">
        <v>96</v>
      </c>
      <c r="AQ14" s="51" t="s">
        <v>1925</v>
      </c>
    </row>
    <row r="15" spans="1:43" x14ac:dyDescent="0.2">
      <c r="A15" s="51">
        <v>10020313</v>
      </c>
      <c r="B15" s="51">
        <v>80</v>
      </c>
      <c r="C15" s="51" t="s">
        <v>26</v>
      </c>
      <c r="D15" s="51" t="s">
        <v>78</v>
      </c>
      <c r="E15" s="53">
        <v>42373</v>
      </c>
      <c r="F15" s="51">
        <v>93640015</v>
      </c>
      <c r="G15" s="51">
        <v>80</v>
      </c>
      <c r="H15" s="51">
        <v>1201215</v>
      </c>
      <c r="I15" s="51" t="s">
        <v>138</v>
      </c>
      <c r="J15" s="51">
        <v>1338389</v>
      </c>
      <c r="K15" s="51" t="s">
        <v>822</v>
      </c>
      <c r="L15" s="51">
        <v>1201215</v>
      </c>
      <c r="M15" s="51" t="s">
        <v>138</v>
      </c>
      <c r="N15" s="51" t="s">
        <v>1926</v>
      </c>
      <c r="O15" s="51"/>
      <c r="P15" s="51"/>
      <c r="Q15" s="51">
        <v>591264001</v>
      </c>
      <c r="R15" s="51" t="s">
        <v>1405</v>
      </c>
      <c r="S15" s="51" t="s">
        <v>1322</v>
      </c>
      <c r="T15" s="51" t="s">
        <v>1406</v>
      </c>
      <c r="U15" s="51" t="s">
        <v>1331</v>
      </c>
      <c r="V15" s="51">
        <v>337397</v>
      </c>
      <c r="W15" s="51">
        <v>204</v>
      </c>
      <c r="X15" s="51">
        <v>2</v>
      </c>
      <c r="Y15" s="51" t="s">
        <v>1332</v>
      </c>
      <c r="Z15" s="51">
        <v>189.21</v>
      </c>
      <c r="AA15" s="51" t="s">
        <v>182</v>
      </c>
      <c r="AB15" s="54">
        <v>38598.839999999997</v>
      </c>
      <c r="AC15" s="51">
        <v>378.42</v>
      </c>
      <c r="AD15" s="51" t="s">
        <v>182</v>
      </c>
      <c r="AE15" s="51" t="s">
        <v>181</v>
      </c>
      <c r="AF15" s="51" t="s">
        <v>67</v>
      </c>
      <c r="AG15" s="51" t="s">
        <v>63</v>
      </c>
      <c r="AH15" s="51" t="s">
        <v>81</v>
      </c>
      <c r="AI15" s="51" t="s">
        <v>88</v>
      </c>
      <c r="AJ15" s="53">
        <v>42389</v>
      </c>
      <c r="AK15" s="51" t="s">
        <v>64</v>
      </c>
      <c r="AL15" s="53">
        <v>42373</v>
      </c>
      <c r="AM15" s="51"/>
      <c r="AN15" s="51"/>
      <c r="AO15" s="51"/>
      <c r="AP15" s="51" t="s">
        <v>89</v>
      </c>
      <c r="AQ15" s="51" t="s">
        <v>274</v>
      </c>
    </row>
    <row r="16" spans="1:43" x14ac:dyDescent="0.2">
      <c r="A16" s="51">
        <v>10020314</v>
      </c>
      <c r="B16" s="51">
        <v>280</v>
      </c>
      <c r="C16" s="51" t="s">
        <v>26</v>
      </c>
      <c r="D16" s="51" t="s">
        <v>432</v>
      </c>
      <c r="E16" s="53">
        <v>42374</v>
      </c>
      <c r="F16" s="51">
        <v>93635454</v>
      </c>
      <c r="G16" s="51">
        <v>280</v>
      </c>
      <c r="H16" s="51">
        <v>1322515</v>
      </c>
      <c r="I16" s="51" t="s">
        <v>139</v>
      </c>
      <c r="J16" s="51">
        <v>1322536</v>
      </c>
      <c r="K16" s="51" t="s">
        <v>140</v>
      </c>
      <c r="L16" s="51">
        <v>1322515</v>
      </c>
      <c r="M16" s="51" t="s">
        <v>139</v>
      </c>
      <c r="N16" s="51">
        <v>242285</v>
      </c>
      <c r="O16" s="51"/>
      <c r="P16" s="51"/>
      <c r="Q16" s="51">
        <v>591349830</v>
      </c>
      <c r="R16" s="51" t="s">
        <v>1927</v>
      </c>
      <c r="S16" s="51" t="s">
        <v>1322</v>
      </c>
      <c r="T16" s="51" t="s">
        <v>1928</v>
      </c>
      <c r="U16" s="51" t="s">
        <v>1331</v>
      </c>
      <c r="V16" s="51" t="s">
        <v>1929</v>
      </c>
      <c r="W16" s="51">
        <v>24</v>
      </c>
      <c r="X16" s="51">
        <v>24</v>
      </c>
      <c r="Y16" s="51" t="s">
        <v>1332</v>
      </c>
      <c r="Z16" s="51">
        <v>16.16</v>
      </c>
      <c r="AA16" s="51" t="s">
        <v>182</v>
      </c>
      <c r="AB16" s="51">
        <v>387.84</v>
      </c>
      <c r="AC16" s="51">
        <v>387.84</v>
      </c>
      <c r="AD16" s="51" t="s">
        <v>182</v>
      </c>
      <c r="AE16" s="51" t="s">
        <v>181</v>
      </c>
      <c r="AF16" s="51" t="s">
        <v>168</v>
      </c>
      <c r="AG16" s="51" t="s">
        <v>63</v>
      </c>
      <c r="AH16" s="51" t="s">
        <v>81</v>
      </c>
      <c r="AI16" s="51" t="s">
        <v>88</v>
      </c>
      <c r="AJ16" s="53">
        <v>42401</v>
      </c>
      <c r="AK16" s="51" t="s">
        <v>64</v>
      </c>
      <c r="AL16" s="53">
        <v>42374</v>
      </c>
      <c r="AM16" s="51"/>
      <c r="AN16" s="51"/>
      <c r="AO16" s="51"/>
      <c r="AP16" s="51" t="s">
        <v>89</v>
      </c>
      <c r="AQ16" s="51" t="s">
        <v>872</v>
      </c>
    </row>
    <row r="17" spans="1:43" x14ac:dyDescent="0.2">
      <c r="A17" s="51">
        <v>10020315</v>
      </c>
      <c r="B17" s="51">
        <v>20</v>
      </c>
      <c r="C17" s="51" t="s">
        <v>18</v>
      </c>
      <c r="D17" s="51" t="s">
        <v>573</v>
      </c>
      <c r="E17" s="53">
        <v>42374</v>
      </c>
      <c r="F17" s="51">
        <v>93643443</v>
      </c>
      <c r="G17" s="51">
        <v>20</v>
      </c>
      <c r="H17" s="51">
        <v>1201483</v>
      </c>
      <c r="I17" s="51" t="s">
        <v>147</v>
      </c>
      <c r="J17" s="51">
        <v>1001169</v>
      </c>
      <c r="K17" s="51" t="s">
        <v>148</v>
      </c>
      <c r="L17" s="51">
        <v>1201483</v>
      </c>
      <c r="M17" s="51" t="s">
        <v>147</v>
      </c>
      <c r="N17" s="51">
        <v>96121</v>
      </c>
      <c r="O17" s="51"/>
      <c r="P17" s="51"/>
      <c r="Q17" s="51">
        <v>591207030</v>
      </c>
      <c r="R17" s="51" t="s">
        <v>1475</v>
      </c>
      <c r="S17" s="51" t="s">
        <v>1322</v>
      </c>
      <c r="T17" s="51" t="s">
        <v>1476</v>
      </c>
      <c r="U17" s="51" t="s">
        <v>1331</v>
      </c>
      <c r="V17" s="51"/>
      <c r="W17" s="51">
        <v>40008</v>
      </c>
      <c r="X17" s="51">
        <v>6</v>
      </c>
      <c r="Y17" s="51" t="s">
        <v>1332</v>
      </c>
      <c r="Z17" s="51">
        <v>11.58</v>
      </c>
      <c r="AA17" s="51" t="s">
        <v>182</v>
      </c>
      <c r="AB17" s="54">
        <v>463292.64</v>
      </c>
      <c r="AC17" s="51">
        <v>69.48</v>
      </c>
      <c r="AD17" s="51" t="s">
        <v>182</v>
      </c>
      <c r="AE17" s="51" t="s">
        <v>181</v>
      </c>
      <c r="AF17" s="51" t="s">
        <v>102</v>
      </c>
      <c r="AG17" s="51" t="s">
        <v>69</v>
      </c>
      <c r="AH17" s="51" t="s">
        <v>70</v>
      </c>
      <c r="AI17" s="51" t="s">
        <v>76</v>
      </c>
      <c r="AJ17" s="53">
        <v>42377</v>
      </c>
      <c r="AK17" s="51" t="s">
        <v>64</v>
      </c>
      <c r="AL17" s="53">
        <v>42374</v>
      </c>
      <c r="AM17" s="51" t="s">
        <v>100</v>
      </c>
      <c r="AN17" s="51">
        <v>62072131</v>
      </c>
      <c r="AO17" s="53">
        <v>42402</v>
      </c>
      <c r="AP17" s="51" t="s">
        <v>77</v>
      </c>
      <c r="AQ17" s="51" t="s">
        <v>170</v>
      </c>
    </row>
    <row r="18" spans="1:43" x14ac:dyDescent="0.2">
      <c r="A18" s="51">
        <v>10020316</v>
      </c>
      <c r="B18" s="51">
        <v>1130</v>
      </c>
      <c r="C18" s="51" t="s">
        <v>18</v>
      </c>
      <c r="D18" s="51" t="s">
        <v>573</v>
      </c>
      <c r="E18" s="53">
        <v>42374</v>
      </c>
      <c r="F18" s="51">
        <v>93640041</v>
      </c>
      <c r="G18" s="51">
        <v>1130</v>
      </c>
      <c r="H18" s="51">
        <v>1201399</v>
      </c>
      <c r="I18" s="51" t="s">
        <v>144</v>
      </c>
      <c r="J18" s="51">
        <v>1334926</v>
      </c>
      <c r="K18" s="51" t="s">
        <v>145</v>
      </c>
      <c r="L18" s="51">
        <v>1171970</v>
      </c>
      <c r="M18" s="51" t="s">
        <v>144</v>
      </c>
      <c r="N18" s="51">
        <v>8106681950</v>
      </c>
      <c r="O18" s="51"/>
      <c r="P18" s="51"/>
      <c r="Q18" s="51">
        <v>472040045</v>
      </c>
      <c r="R18" s="51" t="s">
        <v>1930</v>
      </c>
      <c r="S18" s="51" t="s">
        <v>1322</v>
      </c>
      <c r="T18" s="51" t="s">
        <v>1797</v>
      </c>
      <c r="U18" s="51" t="s">
        <v>1331</v>
      </c>
      <c r="V18" s="51"/>
      <c r="W18" s="51">
        <v>1080</v>
      </c>
      <c r="X18" s="51">
        <v>24</v>
      </c>
      <c r="Y18" s="51" t="s">
        <v>1332</v>
      </c>
      <c r="Z18" s="51">
        <v>307.75</v>
      </c>
      <c r="AA18" s="51" t="s">
        <v>182</v>
      </c>
      <c r="AB18" s="54">
        <v>332370</v>
      </c>
      <c r="AC18" s="54">
        <v>7386</v>
      </c>
      <c r="AD18" s="51" t="s">
        <v>182</v>
      </c>
      <c r="AE18" s="51" t="s">
        <v>181</v>
      </c>
      <c r="AF18" s="51" t="s">
        <v>870</v>
      </c>
      <c r="AG18" s="51" t="s">
        <v>63</v>
      </c>
      <c r="AH18" s="51" t="s">
        <v>70</v>
      </c>
      <c r="AI18" s="51" t="s">
        <v>76</v>
      </c>
      <c r="AJ18" s="53">
        <v>42377</v>
      </c>
      <c r="AK18" s="51" t="s">
        <v>64</v>
      </c>
      <c r="AL18" s="53">
        <v>42374</v>
      </c>
      <c r="AM18" s="51"/>
      <c r="AN18" s="51"/>
      <c r="AO18" s="51"/>
      <c r="AP18" s="51" t="s">
        <v>77</v>
      </c>
      <c r="AQ18" s="51" t="s">
        <v>1013</v>
      </c>
    </row>
    <row r="19" spans="1:43" x14ac:dyDescent="0.2">
      <c r="A19" s="51">
        <v>10020317</v>
      </c>
      <c r="B19" s="51">
        <v>880</v>
      </c>
      <c r="C19" s="51" t="s">
        <v>18</v>
      </c>
      <c r="D19" s="51" t="s">
        <v>573</v>
      </c>
      <c r="E19" s="53">
        <v>42374</v>
      </c>
      <c r="F19" s="51">
        <v>93640046</v>
      </c>
      <c r="G19" s="51">
        <v>880</v>
      </c>
      <c r="H19" s="51">
        <v>1201399</v>
      </c>
      <c r="I19" s="51" t="s">
        <v>144</v>
      </c>
      <c r="J19" s="51">
        <v>1334926</v>
      </c>
      <c r="K19" s="51" t="s">
        <v>145</v>
      </c>
      <c r="L19" s="51">
        <v>1171970</v>
      </c>
      <c r="M19" s="51" t="s">
        <v>144</v>
      </c>
      <c r="N19" s="51">
        <v>8106681958</v>
      </c>
      <c r="O19" s="51"/>
      <c r="P19" s="51"/>
      <c r="Q19" s="51">
        <v>52544038328</v>
      </c>
      <c r="R19" s="51" t="s">
        <v>1931</v>
      </c>
      <c r="S19" s="51" t="s">
        <v>1344</v>
      </c>
      <c r="T19" s="51" t="s">
        <v>1932</v>
      </c>
      <c r="U19" s="51" t="s">
        <v>1331</v>
      </c>
      <c r="V19" s="51"/>
      <c r="W19" s="51">
        <v>264</v>
      </c>
      <c r="X19" s="51">
        <v>12</v>
      </c>
      <c r="Y19" s="51" t="s">
        <v>1332</v>
      </c>
      <c r="Z19" s="51">
        <v>133.06</v>
      </c>
      <c r="AA19" s="51" t="s">
        <v>182</v>
      </c>
      <c r="AB19" s="54">
        <v>35127.839999999997</v>
      </c>
      <c r="AC19" s="54">
        <v>1596.72</v>
      </c>
      <c r="AD19" s="51" t="s">
        <v>182</v>
      </c>
      <c r="AE19" s="51" t="s">
        <v>181</v>
      </c>
      <c r="AF19" s="51" t="s">
        <v>870</v>
      </c>
      <c r="AG19" s="51" t="s">
        <v>69</v>
      </c>
      <c r="AH19" s="51" t="s">
        <v>70</v>
      </c>
      <c r="AI19" s="51" t="s">
        <v>76</v>
      </c>
      <c r="AJ19" s="53">
        <v>42377</v>
      </c>
      <c r="AK19" s="51" t="s">
        <v>64</v>
      </c>
      <c r="AL19" s="53">
        <v>42374</v>
      </c>
      <c r="AM19" s="51" t="s">
        <v>100</v>
      </c>
      <c r="AN19" s="51">
        <v>62073504</v>
      </c>
      <c r="AO19" s="53">
        <v>42403</v>
      </c>
      <c r="AP19" s="51" t="s">
        <v>77</v>
      </c>
      <c r="AQ19" s="51" t="s">
        <v>376</v>
      </c>
    </row>
    <row r="20" spans="1:43" x14ac:dyDescent="0.2">
      <c r="A20" s="51">
        <v>10020318</v>
      </c>
      <c r="B20" s="51">
        <v>370</v>
      </c>
      <c r="C20" s="51" t="s">
        <v>18</v>
      </c>
      <c r="D20" s="51" t="s">
        <v>573</v>
      </c>
      <c r="E20" s="53">
        <v>42374</v>
      </c>
      <c r="F20" s="51">
        <v>93641845</v>
      </c>
      <c r="G20" s="51">
        <v>370</v>
      </c>
      <c r="H20" s="51">
        <v>1201047</v>
      </c>
      <c r="I20" s="51" t="s">
        <v>79</v>
      </c>
      <c r="J20" s="51">
        <v>1049975</v>
      </c>
      <c r="K20" s="51" t="s">
        <v>247</v>
      </c>
      <c r="L20" s="51">
        <v>1171089</v>
      </c>
      <c r="M20" s="51" t="s">
        <v>75</v>
      </c>
      <c r="N20" s="51">
        <v>44304977</v>
      </c>
      <c r="O20" s="51"/>
      <c r="P20" s="51"/>
      <c r="Q20" s="51">
        <v>52544055228</v>
      </c>
      <c r="R20" s="51" t="s">
        <v>1613</v>
      </c>
      <c r="S20" s="51" t="s">
        <v>1344</v>
      </c>
      <c r="T20" s="51" t="s">
        <v>1614</v>
      </c>
      <c r="U20" s="51" t="s">
        <v>1331</v>
      </c>
      <c r="V20" s="51" t="s">
        <v>1933</v>
      </c>
      <c r="W20" s="51">
        <v>204</v>
      </c>
      <c r="X20" s="51">
        <v>15</v>
      </c>
      <c r="Y20" s="51" t="s">
        <v>1332</v>
      </c>
      <c r="Z20" s="51">
        <v>132.61000000000001</v>
      </c>
      <c r="AA20" s="51" t="s">
        <v>182</v>
      </c>
      <c r="AB20" s="54">
        <v>27052.44</v>
      </c>
      <c r="AC20" s="54">
        <v>1989.15</v>
      </c>
      <c r="AD20" s="51" t="s">
        <v>182</v>
      </c>
      <c r="AE20" s="51" t="s">
        <v>181</v>
      </c>
      <c r="AF20" s="51" t="s">
        <v>870</v>
      </c>
      <c r="AG20" s="51" t="s">
        <v>69</v>
      </c>
      <c r="AH20" s="51" t="s">
        <v>70</v>
      </c>
      <c r="AI20" s="51" t="s">
        <v>76</v>
      </c>
      <c r="AJ20" s="53">
        <v>42377</v>
      </c>
      <c r="AK20" s="51" t="s">
        <v>64</v>
      </c>
      <c r="AL20" s="53">
        <v>42374</v>
      </c>
      <c r="AM20" s="51" t="s">
        <v>100</v>
      </c>
      <c r="AN20" s="51">
        <v>62073490</v>
      </c>
      <c r="AO20" s="53">
        <v>42403</v>
      </c>
      <c r="AP20" s="51" t="s">
        <v>77</v>
      </c>
      <c r="AQ20" s="51" t="s">
        <v>1934</v>
      </c>
    </row>
    <row r="21" spans="1:43" x14ac:dyDescent="0.2">
      <c r="A21" s="51">
        <v>10020319</v>
      </c>
      <c r="B21" s="51">
        <v>820</v>
      </c>
      <c r="C21" s="51" t="s">
        <v>26</v>
      </c>
      <c r="D21" s="51" t="s">
        <v>573</v>
      </c>
      <c r="E21" s="53">
        <v>42374</v>
      </c>
      <c r="F21" s="51">
        <v>93638563</v>
      </c>
      <c r="G21" s="51">
        <v>820</v>
      </c>
      <c r="H21" s="51">
        <v>1201248</v>
      </c>
      <c r="I21" s="51" t="s">
        <v>488</v>
      </c>
      <c r="J21" s="51">
        <v>1201248</v>
      </c>
      <c r="K21" s="51" t="s">
        <v>488</v>
      </c>
      <c r="L21" s="51">
        <v>1201248</v>
      </c>
      <c r="M21" s="51" t="s">
        <v>488</v>
      </c>
      <c r="N21" s="51">
        <v>2136794</v>
      </c>
      <c r="O21" s="51"/>
      <c r="P21" s="51"/>
      <c r="Q21" s="51">
        <v>62037056090</v>
      </c>
      <c r="R21" s="51" t="s">
        <v>1935</v>
      </c>
      <c r="S21" s="51" t="s">
        <v>1322</v>
      </c>
      <c r="T21" s="51" t="s">
        <v>1611</v>
      </c>
      <c r="U21" s="51" t="s">
        <v>1331</v>
      </c>
      <c r="V21" s="51" t="s">
        <v>1936</v>
      </c>
      <c r="W21" s="51">
        <v>1200</v>
      </c>
      <c r="X21" s="51">
        <v>48</v>
      </c>
      <c r="Y21" s="51" t="s">
        <v>1324</v>
      </c>
      <c r="Z21" s="51">
        <v>3</v>
      </c>
      <c r="AA21" s="51" t="s">
        <v>182</v>
      </c>
      <c r="AB21" s="54">
        <v>3600</v>
      </c>
      <c r="AC21" s="51">
        <v>144</v>
      </c>
      <c r="AD21" s="51" t="s">
        <v>182</v>
      </c>
      <c r="AE21" s="51" t="s">
        <v>235</v>
      </c>
      <c r="AF21" s="51" t="s">
        <v>67</v>
      </c>
      <c r="AG21" s="51" t="s">
        <v>69</v>
      </c>
      <c r="AH21" s="51" t="s">
        <v>94</v>
      </c>
      <c r="AI21" s="51" t="s">
        <v>95</v>
      </c>
      <c r="AJ21" s="53">
        <v>42380</v>
      </c>
      <c r="AK21" s="51" t="s">
        <v>64</v>
      </c>
      <c r="AL21" s="53">
        <v>42374</v>
      </c>
      <c r="AM21" s="51" t="s">
        <v>100</v>
      </c>
      <c r="AN21" s="51">
        <v>62077306</v>
      </c>
      <c r="AO21" s="53">
        <v>42409</v>
      </c>
      <c r="AP21" s="51" t="s">
        <v>96</v>
      </c>
      <c r="AQ21" s="51" t="s">
        <v>1937</v>
      </c>
    </row>
    <row r="22" spans="1:43" x14ac:dyDescent="0.2">
      <c r="A22" s="51">
        <v>10020320</v>
      </c>
      <c r="B22" s="51">
        <v>170</v>
      </c>
      <c r="C22" s="51" t="s">
        <v>26</v>
      </c>
      <c r="D22" s="51" t="s">
        <v>573</v>
      </c>
      <c r="E22" s="53">
        <v>42374</v>
      </c>
      <c r="F22" s="51">
        <v>93638495</v>
      </c>
      <c r="G22" s="51">
        <v>170</v>
      </c>
      <c r="H22" s="51">
        <v>1201156</v>
      </c>
      <c r="I22" s="51" t="s">
        <v>131</v>
      </c>
      <c r="J22" s="51">
        <v>1039283</v>
      </c>
      <c r="K22" s="51" t="s">
        <v>711</v>
      </c>
      <c r="L22" s="51">
        <v>1201156</v>
      </c>
      <c r="M22" s="51" t="s">
        <v>131</v>
      </c>
      <c r="N22" s="51">
        <v>6580415</v>
      </c>
      <c r="O22" s="51"/>
      <c r="P22" s="51"/>
      <c r="Q22" s="51">
        <v>591246701</v>
      </c>
      <c r="R22" s="51" t="s">
        <v>1938</v>
      </c>
      <c r="S22" s="51" t="s">
        <v>1322</v>
      </c>
      <c r="T22" s="51" t="s">
        <v>1939</v>
      </c>
      <c r="U22" s="51" t="s">
        <v>1331</v>
      </c>
      <c r="V22" s="51" t="s">
        <v>1940</v>
      </c>
      <c r="W22" s="51">
        <v>384</v>
      </c>
      <c r="X22" s="51">
        <v>1</v>
      </c>
      <c r="Y22" s="51" t="s">
        <v>1332</v>
      </c>
      <c r="Z22" s="51">
        <v>1.61</v>
      </c>
      <c r="AA22" s="51" t="s">
        <v>182</v>
      </c>
      <c r="AB22" s="51">
        <v>618.24</v>
      </c>
      <c r="AC22" s="51">
        <v>1.61</v>
      </c>
      <c r="AD22" s="51" t="s">
        <v>182</v>
      </c>
      <c r="AE22" s="51" t="s">
        <v>181</v>
      </c>
      <c r="AF22" s="51" t="s">
        <v>61</v>
      </c>
      <c r="AG22" s="51" t="s">
        <v>63</v>
      </c>
      <c r="AH22" s="51" t="s">
        <v>70</v>
      </c>
      <c r="AI22" s="51" t="s">
        <v>82</v>
      </c>
      <c r="AJ22" s="53">
        <v>42381</v>
      </c>
      <c r="AK22" s="51" t="s">
        <v>64</v>
      </c>
      <c r="AL22" s="53">
        <v>42374</v>
      </c>
      <c r="AM22" s="51"/>
      <c r="AN22" s="51"/>
      <c r="AO22" s="51"/>
      <c r="AP22" s="51" t="s">
        <v>77</v>
      </c>
      <c r="AQ22" s="51" t="s">
        <v>1941</v>
      </c>
    </row>
    <row r="23" spans="1:43" x14ac:dyDescent="0.2">
      <c r="A23" s="51">
        <v>10020321</v>
      </c>
      <c r="B23" s="51">
        <v>250</v>
      </c>
      <c r="C23" s="51" t="s">
        <v>26</v>
      </c>
      <c r="D23" s="51" t="s">
        <v>573</v>
      </c>
      <c r="E23" s="53">
        <v>42374</v>
      </c>
      <c r="F23" s="51">
        <v>93640020</v>
      </c>
      <c r="G23" s="51">
        <v>250</v>
      </c>
      <c r="H23" s="51">
        <v>1201248</v>
      </c>
      <c r="I23" s="51" t="s">
        <v>488</v>
      </c>
      <c r="J23" s="51">
        <v>1201248</v>
      </c>
      <c r="K23" s="51" t="s">
        <v>488</v>
      </c>
      <c r="L23" s="51">
        <v>1201248</v>
      </c>
      <c r="M23" s="51" t="s">
        <v>488</v>
      </c>
      <c r="N23" s="51">
        <v>2136794</v>
      </c>
      <c r="O23" s="51"/>
      <c r="P23" s="51"/>
      <c r="Q23" s="51">
        <v>472040030</v>
      </c>
      <c r="R23" s="51" t="s">
        <v>1796</v>
      </c>
      <c r="S23" s="51" t="s">
        <v>1322</v>
      </c>
      <c r="T23" s="51" t="s">
        <v>1797</v>
      </c>
      <c r="U23" s="51" t="s">
        <v>1331</v>
      </c>
      <c r="V23" s="51">
        <v>66500014</v>
      </c>
      <c r="W23" s="51">
        <v>528</v>
      </c>
      <c r="X23" s="51">
        <v>1</v>
      </c>
      <c r="Y23" s="51" t="s">
        <v>1332</v>
      </c>
      <c r="Z23" s="51">
        <v>5</v>
      </c>
      <c r="AA23" s="51" t="s">
        <v>182</v>
      </c>
      <c r="AB23" s="54">
        <v>2640</v>
      </c>
      <c r="AC23" s="51">
        <v>5</v>
      </c>
      <c r="AD23" s="51" t="s">
        <v>182</v>
      </c>
      <c r="AE23" s="51" t="s">
        <v>181</v>
      </c>
      <c r="AF23" s="51" t="s">
        <v>67</v>
      </c>
      <c r="AG23" s="51" t="s">
        <v>63</v>
      </c>
      <c r="AH23" s="51" t="s">
        <v>70</v>
      </c>
      <c r="AI23" s="51" t="s">
        <v>82</v>
      </c>
      <c r="AJ23" s="53">
        <v>42389</v>
      </c>
      <c r="AK23" s="51" t="s">
        <v>64</v>
      </c>
      <c r="AL23" s="53">
        <v>42374</v>
      </c>
      <c r="AM23" s="51"/>
      <c r="AN23" s="51"/>
      <c r="AO23" s="51"/>
      <c r="AP23" s="51" t="s">
        <v>89</v>
      </c>
      <c r="AQ23" s="51" t="s">
        <v>1942</v>
      </c>
    </row>
    <row r="24" spans="1:43" x14ac:dyDescent="0.2">
      <c r="A24" s="51">
        <v>10020322</v>
      </c>
      <c r="B24" s="51">
        <v>250</v>
      </c>
      <c r="C24" s="51" t="s">
        <v>18</v>
      </c>
      <c r="D24" s="51" t="s">
        <v>573</v>
      </c>
      <c r="E24" s="53">
        <v>42374</v>
      </c>
      <c r="F24" s="51">
        <v>93640020</v>
      </c>
      <c r="G24" s="51">
        <v>250</v>
      </c>
      <c r="H24" s="51">
        <v>1201248</v>
      </c>
      <c r="I24" s="51" t="s">
        <v>488</v>
      </c>
      <c r="J24" s="51">
        <v>1201248</v>
      </c>
      <c r="K24" s="51" t="s">
        <v>488</v>
      </c>
      <c r="L24" s="51">
        <v>1201248</v>
      </c>
      <c r="M24" s="51" t="s">
        <v>488</v>
      </c>
      <c r="N24" s="51">
        <v>2136794</v>
      </c>
      <c r="O24" s="51"/>
      <c r="P24" s="51"/>
      <c r="Q24" s="51">
        <v>472040030</v>
      </c>
      <c r="R24" s="51" t="s">
        <v>1796</v>
      </c>
      <c r="S24" s="51" t="s">
        <v>1322</v>
      </c>
      <c r="T24" s="51" t="s">
        <v>1797</v>
      </c>
      <c r="U24" s="51" t="s">
        <v>1331</v>
      </c>
      <c r="V24" s="51">
        <v>66500014</v>
      </c>
      <c r="W24" s="51">
        <v>528</v>
      </c>
      <c r="X24" s="51">
        <v>8</v>
      </c>
      <c r="Y24" s="51" t="s">
        <v>1332</v>
      </c>
      <c r="Z24" s="51">
        <v>5</v>
      </c>
      <c r="AA24" s="51" t="s">
        <v>182</v>
      </c>
      <c r="AB24" s="54">
        <v>2640</v>
      </c>
      <c r="AC24" s="51">
        <v>40</v>
      </c>
      <c r="AD24" s="51" t="s">
        <v>182</v>
      </c>
      <c r="AE24" s="51" t="s">
        <v>181</v>
      </c>
      <c r="AF24" s="51" t="s">
        <v>67</v>
      </c>
      <c r="AG24" s="51" t="s">
        <v>69</v>
      </c>
      <c r="AH24" s="51" t="s">
        <v>70</v>
      </c>
      <c r="AI24" s="51" t="s">
        <v>76</v>
      </c>
      <c r="AJ24" s="53">
        <v>42377</v>
      </c>
      <c r="AK24" s="51" t="s">
        <v>64</v>
      </c>
      <c r="AL24" s="53">
        <v>42374</v>
      </c>
      <c r="AM24" s="51" t="s">
        <v>100</v>
      </c>
      <c r="AN24" s="51">
        <v>62073503</v>
      </c>
      <c r="AO24" s="53">
        <v>42403</v>
      </c>
      <c r="AP24" s="51" t="s">
        <v>77</v>
      </c>
      <c r="AQ24" s="51" t="s">
        <v>1289</v>
      </c>
    </row>
    <row r="25" spans="1:43" x14ac:dyDescent="0.2">
      <c r="A25" s="51">
        <v>10020323</v>
      </c>
      <c r="B25" s="51">
        <v>10</v>
      </c>
      <c r="C25" s="51" t="s">
        <v>18</v>
      </c>
      <c r="D25" s="51" t="s">
        <v>592</v>
      </c>
      <c r="E25" s="53">
        <v>42374</v>
      </c>
      <c r="F25" s="51"/>
      <c r="G25" s="51">
        <v>10</v>
      </c>
      <c r="H25" s="51">
        <v>1201766</v>
      </c>
      <c r="I25" s="51" t="s">
        <v>143</v>
      </c>
      <c r="J25" s="51">
        <v>1157939</v>
      </c>
      <c r="K25" s="51" t="s">
        <v>143</v>
      </c>
      <c r="L25" s="51">
        <v>1201766</v>
      </c>
      <c r="M25" s="51" t="s">
        <v>143</v>
      </c>
      <c r="N25" s="51">
        <v>63011</v>
      </c>
      <c r="O25" s="51"/>
      <c r="P25" s="51"/>
      <c r="Q25" s="51">
        <v>62037086120</v>
      </c>
      <c r="R25" s="51" t="s">
        <v>1943</v>
      </c>
      <c r="S25" s="51" t="s">
        <v>1322</v>
      </c>
      <c r="T25" s="51" t="s">
        <v>1944</v>
      </c>
      <c r="U25" s="51" t="s">
        <v>1331</v>
      </c>
      <c r="V25" s="51"/>
      <c r="W25" s="51">
        <v>0</v>
      </c>
      <c r="X25" s="51">
        <v>4</v>
      </c>
      <c r="Y25" s="51" t="s">
        <v>1621</v>
      </c>
      <c r="Z25" s="51">
        <v>86.43</v>
      </c>
      <c r="AA25" s="51" t="s">
        <v>182</v>
      </c>
      <c r="AB25" s="51">
        <v>0</v>
      </c>
      <c r="AC25" s="51">
        <v>345.72</v>
      </c>
      <c r="AD25" s="51" t="s">
        <v>182</v>
      </c>
      <c r="AE25" s="51" t="s">
        <v>181</v>
      </c>
      <c r="AF25" s="51"/>
      <c r="AG25" s="51" t="s">
        <v>63</v>
      </c>
      <c r="AH25" s="51" t="s">
        <v>70</v>
      </c>
      <c r="AI25" s="51" t="s">
        <v>76</v>
      </c>
      <c r="AJ25" s="53">
        <v>42403</v>
      </c>
      <c r="AK25" s="51" t="s">
        <v>64</v>
      </c>
      <c r="AL25" s="53">
        <v>42403</v>
      </c>
      <c r="AM25" s="51"/>
      <c r="AN25" s="51"/>
      <c r="AO25" s="51"/>
      <c r="AP25" s="51" t="s">
        <v>77</v>
      </c>
      <c r="AQ25" s="51" t="s">
        <v>1945</v>
      </c>
    </row>
    <row r="26" spans="1:43" x14ac:dyDescent="0.2">
      <c r="A26" s="51">
        <v>10020323</v>
      </c>
      <c r="B26" s="51">
        <v>20</v>
      </c>
      <c r="C26" s="51" t="s">
        <v>18</v>
      </c>
      <c r="D26" s="51" t="s">
        <v>592</v>
      </c>
      <c r="E26" s="53">
        <v>42374</v>
      </c>
      <c r="F26" s="51"/>
      <c r="G26" s="51">
        <v>20</v>
      </c>
      <c r="H26" s="51">
        <v>1201766</v>
      </c>
      <c r="I26" s="51" t="s">
        <v>143</v>
      </c>
      <c r="J26" s="51">
        <v>1157939</v>
      </c>
      <c r="K26" s="51" t="s">
        <v>143</v>
      </c>
      <c r="L26" s="51">
        <v>1201766</v>
      </c>
      <c r="M26" s="51" t="s">
        <v>143</v>
      </c>
      <c r="N26" s="51">
        <v>63011</v>
      </c>
      <c r="O26" s="51"/>
      <c r="P26" s="51"/>
      <c r="Q26" s="51">
        <v>62037086620</v>
      </c>
      <c r="R26" s="51" t="s">
        <v>1946</v>
      </c>
      <c r="S26" s="51" t="s">
        <v>1322</v>
      </c>
      <c r="T26" s="51" t="s">
        <v>1944</v>
      </c>
      <c r="U26" s="51" t="s">
        <v>1331</v>
      </c>
      <c r="V26" s="51"/>
      <c r="W26" s="51">
        <v>0</v>
      </c>
      <c r="X26" s="51">
        <v>2</v>
      </c>
      <c r="Y26" s="51" t="s">
        <v>1621</v>
      </c>
      <c r="Z26" s="51">
        <v>219.77</v>
      </c>
      <c r="AA26" s="51" t="s">
        <v>182</v>
      </c>
      <c r="AB26" s="51">
        <v>0</v>
      </c>
      <c r="AC26" s="51">
        <v>439.54</v>
      </c>
      <c r="AD26" s="51" t="s">
        <v>182</v>
      </c>
      <c r="AE26" s="51" t="s">
        <v>181</v>
      </c>
      <c r="AF26" s="51"/>
      <c r="AG26" s="51" t="s">
        <v>63</v>
      </c>
      <c r="AH26" s="51" t="s">
        <v>70</v>
      </c>
      <c r="AI26" s="51" t="s">
        <v>76</v>
      </c>
      <c r="AJ26" s="53">
        <v>42403</v>
      </c>
      <c r="AK26" s="51" t="s">
        <v>64</v>
      </c>
      <c r="AL26" s="53">
        <v>42403</v>
      </c>
      <c r="AM26" s="51"/>
      <c r="AN26" s="51"/>
      <c r="AO26" s="51"/>
      <c r="AP26" s="51" t="s">
        <v>77</v>
      </c>
      <c r="AQ26" s="51" t="s">
        <v>1945</v>
      </c>
    </row>
    <row r="27" spans="1:43" x14ac:dyDescent="0.2">
      <c r="A27" s="51">
        <v>10020323</v>
      </c>
      <c r="B27" s="51">
        <v>30</v>
      </c>
      <c r="C27" s="51" t="s">
        <v>18</v>
      </c>
      <c r="D27" s="51" t="s">
        <v>592</v>
      </c>
      <c r="E27" s="53">
        <v>42374</v>
      </c>
      <c r="F27" s="51"/>
      <c r="G27" s="51">
        <v>30</v>
      </c>
      <c r="H27" s="51">
        <v>1201766</v>
      </c>
      <c r="I27" s="51" t="s">
        <v>143</v>
      </c>
      <c r="J27" s="51">
        <v>1157939</v>
      </c>
      <c r="K27" s="51" t="s">
        <v>143</v>
      </c>
      <c r="L27" s="51">
        <v>1201766</v>
      </c>
      <c r="M27" s="51" t="s">
        <v>143</v>
      </c>
      <c r="N27" s="51">
        <v>63011</v>
      </c>
      <c r="O27" s="51"/>
      <c r="P27" s="51"/>
      <c r="Q27" s="51">
        <v>62037083920</v>
      </c>
      <c r="R27" s="51" t="s">
        <v>1427</v>
      </c>
      <c r="S27" s="51" t="s">
        <v>1322</v>
      </c>
      <c r="T27" s="51" t="s">
        <v>1944</v>
      </c>
      <c r="U27" s="51" t="s">
        <v>1331</v>
      </c>
      <c r="V27" s="51"/>
      <c r="W27" s="51">
        <v>0</v>
      </c>
      <c r="X27" s="51">
        <v>3</v>
      </c>
      <c r="Y27" s="51" t="s">
        <v>1621</v>
      </c>
      <c r="Z27" s="51">
        <v>48.73</v>
      </c>
      <c r="AA27" s="51" t="s">
        <v>182</v>
      </c>
      <c r="AB27" s="51">
        <v>0</v>
      </c>
      <c r="AC27" s="51">
        <v>146.19</v>
      </c>
      <c r="AD27" s="51" t="s">
        <v>182</v>
      </c>
      <c r="AE27" s="51" t="s">
        <v>181</v>
      </c>
      <c r="AF27" s="51"/>
      <c r="AG27" s="51" t="s">
        <v>63</v>
      </c>
      <c r="AH27" s="51" t="s">
        <v>70</v>
      </c>
      <c r="AI27" s="51" t="s">
        <v>76</v>
      </c>
      <c r="AJ27" s="53">
        <v>42403</v>
      </c>
      <c r="AK27" s="51" t="s">
        <v>64</v>
      </c>
      <c r="AL27" s="53">
        <v>42403</v>
      </c>
      <c r="AM27" s="51"/>
      <c r="AN27" s="51"/>
      <c r="AO27" s="51"/>
      <c r="AP27" s="51" t="s">
        <v>77</v>
      </c>
      <c r="AQ27" s="51" t="s">
        <v>1945</v>
      </c>
    </row>
    <row r="28" spans="1:43" x14ac:dyDescent="0.2">
      <c r="A28" s="51">
        <v>10020323</v>
      </c>
      <c r="B28" s="51">
        <v>40</v>
      </c>
      <c r="C28" s="51" t="s">
        <v>18</v>
      </c>
      <c r="D28" s="51" t="s">
        <v>592</v>
      </c>
      <c r="E28" s="53">
        <v>42374</v>
      </c>
      <c r="F28" s="51"/>
      <c r="G28" s="51">
        <v>40</v>
      </c>
      <c r="H28" s="51">
        <v>1201766</v>
      </c>
      <c r="I28" s="51" t="s">
        <v>143</v>
      </c>
      <c r="J28" s="51">
        <v>1157939</v>
      </c>
      <c r="K28" s="51" t="s">
        <v>143</v>
      </c>
      <c r="L28" s="51">
        <v>1201766</v>
      </c>
      <c r="M28" s="51" t="s">
        <v>143</v>
      </c>
      <c r="N28" s="51">
        <v>63011</v>
      </c>
      <c r="O28" s="51"/>
      <c r="P28" s="51"/>
      <c r="Q28" s="51">
        <v>591207030</v>
      </c>
      <c r="R28" s="51" t="s">
        <v>1475</v>
      </c>
      <c r="S28" s="51" t="s">
        <v>1322</v>
      </c>
      <c r="T28" s="51" t="s">
        <v>1476</v>
      </c>
      <c r="U28" s="51" t="s">
        <v>1331</v>
      </c>
      <c r="V28" s="51"/>
      <c r="W28" s="51">
        <v>0</v>
      </c>
      <c r="X28" s="51">
        <v>11</v>
      </c>
      <c r="Y28" s="51" t="s">
        <v>1332</v>
      </c>
      <c r="Z28" s="51">
        <v>20.43</v>
      </c>
      <c r="AA28" s="51" t="s">
        <v>182</v>
      </c>
      <c r="AB28" s="51">
        <v>0</v>
      </c>
      <c r="AC28" s="51">
        <v>224.73</v>
      </c>
      <c r="AD28" s="51" t="s">
        <v>182</v>
      </c>
      <c r="AE28" s="51" t="s">
        <v>181</v>
      </c>
      <c r="AF28" s="51"/>
      <c r="AG28" s="51" t="s">
        <v>63</v>
      </c>
      <c r="AH28" s="51" t="s">
        <v>70</v>
      </c>
      <c r="AI28" s="51" t="s">
        <v>76</v>
      </c>
      <c r="AJ28" s="53">
        <v>42403</v>
      </c>
      <c r="AK28" s="51" t="s">
        <v>64</v>
      </c>
      <c r="AL28" s="53">
        <v>42403</v>
      </c>
      <c r="AM28" s="51"/>
      <c r="AN28" s="51"/>
      <c r="AO28" s="51"/>
      <c r="AP28" s="51" t="s">
        <v>77</v>
      </c>
      <c r="AQ28" s="51" t="s">
        <v>1945</v>
      </c>
    </row>
    <row r="29" spans="1:43" x14ac:dyDescent="0.2">
      <c r="A29" s="51">
        <v>10020324</v>
      </c>
      <c r="B29" s="51">
        <v>2190</v>
      </c>
      <c r="C29" s="51" t="s">
        <v>26</v>
      </c>
      <c r="D29" s="51" t="s">
        <v>573</v>
      </c>
      <c r="E29" s="53">
        <v>42374</v>
      </c>
      <c r="F29" s="51">
        <v>93637096</v>
      </c>
      <c r="G29" s="51">
        <v>2190</v>
      </c>
      <c r="H29" s="51">
        <v>1201047</v>
      </c>
      <c r="I29" s="51" t="s">
        <v>79</v>
      </c>
      <c r="J29" s="51">
        <v>1317086</v>
      </c>
      <c r="K29" s="51" t="s">
        <v>85</v>
      </c>
      <c r="L29" s="51">
        <v>1171089</v>
      </c>
      <c r="M29" s="51" t="s">
        <v>75</v>
      </c>
      <c r="N29" s="51">
        <v>23619175</v>
      </c>
      <c r="O29" s="51"/>
      <c r="P29" s="51"/>
      <c r="Q29" s="51">
        <v>62037084920</v>
      </c>
      <c r="R29" s="51" t="s">
        <v>1616</v>
      </c>
      <c r="S29" s="51" t="s">
        <v>1322</v>
      </c>
      <c r="T29" s="51" t="s">
        <v>1362</v>
      </c>
      <c r="U29" s="51" t="s">
        <v>1331</v>
      </c>
      <c r="V29" s="51"/>
      <c r="W29" s="51">
        <v>260</v>
      </c>
      <c r="X29" s="51">
        <v>10</v>
      </c>
      <c r="Y29" s="51" t="s">
        <v>1332</v>
      </c>
      <c r="Z29" s="51">
        <v>220</v>
      </c>
      <c r="AA29" s="51" t="s">
        <v>182</v>
      </c>
      <c r="AB29" s="54">
        <v>57200</v>
      </c>
      <c r="AC29" s="54">
        <v>2200</v>
      </c>
      <c r="AD29" s="51" t="s">
        <v>182</v>
      </c>
      <c r="AE29" s="51" t="s">
        <v>181</v>
      </c>
      <c r="AF29" s="51" t="s">
        <v>859</v>
      </c>
      <c r="AG29" s="51" t="s">
        <v>63</v>
      </c>
      <c r="AH29" s="51" t="s">
        <v>81</v>
      </c>
      <c r="AI29" s="51" t="s">
        <v>88</v>
      </c>
      <c r="AJ29" s="53">
        <v>42408</v>
      </c>
      <c r="AK29" s="51" t="s">
        <v>64</v>
      </c>
      <c r="AL29" s="53">
        <v>42374</v>
      </c>
      <c r="AM29" s="51"/>
      <c r="AN29" s="51"/>
      <c r="AO29" s="51"/>
      <c r="AP29" s="51" t="s">
        <v>89</v>
      </c>
      <c r="AQ29" s="51" t="s">
        <v>872</v>
      </c>
    </row>
    <row r="30" spans="1:43" x14ac:dyDescent="0.2">
      <c r="A30" s="51">
        <v>10020325</v>
      </c>
      <c r="B30" s="51">
        <v>250</v>
      </c>
      <c r="C30" s="51" t="s">
        <v>18</v>
      </c>
      <c r="D30" s="51" t="s">
        <v>573</v>
      </c>
      <c r="E30" s="53">
        <v>42374</v>
      </c>
      <c r="F30" s="51">
        <v>93638642</v>
      </c>
      <c r="G30" s="51">
        <v>250</v>
      </c>
      <c r="H30" s="51">
        <v>1201630</v>
      </c>
      <c r="I30" s="51" t="s">
        <v>157</v>
      </c>
      <c r="J30" s="51">
        <v>1000687</v>
      </c>
      <c r="K30" s="51" t="s">
        <v>158</v>
      </c>
      <c r="L30" s="51">
        <v>1201630</v>
      </c>
      <c r="M30" s="51" t="s">
        <v>157</v>
      </c>
      <c r="N30" s="51">
        <v>48737696</v>
      </c>
      <c r="O30" s="51"/>
      <c r="P30" s="51"/>
      <c r="Q30" s="51">
        <v>591352530</v>
      </c>
      <c r="R30" s="51" t="s">
        <v>1442</v>
      </c>
      <c r="S30" s="51" t="s">
        <v>1322</v>
      </c>
      <c r="T30" s="51" t="s">
        <v>1443</v>
      </c>
      <c r="U30" s="51" t="s">
        <v>1331</v>
      </c>
      <c r="V30" s="51" t="s">
        <v>1947</v>
      </c>
      <c r="W30" s="51">
        <v>16</v>
      </c>
      <c r="X30" s="51">
        <v>4</v>
      </c>
      <c r="Y30" s="51" t="s">
        <v>1369</v>
      </c>
      <c r="Z30" s="51">
        <v>74.23</v>
      </c>
      <c r="AA30" s="51" t="s">
        <v>182</v>
      </c>
      <c r="AB30" s="54">
        <v>14252.16</v>
      </c>
      <c r="AC30" s="54">
        <v>3563.04</v>
      </c>
      <c r="AD30" s="51" t="s">
        <v>182</v>
      </c>
      <c r="AE30" s="51" t="s">
        <v>181</v>
      </c>
      <c r="AF30" s="51" t="s">
        <v>67</v>
      </c>
      <c r="AG30" s="51" t="s">
        <v>69</v>
      </c>
      <c r="AH30" s="51" t="s">
        <v>70</v>
      </c>
      <c r="AI30" s="51" t="s">
        <v>76</v>
      </c>
      <c r="AJ30" s="53">
        <v>42377</v>
      </c>
      <c r="AK30" s="51" t="s">
        <v>64</v>
      </c>
      <c r="AL30" s="53">
        <v>42374</v>
      </c>
      <c r="AM30" s="51" t="s">
        <v>100</v>
      </c>
      <c r="AN30" s="51">
        <v>62071415</v>
      </c>
      <c r="AO30" s="53">
        <v>42401</v>
      </c>
      <c r="AP30" s="51" t="s">
        <v>77</v>
      </c>
      <c r="AQ30" s="51" t="s">
        <v>1948</v>
      </c>
    </row>
    <row r="31" spans="1:43" x14ac:dyDescent="0.2">
      <c r="A31" s="51">
        <v>10020326</v>
      </c>
      <c r="B31" s="51">
        <v>20</v>
      </c>
      <c r="C31" s="51" t="s">
        <v>26</v>
      </c>
      <c r="D31" s="51" t="s">
        <v>149</v>
      </c>
      <c r="E31" s="53">
        <v>42374</v>
      </c>
      <c r="F31" s="51">
        <v>93594762</v>
      </c>
      <c r="G31" s="51">
        <v>20</v>
      </c>
      <c r="H31" s="51">
        <v>1201047</v>
      </c>
      <c r="I31" s="51" t="s">
        <v>79</v>
      </c>
      <c r="J31" s="51">
        <v>1030742</v>
      </c>
      <c r="K31" s="51" t="s">
        <v>80</v>
      </c>
      <c r="L31" s="51">
        <v>1171089</v>
      </c>
      <c r="M31" s="51" t="s">
        <v>75</v>
      </c>
      <c r="N31" s="51">
        <v>20933568</v>
      </c>
      <c r="O31" s="51"/>
      <c r="P31" s="51"/>
      <c r="Q31" s="51">
        <v>591588301</v>
      </c>
      <c r="R31" s="51" t="s">
        <v>1738</v>
      </c>
      <c r="S31" s="51" t="s">
        <v>1322</v>
      </c>
      <c r="T31" s="51" t="s">
        <v>1739</v>
      </c>
      <c r="U31" s="51" t="s">
        <v>1740</v>
      </c>
      <c r="V31" s="51" t="s">
        <v>1949</v>
      </c>
      <c r="W31" s="51">
        <v>288</v>
      </c>
      <c r="X31" s="51">
        <v>1</v>
      </c>
      <c r="Y31" s="51" t="s">
        <v>1332</v>
      </c>
      <c r="Z31" s="51">
        <v>84.29</v>
      </c>
      <c r="AA31" s="51" t="s">
        <v>182</v>
      </c>
      <c r="AB31" s="54">
        <v>24275.52</v>
      </c>
      <c r="AC31" s="51">
        <v>84.29</v>
      </c>
      <c r="AD31" s="51" t="s">
        <v>182</v>
      </c>
      <c r="AE31" s="51" t="s">
        <v>181</v>
      </c>
      <c r="AF31" s="51" t="s">
        <v>168</v>
      </c>
      <c r="AG31" s="51" t="s">
        <v>63</v>
      </c>
      <c r="AH31" s="51" t="s">
        <v>105</v>
      </c>
      <c r="AI31" s="51" t="s">
        <v>82</v>
      </c>
      <c r="AJ31" s="53">
        <v>42401</v>
      </c>
      <c r="AK31" s="51" t="s">
        <v>64</v>
      </c>
      <c r="AL31" s="53">
        <v>42374</v>
      </c>
      <c r="AM31" s="51"/>
      <c r="AN31" s="51"/>
      <c r="AO31" s="51"/>
      <c r="AP31" s="51" t="s">
        <v>89</v>
      </c>
      <c r="AQ31" s="51" t="s">
        <v>1950</v>
      </c>
    </row>
    <row r="32" spans="1:43" x14ac:dyDescent="0.2">
      <c r="A32" s="51">
        <v>10020327</v>
      </c>
      <c r="B32" s="51">
        <v>3660</v>
      </c>
      <c r="C32" s="51" t="s">
        <v>18</v>
      </c>
      <c r="D32" s="51" t="s">
        <v>78</v>
      </c>
      <c r="E32" s="53">
        <v>42374</v>
      </c>
      <c r="F32" s="51">
        <v>93643244</v>
      </c>
      <c r="G32" s="51">
        <v>3660</v>
      </c>
      <c r="H32" s="51">
        <v>1201047</v>
      </c>
      <c r="I32" s="51" t="s">
        <v>79</v>
      </c>
      <c r="J32" s="51">
        <v>1311671</v>
      </c>
      <c r="K32" s="51" t="s">
        <v>90</v>
      </c>
      <c r="L32" s="51">
        <v>1171089</v>
      </c>
      <c r="M32" s="51" t="s">
        <v>75</v>
      </c>
      <c r="N32" s="51">
        <v>21470899</v>
      </c>
      <c r="O32" s="51"/>
      <c r="P32" s="51"/>
      <c r="Q32" s="51">
        <v>591350804</v>
      </c>
      <c r="R32" s="51" t="s">
        <v>1951</v>
      </c>
      <c r="S32" s="51" t="s">
        <v>1322</v>
      </c>
      <c r="T32" s="51" t="s">
        <v>1952</v>
      </c>
      <c r="U32" s="51" t="s">
        <v>1331</v>
      </c>
      <c r="V32" s="51" t="s">
        <v>1953</v>
      </c>
      <c r="W32" s="51">
        <v>120</v>
      </c>
      <c r="X32" s="51">
        <v>7</v>
      </c>
      <c r="Y32" s="51" t="s">
        <v>1332</v>
      </c>
      <c r="Z32" s="51">
        <v>105.99</v>
      </c>
      <c r="AA32" s="51" t="s">
        <v>182</v>
      </c>
      <c r="AB32" s="54">
        <v>12718.8</v>
      </c>
      <c r="AC32" s="51">
        <v>741.93</v>
      </c>
      <c r="AD32" s="51" t="s">
        <v>182</v>
      </c>
      <c r="AE32" s="51" t="s">
        <v>181</v>
      </c>
      <c r="AF32" s="51" t="s">
        <v>870</v>
      </c>
      <c r="AG32" s="51" t="s">
        <v>63</v>
      </c>
      <c r="AH32" s="51" t="s">
        <v>70</v>
      </c>
      <c r="AI32" s="51" t="s">
        <v>76</v>
      </c>
      <c r="AJ32" s="53">
        <v>42377</v>
      </c>
      <c r="AK32" s="51" t="s">
        <v>64</v>
      </c>
      <c r="AL32" s="53">
        <v>42374</v>
      </c>
      <c r="AM32" s="51"/>
      <c r="AN32" s="51"/>
      <c r="AO32" s="51"/>
      <c r="AP32" s="51" t="s">
        <v>77</v>
      </c>
      <c r="AQ32" s="51" t="s">
        <v>345</v>
      </c>
    </row>
    <row r="33" spans="1:43" x14ac:dyDescent="0.2">
      <c r="A33" s="51">
        <v>10020328</v>
      </c>
      <c r="B33" s="51">
        <v>1480</v>
      </c>
      <c r="C33" s="51" t="s">
        <v>18</v>
      </c>
      <c r="D33" s="51" t="s">
        <v>573</v>
      </c>
      <c r="E33" s="53">
        <v>42375</v>
      </c>
      <c r="F33" s="51">
        <v>93638638</v>
      </c>
      <c r="G33" s="51">
        <v>1480</v>
      </c>
      <c r="H33" s="51">
        <v>1201605</v>
      </c>
      <c r="I33" s="51" t="s">
        <v>155</v>
      </c>
      <c r="J33" s="51">
        <v>1023292</v>
      </c>
      <c r="K33" s="51" t="s">
        <v>155</v>
      </c>
      <c r="L33" s="51">
        <v>1172017</v>
      </c>
      <c r="M33" s="51" t="s">
        <v>155</v>
      </c>
      <c r="N33" s="51">
        <v>553140</v>
      </c>
      <c r="O33" s="51"/>
      <c r="P33" s="51"/>
      <c r="Q33" s="51">
        <v>591376830</v>
      </c>
      <c r="R33" s="51" t="s">
        <v>1590</v>
      </c>
      <c r="S33" s="51" t="s">
        <v>1322</v>
      </c>
      <c r="T33" s="51" t="s">
        <v>1954</v>
      </c>
      <c r="U33" s="51" t="s">
        <v>1331</v>
      </c>
      <c r="V33" s="51" t="s">
        <v>1955</v>
      </c>
      <c r="W33" s="51">
        <v>144</v>
      </c>
      <c r="X33" s="51">
        <v>48</v>
      </c>
      <c r="Y33" s="51" t="s">
        <v>1332</v>
      </c>
      <c r="Z33" s="51">
        <v>265.89999999999998</v>
      </c>
      <c r="AA33" s="51" t="s">
        <v>182</v>
      </c>
      <c r="AB33" s="54">
        <v>38289.599999999999</v>
      </c>
      <c r="AC33" s="54">
        <v>12763.2</v>
      </c>
      <c r="AD33" s="51" t="s">
        <v>182</v>
      </c>
      <c r="AE33" s="51" t="s">
        <v>181</v>
      </c>
      <c r="AF33" s="51" t="s">
        <v>67</v>
      </c>
      <c r="AG33" s="51" t="s">
        <v>69</v>
      </c>
      <c r="AH33" s="51" t="s">
        <v>70</v>
      </c>
      <c r="AI33" s="51" t="s">
        <v>76</v>
      </c>
      <c r="AJ33" s="53">
        <v>42377</v>
      </c>
      <c r="AK33" s="51" t="s">
        <v>83</v>
      </c>
      <c r="AL33" s="53">
        <v>42375</v>
      </c>
      <c r="AM33" s="51" t="s">
        <v>100</v>
      </c>
      <c r="AN33" s="51">
        <v>62076620</v>
      </c>
      <c r="AO33" s="53">
        <v>42408</v>
      </c>
      <c r="AP33" s="51" t="s">
        <v>77</v>
      </c>
      <c r="AQ33" s="51" t="s">
        <v>1948</v>
      </c>
    </row>
    <row r="34" spans="1:43" x14ac:dyDescent="0.2">
      <c r="A34" s="51">
        <v>10020329</v>
      </c>
      <c r="B34" s="51">
        <v>1470</v>
      </c>
      <c r="C34" s="51" t="s">
        <v>18</v>
      </c>
      <c r="D34" s="51" t="s">
        <v>573</v>
      </c>
      <c r="E34" s="53">
        <v>42375</v>
      </c>
      <c r="F34" s="51">
        <v>93638638</v>
      </c>
      <c r="G34" s="51">
        <v>1470</v>
      </c>
      <c r="H34" s="51">
        <v>1201605</v>
      </c>
      <c r="I34" s="51" t="s">
        <v>155</v>
      </c>
      <c r="J34" s="51">
        <v>1023292</v>
      </c>
      <c r="K34" s="51" t="s">
        <v>155</v>
      </c>
      <c r="L34" s="51">
        <v>1172017</v>
      </c>
      <c r="M34" s="51" t="s">
        <v>155</v>
      </c>
      <c r="N34" s="51">
        <v>553140</v>
      </c>
      <c r="O34" s="51"/>
      <c r="P34" s="51"/>
      <c r="Q34" s="51">
        <v>591376730</v>
      </c>
      <c r="R34" s="51" t="s">
        <v>1594</v>
      </c>
      <c r="S34" s="51" t="s">
        <v>1322</v>
      </c>
      <c r="T34" s="51" t="s">
        <v>1591</v>
      </c>
      <c r="U34" s="51" t="s">
        <v>1331</v>
      </c>
      <c r="V34" s="51" t="s">
        <v>1862</v>
      </c>
      <c r="W34" s="51">
        <v>72</v>
      </c>
      <c r="X34" s="51">
        <v>24</v>
      </c>
      <c r="Y34" s="51" t="s">
        <v>1332</v>
      </c>
      <c r="Z34" s="51">
        <v>225.94</v>
      </c>
      <c r="AA34" s="51" t="s">
        <v>182</v>
      </c>
      <c r="AB34" s="54">
        <v>16267.68</v>
      </c>
      <c r="AC34" s="54">
        <v>5422.56</v>
      </c>
      <c r="AD34" s="51" t="s">
        <v>182</v>
      </c>
      <c r="AE34" s="51" t="s">
        <v>181</v>
      </c>
      <c r="AF34" s="51" t="s">
        <v>67</v>
      </c>
      <c r="AG34" s="51" t="s">
        <v>69</v>
      </c>
      <c r="AH34" s="51" t="s">
        <v>70</v>
      </c>
      <c r="AI34" s="51" t="s">
        <v>76</v>
      </c>
      <c r="AJ34" s="53">
        <v>42377</v>
      </c>
      <c r="AK34" s="51" t="s">
        <v>64</v>
      </c>
      <c r="AL34" s="53">
        <v>42375</v>
      </c>
      <c r="AM34" s="51" t="s">
        <v>100</v>
      </c>
      <c r="AN34" s="51">
        <v>62076619</v>
      </c>
      <c r="AO34" s="53">
        <v>42408</v>
      </c>
      <c r="AP34" s="51" t="s">
        <v>77</v>
      </c>
      <c r="AQ34" s="51" t="s">
        <v>777</v>
      </c>
    </row>
    <row r="35" spans="1:43" x14ac:dyDescent="0.2">
      <c r="A35" s="51">
        <v>10020331</v>
      </c>
      <c r="B35" s="51">
        <v>860</v>
      </c>
      <c r="C35" s="51" t="s">
        <v>26</v>
      </c>
      <c r="D35" s="51" t="s">
        <v>78</v>
      </c>
      <c r="E35" s="53">
        <v>42375</v>
      </c>
      <c r="F35" s="51">
        <v>93642009</v>
      </c>
      <c r="G35" s="51">
        <v>860</v>
      </c>
      <c r="H35" s="51">
        <v>1201120</v>
      </c>
      <c r="I35" s="51" t="s">
        <v>117</v>
      </c>
      <c r="J35" s="51">
        <v>1307782</v>
      </c>
      <c r="K35" s="51" t="s">
        <v>119</v>
      </c>
      <c r="L35" s="51">
        <v>1171090</v>
      </c>
      <c r="M35" s="51" t="s">
        <v>118</v>
      </c>
      <c r="N35" s="51" t="s">
        <v>1956</v>
      </c>
      <c r="O35" s="51"/>
      <c r="P35" s="51"/>
      <c r="Q35" s="51">
        <v>62037083110</v>
      </c>
      <c r="R35" s="51" t="s">
        <v>1957</v>
      </c>
      <c r="S35" s="51" t="s">
        <v>1322</v>
      </c>
      <c r="T35" s="51" t="s">
        <v>1474</v>
      </c>
      <c r="U35" s="51" t="s">
        <v>1331</v>
      </c>
      <c r="V35" s="51" t="s">
        <v>1958</v>
      </c>
      <c r="W35" s="51">
        <v>42</v>
      </c>
      <c r="X35" s="51">
        <v>42</v>
      </c>
      <c r="Y35" s="51" t="s">
        <v>1332</v>
      </c>
      <c r="Z35" s="51">
        <v>711.93</v>
      </c>
      <c r="AA35" s="51" t="s">
        <v>182</v>
      </c>
      <c r="AB35" s="54">
        <v>29901.06</v>
      </c>
      <c r="AC35" s="51">
        <v>0</v>
      </c>
      <c r="AD35" s="51" t="s">
        <v>182</v>
      </c>
      <c r="AE35" s="51" t="s">
        <v>181</v>
      </c>
      <c r="AF35" s="51" t="s">
        <v>121</v>
      </c>
      <c r="AG35" s="51" t="s">
        <v>63</v>
      </c>
      <c r="AH35" s="51" t="s">
        <v>81</v>
      </c>
      <c r="AI35" s="51" t="s">
        <v>82</v>
      </c>
      <c r="AJ35" s="53">
        <v>42381</v>
      </c>
      <c r="AK35" s="51" t="s">
        <v>83</v>
      </c>
      <c r="AL35" s="53">
        <v>42381</v>
      </c>
      <c r="AM35" s="51"/>
      <c r="AN35" s="51"/>
      <c r="AO35" s="51"/>
      <c r="AP35" s="51" t="s">
        <v>84</v>
      </c>
      <c r="AQ35" s="51" t="s">
        <v>1959</v>
      </c>
    </row>
    <row r="36" spans="1:43" x14ac:dyDescent="0.2">
      <c r="A36" s="51">
        <v>10020332</v>
      </c>
      <c r="B36" s="51">
        <v>670</v>
      </c>
      <c r="C36" s="51" t="s">
        <v>22</v>
      </c>
      <c r="D36" s="51" t="s">
        <v>573</v>
      </c>
      <c r="E36" s="53">
        <v>42375</v>
      </c>
      <c r="F36" s="51">
        <v>93638641</v>
      </c>
      <c r="G36" s="51">
        <v>670</v>
      </c>
      <c r="H36" s="51">
        <v>1201605</v>
      </c>
      <c r="I36" s="51" t="s">
        <v>155</v>
      </c>
      <c r="J36" s="51">
        <v>1023292</v>
      </c>
      <c r="K36" s="51" t="s">
        <v>155</v>
      </c>
      <c r="L36" s="51">
        <v>1172017</v>
      </c>
      <c r="M36" s="51" t="s">
        <v>155</v>
      </c>
      <c r="N36" s="51">
        <v>550895</v>
      </c>
      <c r="O36" s="51"/>
      <c r="P36" s="51"/>
      <c r="Q36" s="51">
        <v>591111810</v>
      </c>
      <c r="R36" s="51" t="s">
        <v>1960</v>
      </c>
      <c r="S36" s="51" t="s">
        <v>1322</v>
      </c>
      <c r="T36" s="51" t="s">
        <v>1961</v>
      </c>
      <c r="U36" s="51" t="s">
        <v>1331</v>
      </c>
      <c r="V36" s="51">
        <v>3137818</v>
      </c>
      <c r="W36" s="51">
        <v>2</v>
      </c>
      <c r="X36" s="51">
        <v>20</v>
      </c>
      <c r="Y36" s="51" t="s">
        <v>1332</v>
      </c>
      <c r="Z36" s="51">
        <v>337.5</v>
      </c>
      <c r="AA36" s="51" t="s">
        <v>182</v>
      </c>
      <c r="AB36" s="51">
        <v>675</v>
      </c>
      <c r="AC36" s="54">
        <v>6750</v>
      </c>
      <c r="AD36" s="51" t="s">
        <v>182</v>
      </c>
      <c r="AE36" s="51" t="s">
        <v>181</v>
      </c>
      <c r="AF36" s="51" t="s">
        <v>102</v>
      </c>
      <c r="AG36" s="51" t="s">
        <v>63</v>
      </c>
      <c r="AH36" s="51"/>
      <c r="AI36" s="51"/>
      <c r="AJ36" s="51"/>
      <c r="AK36" s="51" t="s">
        <v>64</v>
      </c>
      <c r="AL36" s="53">
        <v>42375</v>
      </c>
      <c r="AM36" s="51"/>
      <c r="AN36" s="51"/>
      <c r="AO36" s="51"/>
      <c r="AP36" s="51"/>
      <c r="AQ36" s="51"/>
    </row>
    <row r="37" spans="1:43" x14ac:dyDescent="0.2">
      <c r="A37" s="51">
        <v>10020333</v>
      </c>
      <c r="B37" s="51">
        <v>590</v>
      </c>
      <c r="C37" s="51" t="s">
        <v>26</v>
      </c>
      <c r="D37" s="51" t="s">
        <v>573</v>
      </c>
      <c r="E37" s="53">
        <v>42375</v>
      </c>
      <c r="F37" s="51">
        <v>93648063</v>
      </c>
      <c r="G37" s="51">
        <v>590</v>
      </c>
      <c r="H37" s="51">
        <v>1201047</v>
      </c>
      <c r="I37" s="51" t="s">
        <v>79</v>
      </c>
      <c r="J37" s="51">
        <v>1311011</v>
      </c>
      <c r="K37" s="51" t="s">
        <v>85</v>
      </c>
      <c r="L37" s="51">
        <v>1171089</v>
      </c>
      <c r="M37" s="51" t="s">
        <v>75</v>
      </c>
      <c r="N37" s="51">
        <v>19633289</v>
      </c>
      <c r="O37" s="51"/>
      <c r="P37" s="51"/>
      <c r="Q37" s="51">
        <v>228253910</v>
      </c>
      <c r="R37" s="51" t="s">
        <v>1663</v>
      </c>
      <c r="S37" s="51" t="s">
        <v>1322</v>
      </c>
      <c r="T37" s="51" t="s">
        <v>1664</v>
      </c>
      <c r="U37" s="51" t="s">
        <v>1331</v>
      </c>
      <c r="V37" s="51" t="s">
        <v>1962</v>
      </c>
      <c r="W37" s="51">
        <v>4176</v>
      </c>
      <c r="X37" s="51">
        <v>48</v>
      </c>
      <c r="Y37" s="51" t="s">
        <v>1332</v>
      </c>
      <c r="Z37" s="51">
        <v>29.7</v>
      </c>
      <c r="AA37" s="51" t="s">
        <v>182</v>
      </c>
      <c r="AB37" s="54">
        <v>124027.2</v>
      </c>
      <c r="AC37" s="54">
        <v>1425.6</v>
      </c>
      <c r="AD37" s="51" t="s">
        <v>182</v>
      </c>
      <c r="AE37" s="51" t="s">
        <v>181</v>
      </c>
      <c r="AF37" s="51" t="s">
        <v>86</v>
      </c>
      <c r="AG37" s="51" t="s">
        <v>69</v>
      </c>
      <c r="AH37" s="51" t="s">
        <v>94</v>
      </c>
      <c r="AI37" s="51" t="s">
        <v>95</v>
      </c>
      <c r="AJ37" s="53">
        <v>42381</v>
      </c>
      <c r="AK37" s="51" t="s">
        <v>64</v>
      </c>
      <c r="AL37" s="53">
        <v>42375</v>
      </c>
      <c r="AM37" s="51" t="s">
        <v>100</v>
      </c>
      <c r="AN37" s="51">
        <v>62076601</v>
      </c>
      <c r="AO37" s="53">
        <v>42408</v>
      </c>
      <c r="AP37" s="51" t="s">
        <v>96</v>
      </c>
      <c r="AQ37" s="51" t="s">
        <v>1963</v>
      </c>
    </row>
    <row r="38" spans="1:43" x14ac:dyDescent="0.2">
      <c r="A38" s="51">
        <v>10020342</v>
      </c>
      <c r="B38" s="51">
        <v>70</v>
      </c>
      <c r="C38" s="51" t="s">
        <v>18</v>
      </c>
      <c r="D38" s="51" t="s">
        <v>78</v>
      </c>
      <c r="E38" s="53">
        <v>42375</v>
      </c>
      <c r="F38" s="51">
        <v>93646934</v>
      </c>
      <c r="G38" s="51">
        <v>70</v>
      </c>
      <c r="H38" s="51">
        <v>1201120</v>
      </c>
      <c r="I38" s="51" t="s">
        <v>117</v>
      </c>
      <c r="J38" s="51">
        <v>1307782</v>
      </c>
      <c r="K38" s="51" t="s">
        <v>119</v>
      </c>
      <c r="L38" s="51">
        <v>1171090</v>
      </c>
      <c r="M38" s="51" t="s">
        <v>118</v>
      </c>
      <c r="N38" s="51" t="s">
        <v>1964</v>
      </c>
      <c r="O38" s="51"/>
      <c r="P38" s="51"/>
      <c r="Q38" s="51">
        <v>591381730</v>
      </c>
      <c r="R38" s="51" t="s">
        <v>1373</v>
      </c>
      <c r="S38" s="51" t="s">
        <v>1322</v>
      </c>
      <c r="T38" s="51" t="s">
        <v>1358</v>
      </c>
      <c r="U38" s="51" t="s">
        <v>1331</v>
      </c>
      <c r="V38" s="51"/>
      <c r="W38" s="51">
        <v>13440</v>
      </c>
      <c r="X38" s="51">
        <v>10</v>
      </c>
      <c r="Y38" s="51" t="s">
        <v>1369</v>
      </c>
      <c r="Z38" s="51">
        <v>12</v>
      </c>
      <c r="AA38" s="51" t="s">
        <v>182</v>
      </c>
      <c r="AB38" s="54">
        <v>161280</v>
      </c>
      <c r="AC38" s="54">
        <v>2880</v>
      </c>
      <c r="AD38" s="51" t="s">
        <v>182</v>
      </c>
      <c r="AE38" s="51" t="s">
        <v>181</v>
      </c>
      <c r="AF38" s="51" t="s">
        <v>123</v>
      </c>
      <c r="AG38" s="51" t="s">
        <v>69</v>
      </c>
      <c r="AH38" s="51" t="s">
        <v>70</v>
      </c>
      <c r="AI38" s="51" t="s">
        <v>71</v>
      </c>
      <c r="AJ38" s="53">
        <v>42377</v>
      </c>
      <c r="AK38" s="51" t="s">
        <v>64</v>
      </c>
      <c r="AL38" s="53">
        <v>42375</v>
      </c>
      <c r="AM38" s="51" t="s">
        <v>72</v>
      </c>
      <c r="AN38" s="51">
        <v>62062649</v>
      </c>
      <c r="AO38" s="53">
        <v>42388</v>
      </c>
      <c r="AP38" s="51" t="s">
        <v>73</v>
      </c>
      <c r="AQ38" s="51" t="s">
        <v>1965</v>
      </c>
    </row>
    <row r="39" spans="1:43" x14ac:dyDescent="0.2">
      <c r="A39" s="51">
        <v>10020342</v>
      </c>
      <c r="B39" s="51">
        <v>1260</v>
      </c>
      <c r="C39" s="51" t="s">
        <v>18</v>
      </c>
      <c r="D39" s="51" t="s">
        <v>78</v>
      </c>
      <c r="E39" s="53">
        <v>42375</v>
      </c>
      <c r="F39" s="51">
        <v>93646934</v>
      </c>
      <c r="G39" s="51">
        <v>1260</v>
      </c>
      <c r="H39" s="51">
        <v>1201120</v>
      </c>
      <c r="I39" s="51" t="s">
        <v>117</v>
      </c>
      <c r="J39" s="51">
        <v>1307782</v>
      </c>
      <c r="K39" s="51" t="s">
        <v>119</v>
      </c>
      <c r="L39" s="51">
        <v>1171090</v>
      </c>
      <c r="M39" s="51" t="s">
        <v>118</v>
      </c>
      <c r="N39" s="51" t="s">
        <v>1964</v>
      </c>
      <c r="O39" s="51"/>
      <c r="P39" s="51"/>
      <c r="Q39" s="51">
        <v>591379883</v>
      </c>
      <c r="R39" s="51" t="s">
        <v>1848</v>
      </c>
      <c r="S39" s="51" t="s">
        <v>1322</v>
      </c>
      <c r="T39" s="51" t="s">
        <v>1581</v>
      </c>
      <c r="U39" s="51" t="s">
        <v>1331</v>
      </c>
      <c r="V39" s="51"/>
      <c r="W39" s="51">
        <v>3072</v>
      </c>
      <c r="X39" s="51">
        <v>16</v>
      </c>
      <c r="Y39" s="51" t="s">
        <v>1332</v>
      </c>
      <c r="Z39" s="51">
        <v>3.75</v>
      </c>
      <c r="AA39" s="51" t="s">
        <v>182</v>
      </c>
      <c r="AB39" s="54">
        <v>11520</v>
      </c>
      <c r="AC39" s="51">
        <v>60</v>
      </c>
      <c r="AD39" s="51" t="s">
        <v>182</v>
      </c>
      <c r="AE39" s="51" t="s">
        <v>181</v>
      </c>
      <c r="AF39" s="51" t="s">
        <v>123</v>
      </c>
      <c r="AG39" s="51" t="s">
        <v>69</v>
      </c>
      <c r="AH39" s="51" t="s">
        <v>70</v>
      </c>
      <c r="AI39" s="51" t="s">
        <v>71</v>
      </c>
      <c r="AJ39" s="53">
        <v>42377</v>
      </c>
      <c r="AK39" s="51" t="s">
        <v>64</v>
      </c>
      <c r="AL39" s="53">
        <v>42375</v>
      </c>
      <c r="AM39" s="51" t="s">
        <v>72</v>
      </c>
      <c r="AN39" s="51">
        <v>62062649</v>
      </c>
      <c r="AO39" s="53">
        <v>42388</v>
      </c>
      <c r="AP39" s="51" t="s">
        <v>73</v>
      </c>
      <c r="AQ39" s="51" t="s">
        <v>1965</v>
      </c>
    </row>
    <row r="40" spans="1:43" x14ac:dyDescent="0.2">
      <c r="A40" s="51">
        <v>10020343</v>
      </c>
      <c r="B40" s="51">
        <v>60</v>
      </c>
      <c r="C40" s="51" t="s">
        <v>18</v>
      </c>
      <c r="D40" s="51" t="s">
        <v>573</v>
      </c>
      <c r="E40" s="53">
        <v>42375</v>
      </c>
      <c r="F40" s="51">
        <v>93646934</v>
      </c>
      <c r="G40" s="51">
        <v>60</v>
      </c>
      <c r="H40" s="51">
        <v>1201120</v>
      </c>
      <c r="I40" s="51" t="s">
        <v>117</v>
      </c>
      <c r="J40" s="51">
        <v>1307782</v>
      </c>
      <c r="K40" s="51" t="s">
        <v>119</v>
      </c>
      <c r="L40" s="51">
        <v>1171090</v>
      </c>
      <c r="M40" s="51" t="s">
        <v>118</v>
      </c>
      <c r="N40" s="51" t="s">
        <v>1964</v>
      </c>
      <c r="O40" s="51"/>
      <c r="P40" s="51"/>
      <c r="Q40" s="51">
        <v>591381760</v>
      </c>
      <c r="R40" s="51" t="s">
        <v>1357</v>
      </c>
      <c r="S40" s="51" t="s">
        <v>1322</v>
      </c>
      <c r="T40" s="51" t="s">
        <v>1358</v>
      </c>
      <c r="U40" s="51" t="s">
        <v>1331</v>
      </c>
      <c r="V40" s="51"/>
      <c r="W40" s="51">
        <v>5760</v>
      </c>
      <c r="X40" s="51">
        <v>57</v>
      </c>
      <c r="Y40" s="51" t="s">
        <v>1332</v>
      </c>
      <c r="Z40" s="51">
        <v>24</v>
      </c>
      <c r="AA40" s="51" t="s">
        <v>182</v>
      </c>
      <c r="AB40" s="54">
        <v>138240</v>
      </c>
      <c r="AC40" s="54">
        <v>1368</v>
      </c>
      <c r="AD40" s="51" t="s">
        <v>182</v>
      </c>
      <c r="AE40" s="51" t="s">
        <v>181</v>
      </c>
      <c r="AF40" s="51" t="s">
        <v>123</v>
      </c>
      <c r="AG40" s="51" t="s">
        <v>69</v>
      </c>
      <c r="AH40" s="51" t="s">
        <v>70</v>
      </c>
      <c r="AI40" s="51" t="s">
        <v>76</v>
      </c>
      <c r="AJ40" s="53">
        <v>42377</v>
      </c>
      <c r="AK40" s="51" t="s">
        <v>64</v>
      </c>
      <c r="AL40" s="53">
        <v>42375</v>
      </c>
      <c r="AM40" s="51" t="s">
        <v>100</v>
      </c>
      <c r="AN40" s="51">
        <v>62073494</v>
      </c>
      <c r="AO40" s="53">
        <v>42403</v>
      </c>
      <c r="AP40" s="51" t="s">
        <v>77</v>
      </c>
      <c r="AQ40" s="51" t="s">
        <v>1375</v>
      </c>
    </row>
    <row r="41" spans="1:43" x14ac:dyDescent="0.2">
      <c r="A41" s="51">
        <v>10020345</v>
      </c>
      <c r="B41" s="51">
        <v>340</v>
      </c>
      <c r="C41" s="51" t="s">
        <v>26</v>
      </c>
      <c r="D41" s="51" t="s">
        <v>573</v>
      </c>
      <c r="E41" s="53">
        <v>42375</v>
      </c>
      <c r="F41" s="51">
        <v>93642009</v>
      </c>
      <c r="G41" s="51">
        <v>340</v>
      </c>
      <c r="H41" s="51">
        <v>1201120</v>
      </c>
      <c r="I41" s="51" t="s">
        <v>117</v>
      </c>
      <c r="J41" s="51">
        <v>1307782</v>
      </c>
      <c r="K41" s="51" t="s">
        <v>119</v>
      </c>
      <c r="L41" s="51">
        <v>1171090</v>
      </c>
      <c r="M41" s="51" t="s">
        <v>118</v>
      </c>
      <c r="N41" s="51" t="s">
        <v>1956</v>
      </c>
      <c r="O41" s="51"/>
      <c r="P41" s="51"/>
      <c r="Q41" s="51">
        <v>228255006</v>
      </c>
      <c r="R41" s="51" t="s">
        <v>1966</v>
      </c>
      <c r="S41" s="51" t="s">
        <v>1322</v>
      </c>
      <c r="T41" s="51" t="s">
        <v>1967</v>
      </c>
      <c r="U41" s="51" t="s">
        <v>1331</v>
      </c>
      <c r="V41" s="51" t="s">
        <v>1968</v>
      </c>
      <c r="W41" s="51">
        <v>24</v>
      </c>
      <c r="X41" s="51">
        <v>12</v>
      </c>
      <c r="Y41" s="51" t="s">
        <v>1332</v>
      </c>
      <c r="Z41" s="51">
        <v>18.989999999999998</v>
      </c>
      <c r="AA41" s="51" t="s">
        <v>182</v>
      </c>
      <c r="AB41" s="51">
        <v>455.76</v>
      </c>
      <c r="AC41" s="51">
        <v>227.88</v>
      </c>
      <c r="AD41" s="51" t="s">
        <v>182</v>
      </c>
      <c r="AE41" s="51" t="s">
        <v>181</v>
      </c>
      <c r="AF41" s="51" t="s">
        <v>121</v>
      </c>
      <c r="AG41" s="51" t="s">
        <v>63</v>
      </c>
      <c r="AH41" s="51" t="s">
        <v>81</v>
      </c>
      <c r="AI41" s="51" t="s">
        <v>82</v>
      </c>
      <c r="AJ41" s="53">
        <v>42402</v>
      </c>
      <c r="AK41" s="51" t="s">
        <v>64</v>
      </c>
      <c r="AL41" s="53">
        <v>42375</v>
      </c>
      <c r="AM41" s="51"/>
      <c r="AN41" s="51"/>
      <c r="AO41" s="51"/>
      <c r="AP41" s="51" t="s">
        <v>89</v>
      </c>
      <c r="AQ41" s="51" t="s">
        <v>1969</v>
      </c>
    </row>
    <row r="42" spans="1:43" x14ac:dyDescent="0.2">
      <c r="A42" s="51">
        <v>10020350</v>
      </c>
      <c r="B42" s="51">
        <v>320</v>
      </c>
      <c r="C42" s="51" t="s">
        <v>18</v>
      </c>
      <c r="D42" s="51" t="s">
        <v>573</v>
      </c>
      <c r="E42" s="53">
        <v>42375</v>
      </c>
      <c r="F42" s="51">
        <v>93640110</v>
      </c>
      <c r="G42" s="51">
        <v>320</v>
      </c>
      <c r="H42" s="51">
        <v>1201605</v>
      </c>
      <c r="I42" s="51" t="s">
        <v>155</v>
      </c>
      <c r="J42" s="51">
        <v>1023292</v>
      </c>
      <c r="K42" s="51" t="s">
        <v>155</v>
      </c>
      <c r="L42" s="51">
        <v>1172017</v>
      </c>
      <c r="M42" s="51" t="s">
        <v>155</v>
      </c>
      <c r="N42" s="51">
        <v>553139</v>
      </c>
      <c r="O42" s="51"/>
      <c r="P42" s="51"/>
      <c r="Q42" s="51">
        <v>228315573</v>
      </c>
      <c r="R42" s="51" t="s">
        <v>1897</v>
      </c>
      <c r="S42" s="51" t="s">
        <v>1322</v>
      </c>
      <c r="T42" s="51" t="s">
        <v>1889</v>
      </c>
      <c r="U42" s="51">
        <v>3</v>
      </c>
      <c r="V42" s="51" t="s">
        <v>1898</v>
      </c>
      <c r="W42" s="51">
        <v>864</v>
      </c>
      <c r="X42" s="51">
        <v>15</v>
      </c>
      <c r="Y42" s="51" t="s">
        <v>1332</v>
      </c>
      <c r="Z42" s="51">
        <v>250.39</v>
      </c>
      <c r="AA42" s="51" t="s">
        <v>182</v>
      </c>
      <c r="AB42" s="54">
        <v>216336.96</v>
      </c>
      <c r="AC42" s="54">
        <v>3755.85</v>
      </c>
      <c r="AD42" s="51" t="s">
        <v>182</v>
      </c>
      <c r="AE42" s="51" t="s">
        <v>181</v>
      </c>
      <c r="AF42" s="51" t="s">
        <v>67</v>
      </c>
      <c r="AG42" s="51" t="s">
        <v>69</v>
      </c>
      <c r="AH42" s="51" t="s">
        <v>70</v>
      </c>
      <c r="AI42" s="51" t="s">
        <v>76</v>
      </c>
      <c r="AJ42" s="53">
        <v>42377</v>
      </c>
      <c r="AK42" s="51" t="s">
        <v>83</v>
      </c>
      <c r="AL42" s="53">
        <v>42410</v>
      </c>
      <c r="AM42" s="51" t="s">
        <v>100</v>
      </c>
      <c r="AN42" s="51">
        <v>62078344</v>
      </c>
      <c r="AO42" s="53">
        <v>42410</v>
      </c>
      <c r="AP42" s="51" t="s">
        <v>77</v>
      </c>
      <c r="AQ42" s="51" t="s">
        <v>1934</v>
      </c>
    </row>
    <row r="43" spans="1:43" x14ac:dyDescent="0.2">
      <c r="A43" s="51">
        <v>10020351</v>
      </c>
      <c r="B43" s="51">
        <v>1840</v>
      </c>
      <c r="C43" s="51" t="s">
        <v>26</v>
      </c>
      <c r="D43" s="51" t="s">
        <v>149</v>
      </c>
      <c r="E43" s="53">
        <v>42375</v>
      </c>
      <c r="F43" s="51">
        <v>93641856</v>
      </c>
      <c r="G43" s="51">
        <v>1840</v>
      </c>
      <c r="H43" s="51">
        <v>1201047</v>
      </c>
      <c r="I43" s="51" t="s">
        <v>79</v>
      </c>
      <c r="J43" s="51">
        <v>1051549</v>
      </c>
      <c r="K43" s="51" t="s">
        <v>85</v>
      </c>
      <c r="L43" s="51">
        <v>1171089</v>
      </c>
      <c r="M43" s="51" t="s">
        <v>75</v>
      </c>
      <c r="N43" s="51">
        <v>12918731</v>
      </c>
      <c r="O43" s="51"/>
      <c r="P43" s="51"/>
      <c r="Q43" s="51">
        <v>52544024828</v>
      </c>
      <c r="R43" s="51" t="s">
        <v>1460</v>
      </c>
      <c r="S43" s="51" t="s">
        <v>1344</v>
      </c>
      <c r="T43" s="51" t="s">
        <v>1461</v>
      </c>
      <c r="U43" s="51" t="s">
        <v>1331</v>
      </c>
      <c r="V43" s="51"/>
      <c r="W43" s="51">
        <v>1224</v>
      </c>
      <c r="X43" s="51">
        <v>24</v>
      </c>
      <c r="Y43" s="51" t="s">
        <v>1332</v>
      </c>
      <c r="Z43" s="51">
        <v>147.38999999999999</v>
      </c>
      <c r="AA43" s="51" t="s">
        <v>182</v>
      </c>
      <c r="AB43" s="54">
        <v>180405.36</v>
      </c>
      <c r="AC43" s="54">
        <v>3537.36</v>
      </c>
      <c r="AD43" s="51" t="s">
        <v>182</v>
      </c>
      <c r="AE43" s="51" t="s">
        <v>181</v>
      </c>
      <c r="AF43" s="51" t="s">
        <v>870</v>
      </c>
      <c r="AG43" s="51" t="s">
        <v>69</v>
      </c>
      <c r="AH43" s="51" t="s">
        <v>94</v>
      </c>
      <c r="AI43" s="51" t="s">
        <v>71</v>
      </c>
      <c r="AJ43" s="53">
        <v>42388</v>
      </c>
      <c r="AK43" s="51" t="s">
        <v>83</v>
      </c>
      <c r="AL43" s="53">
        <v>42402</v>
      </c>
      <c r="AM43" s="51" t="s">
        <v>72</v>
      </c>
      <c r="AN43" s="51">
        <v>62072124</v>
      </c>
      <c r="AO43" s="53">
        <v>42402</v>
      </c>
      <c r="AP43" s="51" t="s">
        <v>96</v>
      </c>
      <c r="AQ43" s="51" t="s">
        <v>1970</v>
      </c>
    </row>
    <row r="44" spans="1:43" x14ac:dyDescent="0.2">
      <c r="A44" s="51">
        <v>10020351</v>
      </c>
      <c r="B44" s="51">
        <v>3120</v>
      </c>
      <c r="C44" s="51" t="s">
        <v>26</v>
      </c>
      <c r="D44" s="51" t="s">
        <v>149</v>
      </c>
      <c r="E44" s="53">
        <v>42375</v>
      </c>
      <c r="F44" s="51">
        <v>93641856</v>
      </c>
      <c r="G44" s="51">
        <v>3120</v>
      </c>
      <c r="H44" s="51">
        <v>1201047</v>
      </c>
      <c r="I44" s="51" t="s">
        <v>79</v>
      </c>
      <c r="J44" s="51">
        <v>1051549</v>
      </c>
      <c r="K44" s="51" t="s">
        <v>85</v>
      </c>
      <c r="L44" s="51">
        <v>1171089</v>
      </c>
      <c r="M44" s="51" t="s">
        <v>75</v>
      </c>
      <c r="N44" s="51">
        <v>12918731</v>
      </c>
      <c r="O44" s="51"/>
      <c r="P44" s="51"/>
      <c r="Q44" s="51">
        <v>52544024928</v>
      </c>
      <c r="R44" s="51" t="s">
        <v>1971</v>
      </c>
      <c r="S44" s="51" t="s">
        <v>1344</v>
      </c>
      <c r="T44" s="51" t="s">
        <v>1423</v>
      </c>
      <c r="U44" s="51" t="s">
        <v>1331</v>
      </c>
      <c r="V44" s="51"/>
      <c r="W44" s="51">
        <v>936</v>
      </c>
      <c r="X44" s="51">
        <v>72</v>
      </c>
      <c r="Y44" s="51" t="s">
        <v>1332</v>
      </c>
      <c r="Z44" s="51">
        <v>128.94999999999999</v>
      </c>
      <c r="AA44" s="51" t="s">
        <v>182</v>
      </c>
      <c r="AB44" s="54">
        <v>120697.2</v>
      </c>
      <c r="AC44" s="54">
        <v>9284.4</v>
      </c>
      <c r="AD44" s="51" t="s">
        <v>182</v>
      </c>
      <c r="AE44" s="51" t="s">
        <v>181</v>
      </c>
      <c r="AF44" s="51" t="s">
        <v>870</v>
      </c>
      <c r="AG44" s="51" t="s">
        <v>69</v>
      </c>
      <c r="AH44" s="51" t="s">
        <v>94</v>
      </c>
      <c r="AI44" s="51" t="s">
        <v>71</v>
      </c>
      <c r="AJ44" s="53">
        <v>42388</v>
      </c>
      <c r="AK44" s="51" t="s">
        <v>83</v>
      </c>
      <c r="AL44" s="53">
        <v>42402</v>
      </c>
      <c r="AM44" s="51" t="s">
        <v>72</v>
      </c>
      <c r="AN44" s="51">
        <v>62072124</v>
      </c>
      <c r="AO44" s="53">
        <v>42402</v>
      </c>
      <c r="AP44" s="51" t="s">
        <v>96</v>
      </c>
      <c r="AQ44" s="51" t="s">
        <v>1970</v>
      </c>
    </row>
    <row r="45" spans="1:43" x14ac:dyDescent="0.2">
      <c r="A45" s="51">
        <v>10020351</v>
      </c>
      <c r="B45" s="51">
        <v>3130</v>
      </c>
      <c r="C45" s="51" t="s">
        <v>26</v>
      </c>
      <c r="D45" s="51" t="s">
        <v>149</v>
      </c>
      <c r="E45" s="53">
        <v>42375</v>
      </c>
      <c r="F45" s="51">
        <v>93641856</v>
      </c>
      <c r="G45" s="51">
        <v>3130</v>
      </c>
      <c r="H45" s="51">
        <v>1201047</v>
      </c>
      <c r="I45" s="51" t="s">
        <v>79</v>
      </c>
      <c r="J45" s="51">
        <v>1051549</v>
      </c>
      <c r="K45" s="51" t="s">
        <v>85</v>
      </c>
      <c r="L45" s="51">
        <v>1171089</v>
      </c>
      <c r="M45" s="51" t="s">
        <v>75</v>
      </c>
      <c r="N45" s="51">
        <v>12918731</v>
      </c>
      <c r="O45" s="51"/>
      <c r="P45" s="51"/>
      <c r="Q45" s="51">
        <v>52544023328</v>
      </c>
      <c r="R45" s="51" t="s">
        <v>1422</v>
      </c>
      <c r="S45" s="51" t="s">
        <v>1344</v>
      </c>
      <c r="T45" s="51" t="s">
        <v>1423</v>
      </c>
      <c r="U45" s="51" t="s">
        <v>1331</v>
      </c>
      <c r="V45" s="51" t="s">
        <v>1972</v>
      </c>
      <c r="W45" s="51">
        <v>360</v>
      </c>
      <c r="X45" s="51">
        <v>72</v>
      </c>
      <c r="Y45" s="51" t="s">
        <v>1332</v>
      </c>
      <c r="Z45" s="51">
        <v>128.94999999999999</v>
      </c>
      <c r="AA45" s="51" t="s">
        <v>182</v>
      </c>
      <c r="AB45" s="54">
        <v>46422</v>
      </c>
      <c r="AC45" s="54">
        <v>9284.4</v>
      </c>
      <c r="AD45" s="51" t="s">
        <v>182</v>
      </c>
      <c r="AE45" s="51" t="s">
        <v>181</v>
      </c>
      <c r="AF45" s="51" t="s">
        <v>870</v>
      </c>
      <c r="AG45" s="51" t="s">
        <v>69</v>
      </c>
      <c r="AH45" s="51" t="s">
        <v>94</v>
      </c>
      <c r="AI45" s="51" t="s">
        <v>71</v>
      </c>
      <c r="AJ45" s="53">
        <v>42388</v>
      </c>
      <c r="AK45" s="51" t="s">
        <v>83</v>
      </c>
      <c r="AL45" s="53">
        <v>42402</v>
      </c>
      <c r="AM45" s="51" t="s">
        <v>72</v>
      </c>
      <c r="AN45" s="51">
        <v>62072124</v>
      </c>
      <c r="AO45" s="53">
        <v>42402</v>
      </c>
      <c r="AP45" s="51" t="s">
        <v>96</v>
      </c>
      <c r="AQ45" s="51" t="s">
        <v>1970</v>
      </c>
    </row>
    <row r="46" spans="1:43" x14ac:dyDescent="0.2">
      <c r="A46" s="51">
        <v>10020351</v>
      </c>
      <c r="B46" s="51">
        <v>3140</v>
      </c>
      <c r="C46" s="51" t="s">
        <v>26</v>
      </c>
      <c r="D46" s="51" t="s">
        <v>149</v>
      </c>
      <c r="E46" s="53">
        <v>42375</v>
      </c>
      <c r="F46" s="51"/>
      <c r="G46" s="51"/>
      <c r="H46" s="51">
        <v>1201047</v>
      </c>
      <c r="I46" s="51" t="s">
        <v>79</v>
      </c>
      <c r="J46" s="51">
        <v>1051549</v>
      </c>
      <c r="K46" s="51" t="s">
        <v>85</v>
      </c>
      <c r="L46" s="51">
        <v>1171089</v>
      </c>
      <c r="M46" s="51" t="s">
        <v>75</v>
      </c>
      <c r="N46" s="51">
        <v>12918731</v>
      </c>
      <c r="O46" s="51"/>
      <c r="P46" s="51"/>
      <c r="Q46" s="51">
        <v>52544024728</v>
      </c>
      <c r="R46" s="51" t="s">
        <v>1402</v>
      </c>
      <c r="S46" s="51" t="s">
        <v>1344</v>
      </c>
      <c r="T46" s="51" t="s">
        <v>1403</v>
      </c>
      <c r="U46" s="51" t="s">
        <v>1331</v>
      </c>
      <c r="V46" s="51"/>
      <c r="W46" s="51">
        <v>0</v>
      </c>
      <c r="X46" s="51">
        <v>648</v>
      </c>
      <c r="Y46" s="51" t="s">
        <v>1621</v>
      </c>
      <c r="Z46" s="51">
        <v>130.34</v>
      </c>
      <c r="AA46" s="51" t="s">
        <v>182</v>
      </c>
      <c r="AB46" s="51">
        <v>0</v>
      </c>
      <c r="AC46" s="54">
        <v>84460.32</v>
      </c>
      <c r="AD46" s="51" t="s">
        <v>182</v>
      </c>
      <c r="AE46" s="51" t="s">
        <v>181</v>
      </c>
      <c r="AF46" s="51" t="s">
        <v>870</v>
      </c>
      <c r="AG46" s="51" t="s">
        <v>69</v>
      </c>
      <c r="AH46" s="51" t="s">
        <v>94</v>
      </c>
      <c r="AI46" s="51" t="s">
        <v>71</v>
      </c>
      <c r="AJ46" s="53">
        <v>42388</v>
      </c>
      <c r="AK46" s="51" t="s">
        <v>83</v>
      </c>
      <c r="AL46" s="53">
        <v>42402</v>
      </c>
      <c r="AM46" s="51" t="s">
        <v>72</v>
      </c>
      <c r="AN46" s="51">
        <v>62072124</v>
      </c>
      <c r="AO46" s="53">
        <v>42402</v>
      </c>
      <c r="AP46" s="51" t="s">
        <v>96</v>
      </c>
      <c r="AQ46" s="51" t="s">
        <v>1970</v>
      </c>
    </row>
    <row r="47" spans="1:43" x14ac:dyDescent="0.2">
      <c r="A47" s="51">
        <v>10020352</v>
      </c>
      <c r="B47" s="51">
        <v>630</v>
      </c>
      <c r="C47" s="51" t="s">
        <v>18</v>
      </c>
      <c r="D47" s="51" t="s">
        <v>149</v>
      </c>
      <c r="E47" s="53">
        <v>42375</v>
      </c>
      <c r="F47" s="51">
        <v>93603985</v>
      </c>
      <c r="G47" s="51">
        <v>630</v>
      </c>
      <c r="H47" s="51">
        <v>1201047</v>
      </c>
      <c r="I47" s="51" t="s">
        <v>79</v>
      </c>
      <c r="J47" s="51">
        <v>1300235</v>
      </c>
      <c r="K47" s="51" t="s">
        <v>109</v>
      </c>
      <c r="L47" s="51">
        <v>1171089</v>
      </c>
      <c r="M47" s="51" t="s">
        <v>75</v>
      </c>
      <c r="N47" s="51">
        <v>8375498</v>
      </c>
      <c r="O47" s="51"/>
      <c r="P47" s="51"/>
      <c r="Q47" s="51">
        <v>52544094928</v>
      </c>
      <c r="R47" s="51" t="s">
        <v>1973</v>
      </c>
      <c r="S47" s="51" t="s">
        <v>1344</v>
      </c>
      <c r="T47" s="51" t="s">
        <v>1974</v>
      </c>
      <c r="U47" s="51" t="s">
        <v>1331</v>
      </c>
      <c r="V47" s="51"/>
      <c r="W47" s="51">
        <v>660</v>
      </c>
      <c r="X47" s="51">
        <v>12</v>
      </c>
      <c r="Y47" s="51" t="s">
        <v>1332</v>
      </c>
      <c r="Z47" s="51">
        <v>142.19</v>
      </c>
      <c r="AA47" s="51" t="s">
        <v>182</v>
      </c>
      <c r="AB47" s="54">
        <v>93845.4</v>
      </c>
      <c r="AC47" s="54">
        <v>1706.28</v>
      </c>
      <c r="AD47" s="51" t="s">
        <v>182</v>
      </c>
      <c r="AE47" s="51" t="s">
        <v>181</v>
      </c>
      <c r="AF47" s="51" t="s">
        <v>67</v>
      </c>
      <c r="AG47" s="51" t="s">
        <v>69</v>
      </c>
      <c r="AH47" s="51" t="s">
        <v>70</v>
      </c>
      <c r="AI47" s="51" t="s">
        <v>76</v>
      </c>
      <c r="AJ47" s="53">
        <v>42424</v>
      </c>
      <c r="AK47" s="51" t="s">
        <v>64</v>
      </c>
      <c r="AL47" s="53">
        <v>42423</v>
      </c>
      <c r="AM47" s="51" t="s">
        <v>100</v>
      </c>
      <c r="AN47" s="51">
        <v>62086914</v>
      </c>
      <c r="AO47" s="53">
        <v>42424</v>
      </c>
      <c r="AP47" s="51" t="s">
        <v>77</v>
      </c>
      <c r="AQ47" s="51" t="s">
        <v>803</v>
      </c>
    </row>
    <row r="48" spans="1:43" x14ac:dyDescent="0.2">
      <c r="A48" s="51">
        <v>10020353</v>
      </c>
      <c r="B48" s="51">
        <v>2410</v>
      </c>
      <c r="C48" s="51" t="s">
        <v>26</v>
      </c>
      <c r="D48" s="51" t="s">
        <v>149</v>
      </c>
      <c r="E48" s="53">
        <v>42375</v>
      </c>
      <c r="F48" s="51">
        <v>93641824</v>
      </c>
      <c r="G48" s="51">
        <v>2410</v>
      </c>
      <c r="H48" s="51">
        <v>1201047</v>
      </c>
      <c r="I48" s="51" t="s">
        <v>79</v>
      </c>
      <c r="J48" s="51">
        <v>1003718</v>
      </c>
      <c r="K48" s="51" t="s">
        <v>80</v>
      </c>
      <c r="L48" s="51">
        <v>1171089</v>
      </c>
      <c r="M48" s="51" t="s">
        <v>75</v>
      </c>
      <c r="N48" s="51">
        <v>17402078</v>
      </c>
      <c r="O48" s="51"/>
      <c r="P48" s="51"/>
      <c r="Q48" s="51">
        <v>591521505</v>
      </c>
      <c r="R48" s="51" t="s">
        <v>1975</v>
      </c>
      <c r="S48" s="51" t="s">
        <v>1322</v>
      </c>
      <c r="T48" s="51" t="s">
        <v>1976</v>
      </c>
      <c r="U48" s="51" t="s">
        <v>1331</v>
      </c>
      <c r="V48" s="51" t="s">
        <v>1977</v>
      </c>
      <c r="W48" s="51">
        <v>30</v>
      </c>
      <c r="X48" s="51">
        <v>6</v>
      </c>
      <c r="Y48" s="51" t="s">
        <v>1332</v>
      </c>
      <c r="Z48" s="51">
        <v>249.9</v>
      </c>
      <c r="AA48" s="51" t="s">
        <v>182</v>
      </c>
      <c r="AB48" s="54">
        <v>7497</v>
      </c>
      <c r="AC48" s="54">
        <v>1499.4</v>
      </c>
      <c r="AD48" s="51" t="s">
        <v>182</v>
      </c>
      <c r="AE48" s="51" t="s">
        <v>181</v>
      </c>
      <c r="AF48" s="51" t="s">
        <v>91</v>
      </c>
      <c r="AG48" s="51" t="s">
        <v>69</v>
      </c>
      <c r="AH48" s="51" t="s">
        <v>94</v>
      </c>
      <c r="AI48" s="51" t="s">
        <v>95</v>
      </c>
      <c r="AJ48" s="53">
        <v>42381</v>
      </c>
      <c r="AK48" s="51" t="s">
        <v>64</v>
      </c>
      <c r="AL48" s="53">
        <v>42375</v>
      </c>
      <c r="AM48" s="51" t="s">
        <v>100</v>
      </c>
      <c r="AN48" s="51">
        <v>62076602</v>
      </c>
      <c r="AO48" s="53">
        <v>42408</v>
      </c>
      <c r="AP48" s="51" t="s">
        <v>96</v>
      </c>
      <c r="AQ48" s="51" t="s">
        <v>1978</v>
      </c>
    </row>
    <row r="49" spans="1:43" x14ac:dyDescent="0.2">
      <c r="A49" s="51">
        <v>10020354</v>
      </c>
      <c r="B49" s="51">
        <v>2640</v>
      </c>
      <c r="C49" s="51" t="s">
        <v>18</v>
      </c>
      <c r="D49" s="51" t="s">
        <v>149</v>
      </c>
      <c r="E49" s="53">
        <v>42376</v>
      </c>
      <c r="F49" s="51">
        <v>93642469</v>
      </c>
      <c r="G49" s="51">
        <v>2640</v>
      </c>
      <c r="H49" s="51">
        <v>1201047</v>
      </c>
      <c r="I49" s="51" t="s">
        <v>79</v>
      </c>
      <c r="J49" s="51">
        <v>1030742</v>
      </c>
      <c r="K49" s="51" t="s">
        <v>80</v>
      </c>
      <c r="L49" s="51">
        <v>1171089</v>
      </c>
      <c r="M49" s="51" t="s">
        <v>75</v>
      </c>
      <c r="N49" s="51">
        <v>20937276</v>
      </c>
      <c r="O49" s="51"/>
      <c r="P49" s="51"/>
      <c r="Q49" s="51">
        <v>591352530</v>
      </c>
      <c r="R49" s="51" t="s">
        <v>1442</v>
      </c>
      <c r="S49" s="51" t="s">
        <v>1322</v>
      </c>
      <c r="T49" s="51" t="s">
        <v>1443</v>
      </c>
      <c r="U49" s="51" t="s">
        <v>1331</v>
      </c>
      <c r="V49" s="51"/>
      <c r="W49" s="51">
        <v>1404</v>
      </c>
      <c r="X49" s="51">
        <v>12</v>
      </c>
      <c r="Y49" s="51" t="s">
        <v>1332</v>
      </c>
      <c r="Z49" s="51">
        <v>224.65</v>
      </c>
      <c r="AA49" s="51" t="s">
        <v>182</v>
      </c>
      <c r="AB49" s="54">
        <v>315408.59999999998</v>
      </c>
      <c r="AC49" s="54">
        <v>2695.8</v>
      </c>
      <c r="AD49" s="51" t="s">
        <v>182</v>
      </c>
      <c r="AE49" s="51" t="s">
        <v>181</v>
      </c>
      <c r="AF49" s="51" t="s">
        <v>168</v>
      </c>
      <c r="AG49" s="51" t="s">
        <v>69</v>
      </c>
      <c r="AH49" s="51" t="s">
        <v>70</v>
      </c>
      <c r="AI49" s="51" t="s">
        <v>76</v>
      </c>
      <c r="AJ49" s="53">
        <v>42377</v>
      </c>
      <c r="AK49" s="51" t="s">
        <v>64</v>
      </c>
      <c r="AL49" s="53">
        <v>42376</v>
      </c>
      <c r="AM49" s="51" t="s">
        <v>100</v>
      </c>
      <c r="AN49" s="51">
        <v>62073491</v>
      </c>
      <c r="AO49" s="53">
        <v>42403</v>
      </c>
      <c r="AP49" s="51" t="s">
        <v>77</v>
      </c>
      <c r="AQ49" s="51" t="s">
        <v>223</v>
      </c>
    </row>
    <row r="50" spans="1:43" x14ac:dyDescent="0.2">
      <c r="A50" s="51">
        <v>10020356</v>
      </c>
      <c r="B50" s="51">
        <v>410</v>
      </c>
      <c r="C50" s="51" t="s">
        <v>26</v>
      </c>
      <c r="D50" s="51" t="s">
        <v>149</v>
      </c>
      <c r="E50" s="53">
        <v>42376</v>
      </c>
      <c r="F50" s="51">
        <v>93641853</v>
      </c>
      <c r="G50" s="51">
        <v>410</v>
      </c>
      <c r="H50" s="51">
        <v>1201047</v>
      </c>
      <c r="I50" s="51" t="s">
        <v>79</v>
      </c>
      <c r="J50" s="51">
        <v>1003696</v>
      </c>
      <c r="K50" s="51" t="s">
        <v>80</v>
      </c>
      <c r="L50" s="51">
        <v>1171089</v>
      </c>
      <c r="M50" s="51" t="s">
        <v>75</v>
      </c>
      <c r="N50" s="51">
        <v>24515803</v>
      </c>
      <c r="O50" s="51"/>
      <c r="P50" s="51"/>
      <c r="Q50" s="51">
        <v>228300450</v>
      </c>
      <c r="R50" s="51" t="s">
        <v>1826</v>
      </c>
      <c r="S50" s="51" t="s">
        <v>1322</v>
      </c>
      <c r="T50" s="51" t="s">
        <v>1564</v>
      </c>
      <c r="U50" s="51">
        <v>4</v>
      </c>
      <c r="V50" s="51" t="s">
        <v>1979</v>
      </c>
      <c r="W50" s="51">
        <v>72</v>
      </c>
      <c r="X50" s="51">
        <v>12</v>
      </c>
      <c r="Y50" s="51" t="s">
        <v>1332</v>
      </c>
      <c r="Z50" s="51">
        <v>21</v>
      </c>
      <c r="AA50" s="51" t="s">
        <v>182</v>
      </c>
      <c r="AB50" s="54">
        <v>1512</v>
      </c>
      <c r="AC50" s="51">
        <v>252</v>
      </c>
      <c r="AD50" s="51" t="s">
        <v>182</v>
      </c>
      <c r="AE50" s="51" t="s">
        <v>181</v>
      </c>
      <c r="AF50" s="51" t="s">
        <v>91</v>
      </c>
      <c r="AG50" s="51" t="s">
        <v>63</v>
      </c>
      <c r="AH50" s="51" t="s">
        <v>94</v>
      </c>
      <c r="AI50" s="51" t="s">
        <v>82</v>
      </c>
      <c r="AJ50" s="53">
        <v>42377</v>
      </c>
      <c r="AK50" s="51" t="s">
        <v>83</v>
      </c>
      <c r="AL50" s="53">
        <v>42376</v>
      </c>
      <c r="AM50" s="51"/>
      <c r="AN50" s="51"/>
      <c r="AO50" s="51"/>
      <c r="AP50" s="51" t="s">
        <v>89</v>
      </c>
      <c r="AQ50" s="51" t="s">
        <v>1980</v>
      </c>
    </row>
    <row r="51" spans="1:43" x14ac:dyDescent="0.2">
      <c r="A51" s="51">
        <v>10020357</v>
      </c>
      <c r="B51" s="51">
        <v>2140</v>
      </c>
      <c r="C51" s="51" t="s">
        <v>18</v>
      </c>
      <c r="D51" s="51" t="s">
        <v>149</v>
      </c>
      <c r="E51" s="53">
        <v>42376</v>
      </c>
      <c r="F51" s="51">
        <v>93626032</v>
      </c>
      <c r="G51" s="51">
        <v>2140</v>
      </c>
      <c r="H51" s="51">
        <v>1201047</v>
      </c>
      <c r="I51" s="51" t="s">
        <v>79</v>
      </c>
      <c r="J51" s="51">
        <v>1022214</v>
      </c>
      <c r="K51" s="51" t="s">
        <v>80</v>
      </c>
      <c r="L51" s="51">
        <v>1171089</v>
      </c>
      <c r="M51" s="51" t="s">
        <v>75</v>
      </c>
      <c r="N51" s="51">
        <v>4747654</v>
      </c>
      <c r="O51" s="51"/>
      <c r="P51" s="51"/>
      <c r="Q51" s="51">
        <v>52544026829</v>
      </c>
      <c r="R51" s="51" t="s">
        <v>1981</v>
      </c>
      <c r="S51" s="51" t="s">
        <v>1344</v>
      </c>
      <c r="T51" s="51" t="s">
        <v>1982</v>
      </c>
      <c r="U51" s="51" t="s">
        <v>1331</v>
      </c>
      <c r="V51" s="51" t="s">
        <v>1983</v>
      </c>
      <c r="W51" s="51">
        <v>144</v>
      </c>
      <c r="X51" s="51">
        <v>3</v>
      </c>
      <c r="Y51" s="51" t="s">
        <v>1332</v>
      </c>
      <c r="Z51" s="51">
        <v>429.68</v>
      </c>
      <c r="AA51" s="51" t="s">
        <v>182</v>
      </c>
      <c r="AB51" s="54">
        <v>61873.919999999998</v>
      </c>
      <c r="AC51" s="54">
        <v>1289.04</v>
      </c>
      <c r="AD51" s="51" t="s">
        <v>182</v>
      </c>
      <c r="AE51" s="51" t="s">
        <v>181</v>
      </c>
      <c r="AF51" s="51" t="s">
        <v>67</v>
      </c>
      <c r="AG51" s="51" t="s">
        <v>69</v>
      </c>
      <c r="AH51" s="51" t="s">
        <v>70</v>
      </c>
      <c r="AI51" s="51" t="s">
        <v>76</v>
      </c>
      <c r="AJ51" s="53">
        <v>42377</v>
      </c>
      <c r="AK51" s="51" t="s">
        <v>64</v>
      </c>
      <c r="AL51" s="53">
        <v>42376</v>
      </c>
      <c r="AM51" s="51" t="s">
        <v>100</v>
      </c>
      <c r="AN51" s="51">
        <v>62073487</v>
      </c>
      <c r="AO51" s="53">
        <v>42403</v>
      </c>
      <c r="AP51" s="51" t="s">
        <v>77</v>
      </c>
      <c r="AQ51" s="51" t="s">
        <v>228</v>
      </c>
    </row>
    <row r="52" spans="1:43" x14ac:dyDescent="0.2">
      <c r="A52" s="51">
        <v>10020358</v>
      </c>
      <c r="B52" s="51">
        <v>80</v>
      </c>
      <c r="C52" s="51" t="s">
        <v>18</v>
      </c>
      <c r="D52" s="51" t="s">
        <v>573</v>
      </c>
      <c r="E52" s="53">
        <v>42376</v>
      </c>
      <c r="F52" s="51">
        <v>93643392</v>
      </c>
      <c r="G52" s="51">
        <v>80</v>
      </c>
      <c r="H52" s="51">
        <v>1201215</v>
      </c>
      <c r="I52" s="51" t="s">
        <v>138</v>
      </c>
      <c r="J52" s="51">
        <v>1337407</v>
      </c>
      <c r="K52" s="51" t="s">
        <v>822</v>
      </c>
      <c r="L52" s="51">
        <v>1201215</v>
      </c>
      <c r="M52" s="51" t="s">
        <v>138</v>
      </c>
      <c r="N52" s="51">
        <v>6003292710</v>
      </c>
      <c r="O52" s="51"/>
      <c r="P52" s="51"/>
      <c r="Q52" s="51">
        <v>591352530</v>
      </c>
      <c r="R52" s="51" t="s">
        <v>1442</v>
      </c>
      <c r="S52" s="51" t="s">
        <v>1322</v>
      </c>
      <c r="T52" s="51" t="s">
        <v>1443</v>
      </c>
      <c r="U52" s="51" t="s">
        <v>1331</v>
      </c>
      <c r="V52" s="51"/>
      <c r="W52" s="51">
        <v>1848</v>
      </c>
      <c r="X52" s="51">
        <v>12</v>
      </c>
      <c r="Y52" s="51" t="s">
        <v>1332</v>
      </c>
      <c r="Z52" s="51">
        <v>151</v>
      </c>
      <c r="AA52" s="51" t="s">
        <v>182</v>
      </c>
      <c r="AB52" s="54">
        <v>279048</v>
      </c>
      <c r="AC52" s="54">
        <v>1812</v>
      </c>
      <c r="AD52" s="51" t="s">
        <v>182</v>
      </c>
      <c r="AE52" s="51" t="s">
        <v>181</v>
      </c>
      <c r="AF52" s="51" t="s">
        <v>102</v>
      </c>
      <c r="AG52" s="51" t="s">
        <v>69</v>
      </c>
      <c r="AH52" s="51" t="s">
        <v>70</v>
      </c>
      <c r="AI52" s="51" t="s">
        <v>76</v>
      </c>
      <c r="AJ52" s="53">
        <v>42377</v>
      </c>
      <c r="AK52" s="51" t="s">
        <v>64</v>
      </c>
      <c r="AL52" s="53">
        <v>42376</v>
      </c>
      <c r="AM52" s="51" t="s">
        <v>100</v>
      </c>
      <c r="AN52" s="51">
        <v>62073499</v>
      </c>
      <c r="AO52" s="53">
        <v>42403</v>
      </c>
      <c r="AP52" s="51" t="s">
        <v>77</v>
      </c>
      <c r="AQ52" s="51" t="s">
        <v>803</v>
      </c>
    </row>
    <row r="53" spans="1:43" x14ac:dyDescent="0.2">
      <c r="A53" s="51">
        <v>10020365</v>
      </c>
      <c r="B53" s="51">
        <v>520</v>
      </c>
      <c r="C53" s="51" t="s">
        <v>18</v>
      </c>
      <c r="D53" s="51" t="s">
        <v>573</v>
      </c>
      <c r="E53" s="53">
        <v>42376</v>
      </c>
      <c r="F53" s="51">
        <v>93646947</v>
      </c>
      <c r="G53" s="51">
        <v>520</v>
      </c>
      <c r="H53" s="51">
        <v>1201120</v>
      </c>
      <c r="I53" s="51" t="s">
        <v>117</v>
      </c>
      <c r="J53" s="51">
        <v>1307782</v>
      </c>
      <c r="K53" s="51" t="s">
        <v>119</v>
      </c>
      <c r="L53" s="51">
        <v>1171090</v>
      </c>
      <c r="M53" s="51" t="s">
        <v>118</v>
      </c>
      <c r="N53" s="51" t="s">
        <v>1260</v>
      </c>
      <c r="O53" s="51"/>
      <c r="P53" s="51"/>
      <c r="Q53" s="51">
        <v>591215990</v>
      </c>
      <c r="R53" s="51" t="s">
        <v>1984</v>
      </c>
      <c r="S53" s="51" t="s">
        <v>1322</v>
      </c>
      <c r="T53" s="51" t="s">
        <v>1985</v>
      </c>
      <c r="U53" s="51" t="s">
        <v>1331</v>
      </c>
      <c r="V53" s="51" t="s">
        <v>1986</v>
      </c>
      <c r="W53" s="51">
        <v>480</v>
      </c>
      <c r="X53" s="51">
        <v>10</v>
      </c>
      <c r="Y53" s="51" t="s">
        <v>1332</v>
      </c>
      <c r="Z53" s="51">
        <v>117.88</v>
      </c>
      <c r="AA53" s="51" t="s">
        <v>182</v>
      </c>
      <c r="AB53" s="54">
        <v>56582.400000000001</v>
      </c>
      <c r="AC53" s="54">
        <v>1178.8</v>
      </c>
      <c r="AD53" s="51" t="s">
        <v>182</v>
      </c>
      <c r="AE53" s="51" t="s">
        <v>181</v>
      </c>
      <c r="AF53" s="51" t="s">
        <v>102</v>
      </c>
      <c r="AG53" s="51" t="s">
        <v>69</v>
      </c>
      <c r="AH53" s="51" t="s">
        <v>70</v>
      </c>
      <c r="AI53" s="51" t="s">
        <v>76</v>
      </c>
      <c r="AJ53" s="53">
        <v>42377</v>
      </c>
      <c r="AK53" s="51" t="s">
        <v>64</v>
      </c>
      <c r="AL53" s="53">
        <v>42376</v>
      </c>
      <c r="AM53" s="51" t="s">
        <v>100</v>
      </c>
      <c r="AN53" s="51">
        <v>62073495</v>
      </c>
      <c r="AO53" s="53">
        <v>42403</v>
      </c>
      <c r="AP53" s="51" t="s">
        <v>77</v>
      </c>
      <c r="AQ53" s="51" t="s">
        <v>1987</v>
      </c>
    </row>
    <row r="54" spans="1:43" x14ac:dyDescent="0.2">
      <c r="A54" s="51">
        <v>10020375</v>
      </c>
      <c r="B54" s="51">
        <v>10</v>
      </c>
      <c r="C54" s="51" t="s">
        <v>17</v>
      </c>
      <c r="D54" s="51" t="s">
        <v>78</v>
      </c>
      <c r="E54" s="53">
        <v>42376</v>
      </c>
      <c r="F54" s="51">
        <v>93648247</v>
      </c>
      <c r="G54" s="51">
        <v>10</v>
      </c>
      <c r="H54" s="51">
        <v>1201399</v>
      </c>
      <c r="I54" s="51" t="s">
        <v>144</v>
      </c>
      <c r="J54" s="51">
        <v>1002081</v>
      </c>
      <c r="K54" s="51" t="s">
        <v>145</v>
      </c>
      <c r="L54" s="51">
        <v>1171970</v>
      </c>
      <c r="M54" s="51" t="s">
        <v>144</v>
      </c>
      <c r="N54" s="51">
        <v>8772999145</v>
      </c>
      <c r="O54" s="51"/>
      <c r="P54" s="51"/>
      <c r="Q54" s="51">
        <v>591321272</v>
      </c>
      <c r="R54" s="51" t="s">
        <v>1731</v>
      </c>
      <c r="S54" s="51" t="s">
        <v>1322</v>
      </c>
      <c r="T54" s="51" t="s">
        <v>1732</v>
      </c>
      <c r="U54" s="51">
        <v>2</v>
      </c>
      <c r="V54" s="51" t="s">
        <v>1733</v>
      </c>
      <c r="W54" s="51">
        <v>144</v>
      </c>
      <c r="X54" s="51">
        <v>1</v>
      </c>
      <c r="Y54" s="51" t="s">
        <v>1332</v>
      </c>
      <c r="Z54" s="51">
        <v>63.33</v>
      </c>
      <c r="AA54" s="51" t="s">
        <v>182</v>
      </c>
      <c r="AB54" s="54">
        <v>9119.52</v>
      </c>
      <c r="AC54" s="51">
        <v>63.33</v>
      </c>
      <c r="AD54" s="51" t="s">
        <v>182</v>
      </c>
      <c r="AE54" s="51" t="s">
        <v>181</v>
      </c>
      <c r="AF54" s="51" t="s">
        <v>97</v>
      </c>
      <c r="AG54" s="51" t="s">
        <v>63</v>
      </c>
      <c r="AH54" s="51" t="s">
        <v>105</v>
      </c>
      <c r="AI54" s="51" t="s">
        <v>82</v>
      </c>
      <c r="AJ54" s="53">
        <v>42405</v>
      </c>
      <c r="AK54" s="51" t="s">
        <v>64</v>
      </c>
      <c r="AL54" s="53">
        <v>42376</v>
      </c>
      <c r="AM54" s="51"/>
      <c r="AN54" s="51"/>
      <c r="AO54" s="51"/>
      <c r="AP54" s="51" t="s">
        <v>89</v>
      </c>
      <c r="AQ54" s="51" t="s">
        <v>1743</v>
      </c>
    </row>
    <row r="55" spans="1:43" x14ac:dyDescent="0.2">
      <c r="A55" s="51">
        <v>10020382</v>
      </c>
      <c r="B55" s="51">
        <v>980</v>
      </c>
      <c r="C55" s="51" t="s">
        <v>26</v>
      </c>
      <c r="D55" s="51" t="s">
        <v>149</v>
      </c>
      <c r="E55" s="53">
        <v>42376</v>
      </c>
      <c r="F55" s="51">
        <v>93638346</v>
      </c>
      <c r="G55" s="51">
        <v>980</v>
      </c>
      <c r="H55" s="51">
        <v>1201047</v>
      </c>
      <c r="I55" s="51" t="s">
        <v>79</v>
      </c>
      <c r="J55" s="51">
        <v>1311671</v>
      </c>
      <c r="K55" s="51" t="s">
        <v>90</v>
      </c>
      <c r="L55" s="51">
        <v>1171089</v>
      </c>
      <c r="M55" s="51" t="s">
        <v>75</v>
      </c>
      <c r="N55" s="51">
        <v>21470631</v>
      </c>
      <c r="O55" s="51"/>
      <c r="P55" s="51"/>
      <c r="Q55" s="51">
        <v>591578801</v>
      </c>
      <c r="R55" s="51" t="s">
        <v>1988</v>
      </c>
      <c r="S55" s="51" t="s">
        <v>1322</v>
      </c>
      <c r="T55" s="51" t="s">
        <v>1837</v>
      </c>
      <c r="U55" s="51" t="s">
        <v>1331</v>
      </c>
      <c r="V55" s="51" t="s">
        <v>1989</v>
      </c>
      <c r="W55" s="51">
        <v>144</v>
      </c>
      <c r="X55" s="51">
        <v>48</v>
      </c>
      <c r="Y55" s="51" t="s">
        <v>1332</v>
      </c>
      <c r="Z55" s="51">
        <v>18.399999999999999</v>
      </c>
      <c r="AA55" s="51" t="s">
        <v>182</v>
      </c>
      <c r="AB55" s="54">
        <v>2649.6</v>
      </c>
      <c r="AC55" s="51">
        <v>883.2</v>
      </c>
      <c r="AD55" s="51" t="s">
        <v>182</v>
      </c>
      <c r="AE55" s="51" t="s">
        <v>181</v>
      </c>
      <c r="AF55" s="51" t="s">
        <v>91</v>
      </c>
      <c r="AG55" s="51" t="s">
        <v>63</v>
      </c>
      <c r="AH55" s="51" t="s">
        <v>81</v>
      </c>
      <c r="AI55" s="51" t="s">
        <v>88</v>
      </c>
      <c r="AJ55" s="53">
        <v>42394</v>
      </c>
      <c r="AK55" s="51" t="s">
        <v>64</v>
      </c>
      <c r="AL55" s="53">
        <v>42376</v>
      </c>
      <c r="AM55" s="51"/>
      <c r="AN55" s="51"/>
      <c r="AO55" s="51"/>
      <c r="AP55" s="51" t="s">
        <v>89</v>
      </c>
      <c r="AQ55" s="51" t="s">
        <v>848</v>
      </c>
    </row>
    <row r="56" spans="1:43" x14ac:dyDescent="0.2">
      <c r="A56" s="51">
        <v>10020383</v>
      </c>
      <c r="B56" s="51">
        <v>2290</v>
      </c>
      <c r="C56" s="51" t="s">
        <v>26</v>
      </c>
      <c r="D56" s="51" t="s">
        <v>149</v>
      </c>
      <c r="E56" s="53">
        <v>42376</v>
      </c>
      <c r="F56" s="51">
        <v>93638314</v>
      </c>
      <c r="G56" s="51">
        <v>2290</v>
      </c>
      <c r="H56" s="51">
        <v>1201047</v>
      </c>
      <c r="I56" s="51" t="s">
        <v>79</v>
      </c>
      <c r="J56" s="51">
        <v>1311671</v>
      </c>
      <c r="K56" s="51" t="s">
        <v>90</v>
      </c>
      <c r="L56" s="51">
        <v>1171089</v>
      </c>
      <c r="M56" s="51" t="s">
        <v>75</v>
      </c>
      <c r="N56" s="51">
        <v>21470631</v>
      </c>
      <c r="O56" s="51"/>
      <c r="P56" s="51"/>
      <c r="Q56" s="51">
        <v>52544098231</v>
      </c>
      <c r="R56" s="51" t="s">
        <v>1990</v>
      </c>
      <c r="S56" s="51" t="s">
        <v>1344</v>
      </c>
      <c r="T56" s="51" t="s">
        <v>1991</v>
      </c>
      <c r="U56" s="51" t="s">
        <v>1331</v>
      </c>
      <c r="V56" s="51"/>
      <c r="W56" s="51">
        <v>504</v>
      </c>
      <c r="X56" s="51">
        <v>192</v>
      </c>
      <c r="Y56" s="51" t="s">
        <v>1332</v>
      </c>
      <c r="Z56" s="51">
        <v>169.95</v>
      </c>
      <c r="AA56" s="51" t="s">
        <v>182</v>
      </c>
      <c r="AB56" s="54">
        <v>85654.8</v>
      </c>
      <c r="AC56" s="54">
        <v>32630.400000000001</v>
      </c>
      <c r="AD56" s="51" t="s">
        <v>182</v>
      </c>
      <c r="AE56" s="51" t="s">
        <v>181</v>
      </c>
      <c r="AF56" s="51" t="s">
        <v>91</v>
      </c>
      <c r="AG56" s="51" t="s">
        <v>63</v>
      </c>
      <c r="AH56" s="51" t="s">
        <v>94</v>
      </c>
      <c r="AI56" s="51" t="s">
        <v>82</v>
      </c>
      <c r="AJ56" s="53">
        <v>42389</v>
      </c>
      <c r="AK56" s="51"/>
      <c r="AL56" s="51"/>
      <c r="AM56" s="51"/>
      <c r="AN56" s="51"/>
      <c r="AO56" s="51"/>
      <c r="AP56" s="51" t="s">
        <v>96</v>
      </c>
      <c r="AQ56" s="51" t="s">
        <v>1992</v>
      </c>
    </row>
    <row r="57" spans="1:43" x14ac:dyDescent="0.2">
      <c r="A57" s="51">
        <v>10020395</v>
      </c>
      <c r="B57" s="51">
        <v>2480</v>
      </c>
      <c r="C57" s="51" t="s">
        <v>22</v>
      </c>
      <c r="D57" s="51" t="s">
        <v>573</v>
      </c>
      <c r="E57" s="53">
        <v>42377</v>
      </c>
      <c r="F57" s="51">
        <v>93624225</v>
      </c>
      <c r="G57" s="51">
        <v>2480</v>
      </c>
      <c r="H57" s="51">
        <v>1201047</v>
      </c>
      <c r="I57" s="51" t="s">
        <v>79</v>
      </c>
      <c r="J57" s="51">
        <v>1309880</v>
      </c>
      <c r="K57" s="51" t="s">
        <v>108</v>
      </c>
      <c r="L57" s="51">
        <v>1171089</v>
      </c>
      <c r="M57" s="51" t="s">
        <v>75</v>
      </c>
      <c r="N57" s="51">
        <v>18758757</v>
      </c>
      <c r="O57" s="51"/>
      <c r="P57" s="51"/>
      <c r="Q57" s="51">
        <v>62037083920</v>
      </c>
      <c r="R57" s="51" t="s">
        <v>1427</v>
      </c>
      <c r="S57" s="51" t="s">
        <v>1322</v>
      </c>
      <c r="T57" s="51" t="s">
        <v>1362</v>
      </c>
      <c r="U57" s="51" t="s">
        <v>1331</v>
      </c>
      <c r="V57" s="51" t="s">
        <v>1993</v>
      </c>
      <c r="W57" s="51">
        <v>450</v>
      </c>
      <c r="X57" s="51">
        <v>70</v>
      </c>
      <c r="Y57" s="51" t="s">
        <v>1332</v>
      </c>
      <c r="Z57" s="51">
        <v>165</v>
      </c>
      <c r="AA57" s="51" t="s">
        <v>182</v>
      </c>
      <c r="AB57" s="54">
        <v>74250</v>
      </c>
      <c r="AC57" s="54">
        <v>11550</v>
      </c>
      <c r="AD57" s="51" t="s">
        <v>182</v>
      </c>
      <c r="AE57" s="51" t="s">
        <v>181</v>
      </c>
      <c r="AF57" s="51" t="s">
        <v>91</v>
      </c>
      <c r="AG57" s="51" t="s">
        <v>63</v>
      </c>
      <c r="AH57" s="51" t="s">
        <v>94</v>
      </c>
      <c r="AI57" s="51" t="s">
        <v>141</v>
      </c>
      <c r="AJ57" s="53">
        <v>42383</v>
      </c>
      <c r="AK57" s="51" t="s">
        <v>64</v>
      </c>
      <c r="AL57" s="53">
        <v>42377</v>
      </c>
      <c r="AM57" s="51"/>
      <c r="AN57" s="51"/>
      <c r="AO57" s="51"/>
      <c r="AP57" s="51" t="s">
        <v>142</v>
      </c>
      <c r="AQ57" s="51" t="s">
        <v>1994</v>
      </c>
    </row>
    <row r="58" spans="1:43" x14ac:dyDescent="0.2">
      <c r="A58" s="51">
        <v>10020396</v>
      </c>
      <c r="B58" s="51">
        <v>2270</v>
      </c>
      <c r="C58" s="51" t="s">
        <v>18</v>
      </c>
      <c r="D58" s="51" t="s">
        <v>149</v>
      </c>
      <c r="E58" s="53">
        <v>42377</v>
      </c>
      <c r="F58" s="51">
        <v>93639893</v>
      </c>
      <c r="G58" s="51">
        <v>2270</v>
      </c>
      <c r="H58" s="51">
        <v>1201047</v>
      </c>
      <c r="I58" s="51" t="s">
        <v>79</v>
      </c>
      <c r="J58" s="51">
        <v>1022214</v>
      </c>
      <c r="K58" s="51" t="s">
        <v>80</v>
      </c>
      <c r="L58" s="51">
        <v>1171089</v>
      </c>
      <c r="M58" s="51" t="s">
        <v>75</v>
      </c>
      <c r="N58" s="51">
        <v>4749170</v>
      </c>
      <c r="O58" s="51"/>
      <c r="P58" s="51"/>
      <c r="Q58" s="51">
        <v>591376730</v>
      </c>
      <c r="R58" s="51" t="s">
        <v>1594</v>
      </c>
      <c r="S58" s="51" t="s">
        <v>1322</v>
      </c>
      <c r="T58" s="51" t="s">
        <v>1591</v>
      </c>
      <c r="U58" s="51" t="s">
        <v>1331</v>
      </c>
      <c r="V58" s="51" t="s">
        <v>1862</v>
      </c>
      <c r="W58" s="51">
        <v>384</v>
      </c>
      <c r="X58" s="51">
        <v>24</v>
      </c>
      <c r="Y58" s="51" t="s">
        <v>1332</v>
      </c>
      <c r="Z58" s="51">
        <v>225.94</v>
      </c>
      <c r="AA58" s="51" t="s">
        <v>182</v>
      </c>
      <c r="AB58" s="54">
        <v>86760.960000000006</v>
      </c>
      <c r="AC58" s="54">
        <v>5422.56</v>
      </c>
      <c r="AD58" s="51" t="s">
        <v>182</v>
      </c>
      <c r="AE58" s="51" t="s">
        <v>181</v>
      </c>
      <c r="AF58" s="51" t="s">
        <v>67</v>
      </c>
      <c r="AG58" s="51" t="s">
        <v>69</v>
      </c>
      <c r="AH58" s="51" t="s">
        <v>70</v>
      </c>
      <c r="AI58" s="51" t="s">
        <v>76</v>
      </c>
      <c r="AJ58" s="53">
        <v>42377</v>
      </c>
      <c r="AK58" s="51" t="s">
        <v>64</v>
      </c>
      <c r="AL58" s="53">
        <v>42377</v>
      </c>
      <c r="AM58" s="51" t="s">
        <v>100</v>
      </c>
      <c r="AN58" s="51">
        <v>62073492</v>
      </c>
      <c r="AO58" s="53">
        <v>42403</v>
      </c>
      <c r="AP58" s="51" t="s">
        <v>77</v>
      </c>
      <c r="AQ58" s="51" t="s">
        <v>1995</v>
      </c>
    </row>
    <row r="59" spans="1:43" x14ac:dyDescent="0.2">
      <c r="A59" s="51">
        <v>10020401</v>
      </c>
      <c r="B59" s="51">
        <v>1250</v>
      </c>
      <c r="C59" s="51" t="s">
        <v>26</v>
      </c>
      <c r="D59" s="51" t="s">
        <v>573</v>
      </c>
      <c r="E59" s="53">
        <v>42377</v>
      </c>
      <c r="F59" s="51">
        <v>93638312</v>
      </c>
      <c r="G59" s="51">
        <v>1250</v>
      </c>
      <c r="H59" s="51">
        <v>1201047</v>
      </c>
      <c r="I59" s="51" t="s">
        <v>79</v>
      </c>
      <c r="J59" s="51">
        <v>1321618</v>
      </c>
      <c r="K59" s="51" t="s">
        <v>85</v>
      </c>
      <c r="L59" s="51">
        <v>1171089</v>
      </c>
      <c r="M59" s="51" t="s">
        <v>75</v>
      </c>
      <c r="N59" s="51">
        <v>55531004</v>
      </c>
      <c r="O59" s="51"/>
      <c r="P59" s="51"/>
      <c r="Q59" s="51">
        <v>52544089228</v>
      </c>
      <c r="R59" s="51" t="s">
        <v>1996</v>
      </c>
      <c r="S59" s="51" t="s">
        <v>1344</v>
      </c>
      <c r="T59" s="51" t="s">
        <v>1997</v>
      </c>
      <c r="U59" s="51" t="s">
        <v>1331</v>
      </c>
      <c r="V59" s="51" t="s">
        <v>1998</v>
      </c>
      <c r="W59" s="51">
        <v>48</v>
      </c>
      <c r="X59" s="51">
        <v>48</v>
      </c>
      <c r="Y59" s="51" t="s">
        <v>1332</v>
      </c>
      <c r="Z59" s="51">
        <v>149.31</v>
      </c>
      <c r="AA59" s="51" t="s">
        <v>182</v>
      </c>
      <c r="AB59" s="54">
        <v>7166.88</v>
      </c>
      <c r="AC59" s="54">
        <v>7166.88</v>
      </c>
      <c r="AD59" s="51" t="s">
        <v>182</v>
      </c>
      <c r="AE59" s="51" t="s">
        <v>181</v>
      </c>
      <c r="AF59" s="51" t="s">
        <v>91</v>
      </c>
      <c r="AG59" s="51" t="s">
        <v>63</v>
      </c>
      <c r="AH59" s="51" t="s">
        <v>81</v>
      </c>
      <c r="AI59" s="51" t="s">
        <v>88</v>
      </c>
      <c r="AJ59" s="53">
        <v>42402</v>
      </c>
      <c r="AK59" s="51" t="s">
        <v>64</v>
      </c>
      <c r="AL59" s="53">
        <v>42377</v>
      </c>
      <c r="AM59" s="51"/>
      <c r="AN59" s="51"/>
      <c r="AO59" s="51"/>
      <c r="AP59" s="51" t="s">
        <v>89</v>
      </c>
      <c r="AQ59" s="51" t="s">
        <v>274</v>
      </c>
    </row>
    <row r="60" spans="1:43" x14ac:dyDescent="0.2">
      <c r="A60" s="51">
        <v>10020402</v>
      </c>
      <c r="B60" s="51">
        <v>150</v>
      </c>
      <c r="C60" s="51" t="s">
        <v>18</v>
      </c>
      <c r="D60" s="51" t="s">
        <v>78</v>
      </c>
      <c r="E60" s="53">
        <v>42377</v>
      </c>
      <c r="F60" s="51">
        <v>93598230</v>
      </c>
      <c r="G60" s="51">
        <v>150</v>
      </c>
      <c r="H60" s="51">
        <v>1201047</v>
      </c>
      <c r="I60" s="51" t="s">
        <v>79</v>
      </c>
      <c r="J60" s="51">
        <v>1034532</v>
      </c>
      <c r="K60" s="51" t="s">
        <v>301</v>
      </c>
      <c r="L60" s="51">
        <v>1171089</v>
      </c>
      <c r="M60" s="51" t="s">
        <v>75</v>
      </c>
      <c r="N60" s="51">
        <v>25434570</v>
      </c>
      <c r="O60" s="51"/>
      <c r="P60" s="51"/>
      <c r="Q60" s="51">
        <v>67767020101</v>
      </c>
      <c r="R60" s="51" t="s">
        <v>1999</v>
      </c>
      <c r="S60" s="51" t="s">
        <v>1322</v>
      </c>
      <c r="T60" s="51" t="s">
        <v>2000</v>
      </c>
      <c r="U60" s="51" t="s">
        <v>1740</v>
      </c>
      <c r="V60" s="51">
        <v>554891</v>
      </c>
      <c r="W60" s="51">
        <v>24</v>
      </c>
      <c r="X60" s="51">
        <v>4</v>
      </c>
      <c r="Y60" s="51" t="s">
        <v>1332</v>
      </c>
      <c r="Z60" s="51">
        <v>464.27</v>
      </c>
      <c r="AA60" s="51" t="s">
        <v>182</v>
      </c>
      <c r="AB60" s="54">
        <v>11142.48</v>
      </c>
      <c r="AC60" s="54">
        <v>1857.08</v>
      </c>
      <c r="AD60" s="51" t="s">
        <v>182</v>
      </c>
      <c r="AE60" s="51" t="s">
        <v>181</v>
      </c>
      <c r="AF60" s="51" t="s">
        <v>91</v>
      </c>
      <c r="AG60" s="51" t="s">
        <v>63</v>
      </c>
      <c r="AH60" s="51" t="s">
        <v>70</v>
      </c>
      <c r="AI60" s="51" t="s">
        <v>76</v>
      </c>
      <c r="AJ60" s="53">
        <v>42387</v>
      </c>
      <c r="AK60" s="51" t="s">
        <v>64</v>
      </c>
      <c r="AL60" s="53">
        <v>42377</v>
      </c>
      <c r="AM60" s="51"/>
      <c r="AN60" s="51"/>
      <c r="AO60" s="51"/>
      <c r="AP60" s="51" t="s">
        <v>77</v>
      </c>
      <c r="AQ60" s="51" t="s">
        <v>355</v>
      </c>
    </row>
    <row r="61" spans="1:43" x14ac:dyDescent="0.2">
      <c r="A61" s="51">
        <v>10020412</v>
      </c>
      <c r="B61" s="51">
        <v>50</v>
      </c>
      <c r="C61" s="51" t="s">
        <v>24</v>
      </c>
      <c r="D61" s="51" t="s">
        <v>78</v>
      </c>
      <c r="E61" s="53">
        <v>42377</v>
      </c>
      <c r="F61" s="51">
        <v>93640032</v>
      </c>
      <c r="G61" s="51">
        <v>50</v>
      </c>
      <c r="H61" s="51">
        <v>1201354</v>
      </c>
      <c r="I61" s="51" t="s">
        <v>778</v>
      </c>
      <c r="J61" s="51">
        <v>1061270</v>
      </c>
      <c r="K61" s="51" t="s">
        <v>779</v>
      </c>
      <c r="L61" s="51">
        <v>1171836</v>
      </c>
      <c r="M61" s="51" t="s">
        <v>780</v>
      </c>
      <c r="N61" s="51" t="s">
        <v>2001</v>
      </c>
      <c r="O61" s="51"/>
      <c r="P61" s="51"/>
      <c r="Q61" s="51">
        <v>16252060144</v>
      </c>
      <c r="R61" s="51" t="s">
        <v>1350</v>
      </c>
      <c r="S61" s="51" t="s">
        <v>1322</v>
      </c>
      <c r="T61" s="51" t="s">
        <v>1351</v>
      </c>
      <c r="U61" s="51" t="s">
        <v>1331</v>
      </c>
      <c r="V61" s="51">
        <v>1141444</v>
      </c>
      <c r="W61" s="51">
        <v>76990</v>
      </c>
      <c r="X61" s="51">
        <v>4</v>
      </c>
      <c r="Y61" s="51" t="s">
        <v>1369</v>
      </c>
      <c r="Z61" s="51">
        <v>1.1599999999999999</v>
      </c>
      <c r="AA61" s="51" t="s">
        <v>182</v>
      </c>
      <c r="AB61" s="54">
        <v>89308.4</v>
      </c>
      <c r="AC61" s="54">
        <v>1392</v>
      </c>
      <c r="AD61" s="51" t="s">
        <v>182</v>
      </c>
      <c r="AE61" s="51" t="s">
        <v>235</v>
      </c>
      <c r="AF61" s="51" t="s">
        <v>67</v>
      </c>
      <c r="AG61" s="51" t="s">
        <v>69</v>
      </c>
      <c r="AH61" s="51" t="s">
        <v>70</v>
      </c>
      <c r="AI61" s="51" t="s">
        <v>76</v>
      </c>
      <c r="AJ61" s="53">
        <v>42424</v>
      </c>
      <c r="AK61" s="51" t="s">
        <v>64</v>
      </c>
      <c r="AL61" s="53">
        <v>42377</v>
      </c>
      <c r="AM61" s="51" t="s">
        <v>100</v>
      </c>
      <c r="AN61" s="51">
        <v>62086916</v>
      </c>
      <c r="AO61" s="53">
        <v>42424</v>
      </c>
      <c r="AP61" s="51" t="s">
        <v>73</v>
      </c>
      <c r="AQ61" s="51" t="s">
        <v>2002</v>
      </c>
    </row>
    <row r="62" spans="1:43" x14ac:dyDescent="0.2">
      <c r="A62" s="51">
        <v>10020418</v>
      </c>
      <c r="B62" s="51">
        <v>1080</v>
      </c>
      <c r="C62" s="51" t="s">
        <v>26</v>
      </c>
      <c r="D62" s="51" t="s">
        <v>573</v>
      </c>
      <c r="E62" s="53">
        <v>42377</v>
      </c>
      <c r="F62" s="51">
        <v>93643240</v>
      </c>
      <c r="G62" s="51">
        <v>1080</v>
      </c>
      <c r="H62" s="51">
        <v>1201047</v>
      </c>
      <c r="I62" s="51" t="s">
        <v>79</v>
      </c>
      <c r="J62" s="51">
        <v>1309880</v>
      </c>
      <c r="K62" s="51" t="s">
        <v>108</v>
      </c>
      <c r="L62" s="51">
        <v>1171089</v>
      </c>
      <c r="M62" s="51" t="s">
        <v>75</v>
      </c>
      <c r="N62" s="51">
        <v>18760375</v>
      </c>
      <c r="O62" s="51"/>
      <c r="P62" s="51"/>
      <c r="Q62" s="51">
        <v>591080001</v>
      </c>
      <c r="R62" s="51" t="s">
        <v>2003</v>
      </c>
      <c r="S62" s="51" t="s">
        <v>1322</v>
      </c>
      <c r="T62" s="51" t="s">
        <v>2004</v>
      </c>
      <c r="U62" s="51" t="s">
        <v>1331</v>
      </c>
      <c r="V62" s="51">
        <v>3135294</v>
      </c>
      <c r="W62" s="51">
        <v>864</v>
      </c>
      <c r="X62" s="51">
        <v>48</v>
      </c>
      <c r="Y62" s="51" t="s">
        <v>1332</v>
      </c>
      <c r="Z62" s="51">
        <v>13.2</v>
      </c>
      <c r="AA62" s="51" t="s">
        <v>182</v>
      </c>
      <c r="AB62" s="54">
        <v>11404.8</v>
      </c>
      <c r="AC62" s="51">
        <v>633.6</v>
      </c>
      <c r="AD62" s="51" t="s">
        <v>182</v>
      </c>
      <c r="AE62" s="51" t="s">
        <v>181</v>
      </c>
      <c r="AF62" s="51" t="s">
        <v>91</v>
      </c>
      <c r="AG62" s="51" t="s">
        <v>69</v>
      </c>
      <c r="AH62" s="51" t="s">
        <v>94</v>
      </c>
      <c r="AI62" s="51" t="s">
        <v>95</v>
      </c>
      <c r="AJ62" s="53">
        <v>42382</v>
      </c>
      <c r="AK62" s="51" t="s">
        <v>64</v>
      </c>
      <c r="AL62" s="53">
        <v>42377</v>
      </c>
      <c r="AM62" s="51" t="s">
        <v>100</v>
      </c>
      <c r="AN62" s="51">
        <v>62076618</v>
      </c>
      <c r="AO62" s="53">
        <v>42408</v>
      </c>
      <c r="AP62" s="51" t="s">
        <v>96</v>
      </c>
      <c r="AQ62" s="51" t="s">
        <v>2005</v>
      </c>
    </row>
    <row r="63" spans="1:43" x14ac:dyDescent="0.2">
      <c r="A63" s="51">
        <v>10020419</v>
      </c>
      <c r="B63" s="51">
        <v>20</v>
      </c>
      <c r="C63" s="51" t="s">
        <v>23</v>
      </c>
      <c r="D63" s="51" t="s">
        <v>149</v>
      </c>
      <c r="E63" s="53">
        <v>42377</v>
      </c>
      <c r="F63" s="51">
        <v>93602944</v>
      </c>
      <c r="G63" s="51">
        <v>20</v>
      </c>
      <c r="H63" s="51">
        <v>1318826</v>
      </c>
      <c r="I63" s="51" t="s">
        <v>110</v>
      </c>
      <c r="J63" s="51">
        <v>1334311</v>
      </c>
      <c r="K63" s="51" t="s">
        <v>113</v>
      </c>
      <c r="L63" s="51">
        <v>1318826</v>
      </c>
      <c r="M63" s="51" t="s">
        <v>110</v>
      </c>
      <c r="N63" s="51">
        <v>2053134</v>
      </c>
      <c r="O63" s="51"/>
      <c r="P63" s="51"/>
      <c r="Q63" s="51">
        <v>591229219</v>
      </c>
      <c r="R63" s="51" t="s">
        <v>2006</v>
      </c>
      <c r="S63" s="51" t="s">
        <v>1322</v>
      </c>
      <c r="T63" s="51" t="s">
        <v>2007</v>
      </c>
      <c r="U63" s="51" t="s">
        <v>1331</v>
      </c>
      <c r="V63" s="51"/>
      <c r="W63" s="51">
        <v>192</v>
      </c>
      <c r="X63" s="51">
        <v>27</v>
      </c>
      <c r="Y63" s="51" t="s">
        <v>1332</v>
      </c>
      <c r="Z63" s="51">
        <v>10.34</v>
      </c>
      <c r="AA63" s="51" t="s">
        <v>182</v>
      </c>
      <c r="AB63" s="54">
        <v>1985.28</v>
      </c>
      <c r="AC63" s="51">
        <v>279.18</v>
      </c>
      <c r="AD63" s="51" t="s">
        <v>182</v>
      </c>
      <c r="AE63" s="51" t="s">
        <v>181</v>
      </c>
      <c r="AF63" s="51" t="s">
        <v>102</v>
      </c>
      <c r="AG63" s="51" t="s">
        <v>69</v>
      </c>
      <c r="AH63" s="51" t="s">
        <v>105</v>
      </c>
      <c r="AI63" s="51" t="s">
        <v>71</v>
      </c>
      <c r="AJ63" s="53">
        <v>42384</v>
      </c>
      <c r="AK63" s="51" t="s">
        <v>64</v>
      </c>
      <c r="AL63" s="53">
        <v>42377</v>
      </c>
      <c r="AM63" s="51" t="s">
        <v>72</v>
      </c>
      <c r="AN63" s="51">
        <v>62064826</v>
      </c>
      <c r="AO63" s="53">
        <v>42390</v>
      </c>
      <c r="AP63" s="51" t="s">
        <v>465</v>
      </c>
      <c r="AQ63" s="51" t="s">
        <v>2008</v>
      </c>
    </row>
    <row r="64" spans="1:43" x14ac:dyDescent="0.2">
      <c r="A64" s="51">
        <v>10020421</v>
      </c>
      <c r="B64" s="51">
        <v>150</v>
      </c>
      <c r="C64" s="51" t="s">
        <v>22</v>
      </c>
      <c r="D64" s="51" t="s">
        <v>573</v>
      </c>
      <c r="E64" s="53">
        <v>42380</v>
      </c>
      <c r="F64" s="51">
        <v>93643363</v>
      </c>
      <c r="G64" s="51">
        <v>150</v>
      </c>
      <c r="H64" s="51">
        <v>1201156</v>
      </c>
      <c r="I64" s="51" t="s">
        <v>131</v>
      </c>
      <c r="J64" s="51">
        <v>1325957</v>
      </c>
      <c r="K64" s="51" t="s">
        <v>133</v>
      </c>
      <c r="L64" s="51">
        <v>1201156</v>
      </c>
      <c r="M64" s="51" t="s">
        <v>131</v>
      </c>
      <c r="N64" s="51">
        <v>293156</v>
      </c>
      <c r="O64" s="51"/>
      <c r="P64" s="51"/>
      <c r="Q64" s="51">
        <v>591247330</v>
      </c>
      <c r="R64" s="51" t="s">
        <v>2009</v>
      </c>
      <c r="S64" s="51" t="s">
        <v>1322</v>
      </c>
      <c r="T64" s="51" t="s">
        <v>2010</v>
      </c>
      <c r="U64" s="51" t="s">
        <v>1331</v>
      </c>
      <c r="V64" s="51"/>
      <c r="W64" s="51">
        <v>1392</v>
      </c>
      <c r="X64" s="51">
        <v>48</v>
      </c>
      <c r="Y64" s="51" t="s">
        <v>1332</v>
      </c>
      <c r="Z64" s="51">
        <v>10.93</v>
      </c>
      <c r="AA64" s="51" t="s">
        <v>182</v>
      </c>
      <c r="AB64" s="54">
        <v>15451.2</v>
      </c>
      <c r="AC64" s="51">
        <v>524.64</v>
      </c>
      <c r="AD64" s="51" t="s">
        <v>182</v>
      </c>
      <c r="AE64" s="51" t="s">
        <v>181</v>
      </c>
      <c r="AF64" s="51" t="s">
        <v>102</v>
      </c>
      <c r="AG64" s="51" t="s">
        <v>63</v>
      </c>
      <c r="AH64" s="51" t="s">
        <v>94</v>
      </c>
      <c r="AI64" s="51" t="s">
        <v>141</v>
      </c>
      <c r="AJ64" s="53">
        <v>42383</v>
      </c>
      <c r="AK64" s="51" t="s">
        <v>64</v>
      </c>
      <c r="AL64" s="53">
        <v>42380</v>
      </c>
      <c r="AM64" s="51"/>
      <c r="AN64" s="51"/>
      <c r="AO64" s="51"/>
      <c r="AP64" s="51" t="s">
        <v>142</v>
      </c>
      <c r="AQ64" s="51" t="s">
        <v>2011</v>
      </c>
    </row>
    <row r="65" spans="1:43" x14ac:dyDescent="0.2">
      <c r="A65" s="51">
        <v>10020422</v>
      </c>
      <c r="B65" s="51">
        <v>10</v>
      </c>
      <c r="C65" s="51" t="s">
        <v>18</v>
      </c>
      <c r="D65" s="51" t="s">
        <v>573</v>
      </c>
      <c r="E65" s="53">
        <v>42380</v>
      </c>
      <c r="F65" s="51">
        <v>93651277</v>
      </c>
      <c r="G65" s="51">
        <v>10</v>
      </c>
      <c r="H65" s="51">
        <v>1057544</v>
      </c>
      <c r="I65" s="51" t="s">
        <v>363</v>
      </c>
      <c r="J65" s="51">
        <v>1327308</v>
      </c>
      <c r="K65" s="51" t="s">
        <v>363</v>
      </c>
      <c r="L65" s="51">
        <v>1057544</v>
      </c>
      <c r="M65" s="51" t="s">
        <v>363</v>
      </c>
      <c r="N65" s="51">
        <v>8124407</v>
      </c>
      <c r="O65" s="51"/>
      <c r="P65" s="51"/>
      <c r="Q65" s="51">
        <v>591379760</v>
      </c>
      <c r="R65" s="51" t="s">
        <v>1411</v>
      </c>
      <c r="S65" s="51" t="s">
        <v>1322</v>
      </c>
      <c r="T65" s="51" t="s">
        <v>1412</v>
      </c>
      <c r="U65" s="51" t="s">
        <v>1331</v>
      </c>
      <c r="V65" s="51" t="s">
        <v>2012</v>
      </c>
      <c r="W65" s="51">
        <v>432</v>
      </c>
      <c r="X65" s="51">
        <v>1</v>
      </c>
      <c r="Y65" s="51" t="s">
        <v>1332</v>
      </c>
      <c r="Z65" s="51">
        <v>9.6</v>
      </c>
      <c r="AA65" s="51" t="s">
        <v>182</v>
      </c>
      <c r="AB65" s="54">
        <v>4147.2</v>
      </c>
      <c r="AC65" s="51">
        <v>9.6</v>
      </c>
      <c r="AD65" s="51" t="s">
        <v>182</v>
      </c>
      <c r="AE65" s="51" t="s">
        <v>181</v>
      </c>
      <c r="AF65" s="51" t="s">
        <v>102</v>
      </c>
      <c r="AG65" s="51" t="s">
        <v>63</v>
      </c>
      <c r="AH65" s="51" t="s">
        <v>70</v>
      </c>
      <c r="AI65" s="51" t="s">
        <v>76</v>
      </c>
      <c r="AJ65" s="53">
        <v>42388</v>
      </c>
      <c r="AK65" s="51" t="s">
        <v>64</v>
      </c>
      <c r="AL65" s="53">
        <v>42380</v>
      </c>
      <c r="AM65" s="51"/>
      <c r="AN65" s="51"/>
      <c r="AO65" s="51"/>
      <c r="AP65" s="51" t="s">
        <v>77</v>
      </c>
      <c r="AQ65" s="51" t="s">
        <v>2013</v>
      </c>
    </row>
    <row r="66" spans="1:43" x14ac:dyDescent="0.2">
      <c r="A66" s="51">
        <v>10020422</v>
      </c>
      <c r="B66" s="51">
        <v>600</v>
      </c>
      <c r="C66" s="51" t="s">
        <v>18</v>
      </c>
      <c r="D66" s="51" t="s">
        <v>573</v>
      </c>
      <c r="E66" s="53">
        <v>42380</v>
      </c>
      <c r="F66" s="51">
        <v>93651277</v>
      </c>
      <c r="G66" s="51">
        <v>600</v>
      </c>
      <c r="H66" s="51">
        <v>1057544</v>
      </c>
      <c r="I66" s="51" t="s">
        <v>363</v>
      </c>
      <c r="J66" s="51">
        <v>1327308</v>
      </c>
      <c r="K66" s="51" t="s">
        <v>363</v>
      </c>
      <c r="L66" s="51">
        <v>1057544</v>
      </c>
      <c r="M66" s="51" t="s">
        <v>363</v>
      </c>
      <c r="N66" s="51">
        <v>8124407</v>
      </c>
      <c r="O66" s="51"/>
      <c r="P66" s="51"/>
      <c r="Q66" s="51">
        <v>591379860</v>
      </c>
      <c r="R66" s="51" t="s">
        <v>1580</v>
      </c>
      <c r="S66" s="51" t="s">
        <v>1322</v>
      </c>
      <c r="T66" s="51" t="s">
        <v>1581</v>
      </c>
      <c r="U66" s="51" t="s">
        <v>1331</v>
      </c>
      <c r="V66" s="51"/>
      <c r="W66" s="51">
        <v>432</v>
      </c>
      <c r="X66" s="51">
        <v>8</v>
      </c>
      <c r="Y66" s="51" t="s">
        <v>1332</v>
      </c>
      <c r="Z66" s="51">
        <v>9</v>
      </c>
      <c r="AA66" s="51" t="s">
        <v>182</v>
      </c>
      <c r="AB66" s="54">
        <v>3888</v>
      </c>
      <c r="AC66" s="51">
        <v>72</v>
      </c>
      <c r="AD66" s="51" t="s">
        <v>182</v>
      </c>
      <c r="AE66" s="51" t="s">
        <v>181</v>
      </c>
      <c r="AF66" s="51" t="s">
        <v>102</v>
      </c>
      <c r="AG66" s="51" t="s">
        <v>63</v>
      </c>
      <c r="AH66" s="51" t="s">
        <v>70</v>
      </c>
      <c r="AI66" s="51" t="s">
        <v>76</v>
      </c>
      <c r="AJ66" s="53">
        <v>42388</v>
      </c>
      <c r="AK66" s="51" t="s">
        <v>64</v>
      </c>
      <c r="AL66" s="53">
        <v>42380</v>
      </c>
      <c r="AM66" s="51"/>
      <c r="AN66" s="51"/>
      <c r="AO66" s="51"/>
      <c r="AP66" s="51" t="s">
        <v>77</v>
      </c>
      <c r="AQ66" s="51" t="s">
        <v>2013</v>
      </c>
    </row>
    <row r="67" spans="1:43" x14ac:dyDescent="0.2">
      <c r="A67" s="51">
        <v>10020424</v>
      </c>
      <c r="B67" s="51">
        <v>1970</v>
      </c>
      <c r="C67" s="51" t="s">
        <v>18</v>
      </c>
      <c r="D67" s="51" t="s">
        <v>149</v>
      </c>
      <c r="E67" s="53">
        <v>42380</v>
      </c>
      <c r="F67" s="51">
        <v>93642443</v>
      </c>
      <c r="G67" s="51">
        <v>1970</v>
      </c>
      <c r="H67" s="51">
        <v>1201047</v>
      </c>
      <c r="I67" s="51" t="s">
        <v>79</v>
      </c>
      <c r="J67" s="51">
        <v>1338648</v>
      </c>
      <c r="K67" s="51" t="s">
        <v>93</v>
      </c>
      <c r="L67" s="51">
        <v>1171089</v>
      </c>
      <c r="M67" s="51" t="s">
        <v>75</v>
      </c>
      <c r="N67" s="51">
        <v>63148962</v>
      </c>
      <c r="O67" s="51"/>
      <c r="P67" s="51"/>
      <c r="Q67" s="51">
        <v>52544024828</v>
      </c>
      <c r="R67" s="51" t="s">
        <v>1460</v>
      </c>
      <c r="S67" s="51" t="s">
        <v>1344</v>
      </c>
      <c r="T67" s="51" t="s">
        <v>1461</v>
      </c>
      <c r="U67" s="51" t="s">
        <v>1331</v>
      </c>
      <c r="V67" s="51"/>
      <c r="W67" s="51">
        <v>1440</v>
      </c>
      <c r="X67" s="51">
        <v>8</v>
      </c>
      <c r="Y67" s="51" t="s">
        <v>1332</v>
      </c>
      <c r="Z67" s="51">
        <v>147.38999999999999</v>
      </c>
      <c r="AA67" s="51" t="s">
        <v>182</v>
      </c>
      <c r="AB67" s="54">
        <v>212241.6</v>
      </c>
      <c r="AC67" s="54">
        <v>1179.1199999999999</v>
      </c>
      <c r="AD67" s="51" t="s">
        <v>182</v>
      </c>
      <c r="AE67" s="51" t="s">
        <v>181</v>
      </c>
      <c r="AF67" s="51" t="s">
        <v>870</v>
      </c>
      <c r="AG67" s="51" t="s">
        <v>69</v>
      </c>
      <c r="AH67" s="51" t="s">
        <v>70</v>
      </c>
      <c r="AI67" s="51" t="s">
        <v>76</v>
      </c>
      <c r="AJ67" s="53">
        <v>42388</v>
      </c>
      <c r="AK67" s="51" t="s">
        <v>64</v>
      </c>
      <c r="AL67" s="53">
        <v>42380</v>
      </c>
      <c r="AM67" s="51" t="s">
        <v>100</v>
      </c>
      <c r="AN67" s="51">
        <v>62083567</v>
      </c>
      <c r="AO67" s="53">
        <v>42418</v>
      </c>
      <c r="AP67" s="51" t="s">
        <v>77</v>
      </c>
      <c r="AQ67" s="51" t="s">
        <v>216</v>
      </c>
    </row>
    <row r="68" spans="1:43" x14ac:dyDescent="0.2">
      <c r="A68" s="51">
        <v>10020425</v>
      </c>
      <c r="B68" s="51">
        <v>2390</v>
      </c>
      <c r="C68" s="51" t="s">
        <v>26</v>
      </c>
      <c r="D68" s="51" t="s">
        <v>149</v>
      </c>
      <c r="E68" s="53">
        <v>42380</v>
      </c>
      <c r="F68" s="51">
        <v>93642455</v>
      </c>
      <c r="G68" s="51">
        <v>2390</v>
      </c>
      <c r="H68" s="51">
        <v>1201047</v>
      </c>
      <c r="I68" s="51" t="s">
        <v>79</v>
      </c>
      <c r="J68" s="51">
        <v>1338648</v>
      </c>
      <c r="K68" s="51" t="s">
        <v>93</v>
      </c>
      <c r="L68" s="51">
        <v>1171089</v>
      </c>
      <c r="M68" s="51" t="s">
        <v>75</v>
      </c>
      <c r="N68" s="51">
        <v>63148962</v>
      </c>
      <c r="O68" s="51"/>
      <c r="P68" s="51"/>
      <c r="Q68" s="51">
        <v>52544098131</v>
      </c>
      <c r="R68" s="51" t="s">
        <v>1501</v>
      </c>
      <c r="S68" s="51" t="s">
        <v>1344</v>
      </c>
      <c r="T68" s="51" t="s">
        <v>1502</v>
      </c>
      <c r="U68" s="51" t="s">
        <v>1331</v>
      </c>
      <c r="V68" s="51" t="s">
        <v>1503</v>
      </c>
      <c r="W68" s="51">
        <v>528</v>
      </c>
      <c r="X68" s="51">
        <v>16</v>
      </c>
      <c r="Y68" s="51" t="s">
        <v>1332</v>
      </c>
      <c r="Z68" s="51">
        <v>165.63</v>
      </c>
      <c r="AA68" s="51" t="s">
        <v>182</v>
      </c>
      <c r="AB68" s="54">
        <v>87452.64</v>
      </c>
      <c r="AC68" s="54">
        <v>2650.08</v>
      </c>
      <c r="AD68" s="51" t="s">
        <v>182</v>
      </c>
      <c r="AE68" s="51" t="s">
        <v>181</v>
      </c>
      <c r="AF68" s="51" t="s">
        <v>870</v>
      </c>
      <c r="AG68" s="51" t="s">
        <v>69</v>
      </c>
      <c r="AH68" s="51" t="s">
        <v>70</v>
      </c>
      <c r="AI68" s="51" t="s">
        <v>76</v>
      </c>
      <c r="AJ68" s="53">
        <v>42402</v>
      </c>
      <c r="AK68" s="51" t="s">
        <v>64</v>
      </c>
      <c r="AL68" s="53">
        <v>42380</v>
      </c>
      <c r="AM68" s="51" t="s">
        <v>100</v>
      </c>
      <c r="AN68" s="51">
        <v>62083568</v>
      </c>
      <c r="AO68" s="53">
        <v>42418</v>
      </c>
      <c r="AP68" s="51" t="s">
        <v>77</v>
      </c>
      <c r="AQ68" s="51" t="s">
        <v>539</v>
      </c>
    </row>
    <row r="69" spans="1:43" x14ac:dyDescent="0.2">
      <c r="A69" s="51">
        <v>10020426</v>
      </c>
      <c r="B69" s="51">
        <v>360</v>
      </c>
      <c r="C69" s="51" t="s">
        <v>18</v>
      </c>
      <c r="D69" s="51" t="s">
        <v>149</v>
      </c>
      <c r="E69" s="53">
        <v>42380</v>
      </c>
      <c r="F69" s="51">
        <v>93642450</v>
      </c>
      <c r="G69" s="51">
        <v>360</v>
      </c>
      <c r="H69" s="51">
        <v>1201047</v>
      </c>
      <c r="I69" s="51" t="s">
        <v>79</v>
      </c>
      <c r="J69" s="51">
        <v>1338648</v>
      </c>
      <c r="K69" s="51" t="s">
        <v>93</v>
      </c>
      <c r="L69" s="51">
        <v>1171089</v>
      </c>
      <c r="M69" s="51" t="s">
        <v>75</v>
      </c>
      <c r="N69" s="51">
        <v>63148962</v>
      </c>
      <c r="O69" s="51"/>
      <c r="P69" s="51"/>
      <c r="Q69" s="51">
        <v>52544055228</v>
      </c>
      <c r="R69" s="51" t="s">
        <v>1613</v>
      </c>
      <c r="S69" s="51" t="s">
        <v>1344</v>
      </c>
      <c r="T69" s="51" t="s">
        <v>1614</v>
      </c>
      <c r="U69" s="51" t="s">
        <v>1331</v>
      </c>
      <c r="V69" s="51"/>
      <c r="W69" s="51">
        <v>324</v>
      </c>
      <c r="X69" s="51">
        <v>12</v>
      </c>
      <c r="Y69" s="51" t="s">
        <v>1332</v>
      </c>
      <c r="Z69" s="51">
        <v>132.61000000000001</v>
      </c>
      <c r="AA69" s="51" t="s">
        <v>182</v>
      </c>
      <c r="AB69" s="54">
        <v>42965.64</v>
      </c>
      <c r="AC69" s="54">
        <v>1591.32</v>
      </c>
      <c r="AD69" s="51" t="s">
        <v>182</v>
      </c>
      <c r="AE69" s="51" t="s">
        <v>181</v>
      </c>
      <c r="AF69" s="51" t="s">
        <v>870</v>
      </c>
      <c r="AG69" s="51" t="s">
        <v>69</v>
      </c>
      <c r="AH69" s="51" t="s">
        <v>70</v>
      </c>
      <c r="AI69" s="51" t="s">
        <v>76</v>
      </c>
      <c r="AJ69" s="53">
        <v>42388</v>
      </c>
      <c r="AK69" s="51" t="s">
        <v>64</v>
      </c>
      <c r="AL69" s="53">
        <v>42380</v>
      </c>
      <c r="AM69" s="51" t="s">
        <v>100</v>
      </c>
      <c r="AN69" s="51">
        <v>62083569</v>
      </c>
      <c r="AO69" s="53">
        <v>42418</v>
      </c>
      <c r="AP69" s="51" t="s">
        <v>77</v>
      </c>
      <c r="AQ69" s="51" t="s">
        <v>803</v>
      </c>
    </row>
    <row r="70" spans="1:43" x14ac:dyDescent="0.2">
      <c r="A70" s="51">
        <v>10020430</v>
      </c>
      <c r="B70" s="51">
        <v>50</v>
      </c>
      <c r="C70" s="51" t="s">
        <v>18</v>
      </c>
      <c r="D70" s="51" t="s">
        <v>78</v>
      </c>
      <c r="E70" s="53">
        <v>42381</v>
      </c>
      <c r="F70" s="51">
        <v>93651278</v>
      </c>
      <c r="G70" s="51">
        <v>50</v>
      </c>
      <c r="H70" s="51">
        <v>1057544</v>
      </c>
      <c r="I70" s="51" t="s">
        <v>363</v>
      </c>
      <c r="J70" s="51">
        <v>1327308</v>
      </c>
      <c r="K70" s="51" t="s">
        <v>363</v>
      </c>
      <c r="L70" s="51">
        <v>1057544</v>
      </c>
      <c r="M70" s="51" t="s">
        <v>363</v>
      </c>
      <c r="N70" s="51">
        <v>8124595</v>
      </c>
      <c r="O70" s="51"/>
      <c r="P70" s="51"/>
      <c r="Q70" s="51">
        <v>472037015</v>
      </c>
      <c r="R70" s="51" t="s">
        <v>1521</v>
      </c>
      <c r="S70" s="51" t="s">
        <v>1322</v>
      </c>
      <c r="T70" s="51" t="s">
        <v>1522</v>
      </c>
      <c r="U70" s="51" t="s">
        <v>1331</v>
      </c>
      <c r="V70" s="51" t="s">
        <v>1523</v>
      </c>
      <c r="W70" s="51">
        <v>432</v>
      </c>
      <c r="X70" s="51">
        <v>4</v>
      </c>
      <c r="Y70" s="51" t="s">
        <v>1332</v>
      </c>
      <c r="Z70" s="51">
        <v>12.96</v>
      </c>
      <c r="AA70" s="51" t="s">
        <v>182</v>
      </c>
      <c r="AB70" s="54">
        <v>5598.72</v>
      </c>
      <c r="AC70" s="51">
        <v>51.84</v>
      </c>
      <c r="AD70" s="51" t="s">
        <v>182</v>
      </c>
      <c r="AE70" s="51" t="s">
        <v>181</v>
      </c>
      <c r="AF70" s="51" t="s">
        <v>102</v>
      </c>
      <c r="AG70" s="51" t="s">
        <v>63</v>
      </c>
      <c r="AH70" s="51" t="s">
        <v>70</v>
      </c>
      <c r="AI70" s="51" t="s">
        <v>76</v>
      </c>
      <c r="AJ70" s="53">
        <v>42396</v>
      </c>
      <c r="AK70" s="51" t="s">
        <v>64</v>
      </c>
      <c r="AL70" s="53">
        <v>42381</v>
      </c>
      <c r="AM70" s="51"/>
      <c r="AN70" s="51"/>
      <c r="AO70" s="51"/>
      <c r="AP70" s="51" t="s">
        <v>77</v>
      </c>
      <c r="AQ70" s="51" t="s">
        <v>508</v>
      </c>
    </row>
    <row r="71" spans="1:43" x14ac:dyDescent="0.2">
      <c r="A71" s="51">
        <v>10020431</v>
      </c>
      <c r="B71" s="51">
        <v>10</v>
      </c>
      <c r="C71" s="51" t="s">
        <v>19</v>
      </c>
      <c r="D71" s="51" t="s">
        <v>149</v>
      </c>
      <c r="E71" s="53">
        <v>42381</v>
      </c>
      <c r="F71" s="51"/>
      <c r="G71" s="51">
        <v>10</v>
      </c>
      <c r="H71" s="51">
        <v>1201399</v>
      </c>
      <c r="I71" s="51" t="s">
        <v>144</v>
      </c>
      <c r="J71" s="51">
        <v>1323198</v>
      </c>
      <c r="K71" s="51" t="s">
        <v>145</v>
      </c>
      <c r="L71" s="51">
        <v>1171970</v>
      </c>
      <c r="M71" s="51" t="s">
        <v>144</v>
      </c>
      <c r="N71" s="51">
        <v>8144831999</v>
      </c>
      <c r="O71" s="51"/>
      <c r="P71" s="51"/>
      <c r="Q71" s="51">
        <v>52544055228</v>
      </c>
      <c r="R71" s="51" t="s">
        <v>1613</v>
      </c>
      <c r="S71" s="51" t="s">
        <v>1344</v>
      </c>
      <c r="T71" s="51" t="s">
        <v>1614</v>
      </c>
      <c r="U71" s="51" t="s">
        <v>1331</v>
      </c>
      <c r="V71" s="51"/>
      <c r="W71" s="51">
        <v>0</v>
      </c>
      <c r="X71" s="51">
        <v>48</v>
      </c>
      <c r="Y71" s="51" t="s">
        <v>1621</v>
      </c>
      <c r="Z71" s="51">
        <v>132.61000000000001</v>
      </c>
      <c r="AA71" s="51" t="s">
        <v>182</v>
      </c>
      <c r="AB71" s="51">
        <v>0</v>
      </c>
      <c r="AC71" s="54">
        <v>6365.28</v>
      </c>
      <c r="AD71" s="51" t="s">
        <v>182</v>
      </c>
      <c r="AE71" s="51" t="s">
        <v>181</v>
      </c>
      <c r="AF71" s="51"/>
      <c r="AG71" s="51" t="s">
        <v>63</v>
      </c>
      <c r="AH71" s="51" t="s">
        <v>94</v>
      </c>
      <c r="AI71" s="51" t="s">
        <v>82</v>
      </c>
      <c r="AJ71" s="53">
        <v>42390</v>
      </c>
      <c r="AK71" s="51" t="s">
        <v>64</v>
      </c>
      <c r="AL71" s="53">
        <v>42381</v>
      </c>
      <c r="AM71" s="51"/>
      <c r="AN71" s="51"/>
      <c r="AO71" s="51"/>
      <c r="AP71" s="51" t="s">
        <v>142</v>
      </c>
      <c r="AQ71" s="51" t="s">
        <v>2014</v>
      </c>
    </row>
    <row r="72" spans="1:43" x14ac:dyDescent="0.2">
      <c r="A72" s="51">
        <v>10020432</v>
      </c>
      <c r="B72" s="51">
        <v>60</v>
      </c>
      <c r="C72" s="51" t="s">
        <v>18</v>
      </c>
      <c r="D72" s="51" t="s">
        <v>78</v>
      </c>
      <c r="E72" s="53">
        <v>42381</v>
      </c>
      <c r="F72" s="51">
        <v>93640195</v>
      </c>
      <c r="G72" s="51">
        <v>60</v>
      </c>
      <c r="H72" s="51">
        <v>1324774</v>
      </c>
      <c r="I72" s="51" t="s">
        <v>389</v>
      </c>
      <c r="J72" s="51">
        <v>1317726</v>
      </c>
      <c r="K72" s="51" t="s">
        <v>389</v>
      </c>
      <c r="L72" s="51">
        <v>1324774</v>
      </c>
      <c r="M72" s="51" t="s">
        <v>389</v>
      </c>
      <c r="N72" s="51">
        <v>150000156886</v>
      </c>
      <c r="O72" s="51"/>
      <c r="P72" s="51"/>
      <c r="Q72" s="51">
        <v>591352530</v>
      </c>
      <c r="R72" s="51" t="s">
        <v>1442</v>
      </c>
      <c r="S72" s="51" t="s">
        <v>1322</v>
      </c>
      <c r="T72" s="51" t="s">
        <v>1443</v>
      </c>
      <c r="U72" s="51" t="s">
        <v>1331</v>
      </c>
      <c r="V72" s="51"/>
      <c r="W72" s="51">
        <v>252</v>
      </c>
      <c r="X72" s="51">
        <v>12</v>
      </c>
      <c r="Y72" s="51" t="s">
        <v>1332</v>
      </c>
      <c r="Z72" s="51">
        <v>87</v>
      </c>
      <c r="AA72" s="51" t="s">
        <v>182</v>
      </c>
      <c r="AB72" s="54">
        <v>21924</v>
      </c>
      <c r="AC72" s="54">
        <v>1044</v>
      </c>
      <c r="AD72" s="51" t="s">
        <v>182</v>
      </c>
      <c r="AE72" s="51" t="s">
        <v>181</v>
      </c>
      <c r="AF72" s="51" t="s">
        <v>67</v>
      </c>
      <c r="AG72" s="51" t="s">
        <v>69</v>
      </c>
      <c r="AH72" s="51" t="s">
        <v>70</v>
      </c>
      <c r="AI72" s="51" t="s">
        <v>76</v>
      </c>
      <c r="AJ72" s="53">
        <v>42396</v>
      </c>
      <c r="AK72" s="51" t="s">
        <v>64</v>
      </c>
      <c r="AL72" s="53">
        <v>42381</v>
      </c>
      <c r="AM72" s="51" t="s">
        <v>100</v>
      </c>
      <c r="AN72" s="51">
        <v>62073498</v>
      </c>
      <c r="AO72" s="53">
        <v>42403</v>
      </c>
      <c r="AP72" s="51" t="s">
        <v>77</v>
      </c>
      <c r="AQ72" s="51" t="s">
        <v>345</v>
      </c>
    </row>
    <row r="73" spans="1:43" x14ac:dyDescent="0.2">
      <c r="A73" s="51">
        <v>10020435</v>
      </c>
      <c r="B73" s="51">
        <v>30</v>
      </c>
      <c r="C73" s="51" t="s">
        <v>24</v>
      </c>
      <c r="D73" s="51" t="s">
        <v>78</v>
      </c>
      <c r="E73" s="53">
        <v>42381</v>
      </c>
      <c r="F73" s="51">
        <v>93651634</v>
      </c>
      <c r="G73" s="51">
        <v>30</v>
      </c>
      <c r="H73" s="51">
        <v>1334921</v>
      </c>
      <c r="I73" s="51" t="s">
        <v>189</v>
      </c>
      <c r="J73" s="51">
        <v>1334951</v>
      </c>
      <c r="K73" s="51" t="s">
        <v>190</v>
      </c>
      <c r="L73" s="51">
        <v>1334921</v>
      </c>
      <c r="M73" s="51" t="s">
        <v>189</v>
      </c>
      <c r="N73" s="51">
        <v>21820</v>
      </c>
      <c r="O73" s="51"/>
      <c r="P73" s="51"/>
      <c r="Q73" s="51">
        <v>591352530</v>
      </c>
      <c r="R73" s="51" t="s">
        <v>1442</v>
      </c>
      <c r="S73" s="51" t="s">
        <v>1322</v>
      </c>
      <c r="T73" s="51" t="s">
        <v>1443</v>
      </c>
      <c r="U73" s="51" t="s">
        <v>1331</v>
      </c>
      <c r="V73" s="51"/>
      <c r="W73" s="51">
        <v>78</v>
      </c>
      <c r="X73" s="51">
        <v>12</v>
      </c>
      <c r="Y73" s="51" t="s">
        <v>1332</v>
      </c>
      <c r="Z73" s="51">
        <v>74.23</v>
      </c>
      <c r="AA73" s="51" t="s">
        <v>182</v>
      </c>
      <c r="AB73" s="54">
        <v>69479.28</v>
      </c>
      <c r="AC73" s="51">
        <v>890.76</v>
      </c>
      <c r="AD73" s="51" t="s">
        <v>182</v>
      </c>
      <c r="AE73" s="51" t="s">
        <v>181</v>
      </c>
      <c r="AF73" s="51" t="s">
        <v>67</v>
      </c>
      <c r="AG73" s="51" t="s">
        <v>63</v>
      </c>
      <c r="AH73" s="51" t="s">
        <v>70</v>
      </c>
      <c r="AI73" s="51" t="s">
        <v>76</v>
      </c>
      <c r="AJ73" s="53">
        <v>42430</v>
      </c>
      <c r="AK73" s="51" t="s">
        <v>64</v>
      </c>
      <c r="AL73" s="53">
        <v>42381</v>
      </c>
      <c r="AM73" s="51"/>
      <c r="AN73" s="51"/>
      <c r="AO73" s="51"/>
      <c r="AP73" s="51" t="s">
        <v>73</v>
      </c>
      <c r="AQ73" s="51" t="s">
        <v>2015</v>
      </c>
    </row>
    <row r="74" spans="1:43" x14ac:dyDescent="0.2">
      <c r="A74" s="51">
        <v>10020437</v>
      </c>
      <c r="B74" s="51">
        <v>110</v>
      </c>
      <c r="C74" s="51" t="s">
        <v>27</v>
      </c>
      <c r="D74" s="51" t="s">
        <v>78</v>
      </c>
      <c r="E74" s="53">
        <v>42381</v>
      </c>
      <c r="F74" s="51">
        <v>93648206</v>
      </c>
      <c r="G74" s="51">
        <v>110</v>
      </c>
      <c r="H74" s="51">
        <v>1201315</v>
      </c>
      <c r="I74" s="51" t="s">
        <v>256</v>
      </c>
      <c r="J74" s="51">
        <v>1319408</v>
      </c>
      <c r="K74" s="51" t="s">
        <v>256</v>
      </c>
      <c r="L74" s="51">
        <v>1201315</v>
      </c>
      <c r="M74" s="51" t="s">
        <v>256</v>
      </c>
      <c r="N74" s="51">
        <v>5691171</v>
      </c>
      <c r="O74" s="51"/>
      <c r="P74" s="51"/>
      <c r="Q74" s="51">
        <v>591267930</v>
      </c>
      <c r="R74" s="51" t="s">
        <v>1528</v>
      </c>
      <c r="S74" s="51" t="s">
        <v>1322</v>
      </c>
      <c r="T74" s="51" t="s">
        <v>1443</v>
      </c>
      <c r="U74" s="51" t="s">
        <v>1331</v>
      </c>
      <c r="V74" s="51" t="s">
        <v>2016</v>
      </c>
      <c r="W74" s="51">
        <v>12</v>
      </c>
      <c r="X74" s="51">
        <v>12</v>
      </c>
      <c r="Y74" s="51" t="s">
        <v>1332</v>
      </c>
      <c r="Z74" s="51">
        <v>224.65</v>
      </c>
      <c r="AA74" s="51" t="s">
        <v>182</v>
      </c>
      <c r="AB74" s="54">
        <v>2695.8</v>
      </c>
      <c r="AC74" s="54">
        <v>2695.8</v>
      </c>
      <c r="AD74" s="51" t="s">
        <v>182</v>
      </c>
      <c r="AE74" s="51" t="s">
        <v>181</v>
      </c>
      <c r="AF74" s="51" t="s">
        <v>97</v>
      </c>
      <c r="AG74" s="51" t="s">
        <v>69</v>
      </c>
      <c r="AH74" s="51" t="s">
        <v>81</v>
      </c>
      <c r="AI74" s="51" t="s">
        <v>71</v>
      </c>
      <c r="AJ74" s="53">
        <v>42384</v>
      </c>
      <c r="AK74" s="51" t="s">
        <v>64</v>
      </c>
      <c r="AL74" s="53">
        <v>42381</v>
      </c>
      <c r="AM74" s="51" t="s">
        <v>72</v>
      </c>
      <c r="AN74" s="51">
        <v>62064827</v>
      </c>
      <c r="AO74" s="53">
        <v>42390</v>
      </c>
      <c r="AP74" s="51" t="s">
        <v>199</v>
      </c>
      <c r="AQ74" s="51" t="s">
        <v>2017</v>
      </c>
    </row>
    <row r="75" spans="1:43" x14ac:dyDescent="0.2">
      <c r="A75" s="51">
        <v>10020438</v>
      </c>
      <c r="B75" s="51">
        <v>210</v>
      </c>
      <c r="C75" s="51" t="s">
        <v>26</v>
      </c>
      <c r="D75" s="51" t="s">
        <v>573</v>
      </c>
      <c r="E75" s="53">
        <v>42381</v>
      </c>
      <c r="F75" s="51">
        <v>93643359</v>
      </c>
      <c r="G75" s="51">
        <v>210</v>
      </c>
      <c r="H75" s="51">
        <v>1201156</v>
      </c>
      <c r="I75" s="51" t="s">
        <v>131</v>
      </c>
      <c r="J75" s="51">
        <v>1017717</v>
      </c>
      <c r="K75" s="51" t="s">
        <v>1872</v>
      </c>
      <c r="L75" s="51">
        <v>1201156</v>
      </c>
      <c r="M75" s="51" t="s">
        <v>131</v>
      </c>
      <c r="N75" s="51">
        <v>4732695</v>
      </c>
      <c r="O75" s="51"/>
      <c r="P75" s="51"/>
      <c r="Q75" s="51">
        <v>591553550</v>
      </c>
      <c r="R75" s="51" t="s">
        <v>2018</v>
      </c>
      <c r="S75" s="51" t="s">
        <v>1322</v>
      </c>
      <c r="T75" s="51" t="s">
        <v>2019</v>
      </c>
      <c r="U75" s="51" t="s">
        <v>1331</v>
      </c>
      <c r="V75" s="51"/>
      <c r="W75" s="51">
        <v>576</v>
      </c>
      <c r="X75" s="51">
        <v>48</v>
      </c>
      <c r="Y75" s="51" t="s">
        <v>1332</v>
      </c>
      <c r="Z75" s="51">
        <v>12.11</v>
      </c>
      <c r="AA75" s="51" t="s">
        <v>182</v>
      </c>
      <c r="AB75" s="54">
        <v>6975.36</v>
      </c>
      <c r="AC75" s="51">
        <v>581.28</v>
      </c>
      <c r="AD75" s="51" t="s">
        <v>182</v>
      </c>
      <c r="AE75" s="51" t="s">
        <v>181</v>
      </c>
      <c r="AF75" s="51" t="s">
        <v>102</v>
      </c>
      <c r="AG75" s="51" t="s">
        <v>63</v>
      </c>
      <c r="AH75" s="51" t="s">
        <v>94</v>
      </c>
      <c r="AI75" s="51" t="s">
        <v>95</v>
      </c>
      <c r="AJ75" s="53">
        <v>42402</v>
      </c>
      <c r="AK75" s="51" t="s">
        <v>64</v>
      </c>
      <c r="AL75" s="53">
        <v>42381</v>
      </c>
      <c r="AM75" s="51"/>
      <c r="AN75" s="51"/>
      <c r="AO75" s="51"/>
      <c r="AP75" s="51" t="s">
        <v>96</v>
      </c>
      <c r="AQ75" s="51" t="s">
        <v>1963</v>
      </c>
    </row>
    <row r="76" spans="1:43" x14ac:dyDescent="0.2">
      <c r="A76" s="51">
        <v>10020439</v>
      </c>
      <c r="B76" s="51">
        <v>190</v>
      </c>
      <c r="C76" s="51" t="s">
        <v>26</v>
      </c>
      <c r="D76" s="51" t="s">
        <v>78</v>
      </c>
      <c r="E76" s="53">
        <v>42381</v>
      </c>
      <c r="F76" s="51">
        <v>93640043</v>
      </c>
      <c r="G76" s="51">
        <v>190</v>
      </c>
      <c r="H76" s="51">
        <v>1201399</v>
      </c>
      <c r="I76" s="51" t="s">
        <v>144</v>
      </c>
      <c r="J76" s="51">
        <v>1334926</v>
      </c>
      <c r="K76" s="51" t="s">
        <v>145</v>
      </c>
      <c r="L76" s="51">
        <v>1171970</v>
      </c>
      <c r="M76" s="51" t="s">
        <v>144</v>
      </c>
      <c r="N76" s="51">
        <v>8106681951</v>
      </c>
      <c r="O76" s="51"/>
      <c r="P76" s="51"/>
      <c r="Q76" s="51">
        <v>228203110</v>
      </c>
      <c r="R76" s="51" t="s">
        <v>2020</v>
      </c>
      <c r="S76" s="51" t="s">
        <v>1322</v>
      </c>
      <c r="T76" s="51" t="s">
        <v>2021</v>
      </c>
      <c r="U76" s="51">
        <v>4</v>
      </c>
      <c r="V76" s="51">
        <v>1115600005</v>
      </c>
      <c r="W76" s="51">
        <v>96</v>
      </c>
      <c r="X76" s="51">
        <v>3</v>
      </c>
      <c r="Y76" s="51" t="s">
        <v>1332</v>
      </c>
      <c r="Z76" s="51">
        <v>6.1</v>
      </c>
      <c r="AA76" s="51" t="s">
        <v>182</v>
      </c>
      <c r="AB76" s="51">
        <v>585.6</v>
      </c>
      <c r="AC76" s="51">
        <v>18.3</v>
      </c>
      <c r="AD76" s="51" t="s">
        <v>182</v>
      </c>
      <c r="AE76" s="51" t="s">
        <v>181</v>
      </c>
      <c r="AF76" s="51" t="s">
        <v>870</v>
      </c>
      <c r="AG76" s="51" t="s">
        <v>63</v>
      </c>
      <c r="AH76" s="51" t="s">
        <v>107</v>
      </c>
      <c r="AI76" s="51" t="s">
        <v>95</v>
      </c>
      <c r="AJ76" s="53">
        <v>42402</v>
      </c>
      <c r="AK76" s="51" t="s">
        <v>2022</v>
      </c>
      <c r="AL76" s="53">
        <v>42387</v>
      </c>
      <c r="AM76" s="51"/>
      <c r="AN76" s="51"/>
      <c r="AO76" s="51"/>
      <c r="AP76" s="51" t="s">
        <v>89</v>
      </c>
      <c r="AQ76" s="51" t="s">
        <v>2023</v>
      </c>
    </row>
    <row r="77" spans="1:43" x14ac:dyDescent="0.2">
      <c r="A77" s="51">
        <v>10020440</v>
      </c>
      <c r="B77" s="51">
        <v>10</v>
      </c>
      <c r="C77" s="51" t="s">
        <v>21</v>
      </c>
      <c r="D77" s="51" t="s">
        <v>149</v>
      </c>
      <c r="E77" s="53">
        <v>42381</v>
      </c>
      <c r="F77" s="51">
        <v>93649652</v>
      </c>
      <c r="G77" s="51">
        <v>10</v>
      </c>
      <c r="H77" s="51">
        <v>1201519</v>
      </c>
      <c r="I77" s="51" t="s">
        <v>668</v>
      </c>
      <c r="J77" s="51">
        <v>1317471</v>
      </c>
      <c r="K77" s="51" t="s">
        <v>669</v>
      </c>
      <c r="L77" s="51">
        <v>1201519</v>
      </c>
      <c r="M77" s="51" t="s">
        <v>668</v>
      </c>
      <c r="N77" s="51">
        <v>1317471</v>
      </c>
      <c r="O77" s="51"/>
      <c r="P77" s="51"/>
      <c r="Q77" s="51">
        <v>472040030</v>
      </c>
      <c r="R77" s="51" t="s">
        <v>1796</v>
      </c>
      <c r="S77" s="51" t="s">
        <v>1322</v>
      </c>
      <c r="T77" s="51" t="s">
        <v>1797</v>
      </c>
      <c r="U77" s="51" t="s">
        <v>1331</v>
      </c>
      <c r="V77" s="51">
        <v>66500014</v>
      </c>
      <c r="W77" s="51">
        <v>240</v>
      </c>
      <c r="X77" s="51">
        <v>240</v>
      </c>
      <c r="Y77" s="51" t="s">
        <v>1332</v>
      </c>
      <c r="Z77" s="51">
        <v>30.45</v>
      </c>
      <c r="AA77" s="51" t="s">
        <v>182</v>
      </c>
      <c r="AB77" s="54">
        <v>7308</v>
      </c>
      <c r="AC77" s="54">
        <v>7308</v>
      </c>
      <c r="AD77" s="51" t="s">
        <v>182</v>
      </c>
      <c r="AE77" s="51" t="s">
        <v>181</v>
      </c>
      <c r="AF77" s="51" t="s">
        <v>97</v>
      </c>
      <c r="AG77" s="51" t="s">
        <v>69</v>
      </c>
      <c r="AH77" s="51" t="s">
        <v>104</v>
      </c>
      <c r="AI77" s="51" t="s">
        <v>71</v>
      </c>
      <c r="AJ77" s="53">
        <v>42390</v>
      </c>
      <c r="AK77" s="51" t="s">
        <v>64</v>
      </c>
      <c r="AL77" s="53">
        <v>42381</v>
      </c>
      <c r="AM77" s="51" t="s">
        <v>72</v>
      </c>
      <c r="AN77" s="51">
        <v>62064831</v>
      </c>
      <c r="AO77" s="53">
        <v>42390</v>
      </c>
      <c r="AP77" s="51" t="s">
        <v>352</v>
      </c>
      <c r="AQ77" s="51" t="s">
        <v>2024</v>
      </c>
    </row>
    <row r="78" spans="1:43" x14ac:dyDescent="0.2">
      <c r="A78" s="51">
        <v>10020440</v>
      </c>
      <c r="B78" s="51">
        <v>20</v>
      </c>
      <c r="C78" s="51" t="s">
        <v>21</v>
      </c>
      <c r="D78" s="51" t="s">
        <v>149</v>
      </c>
      <c r="E78" s="53">
        <v>42381</v>
      </c>
      <c r="F78" s="51">
        <v>93649652</v>
      </c>
      <c r="G78" s="51">
        <v>20</v>
      </c>
      <c r="H78" s="51">
        <v>1201519</v>
      </c>
      <c r="I78" s="51" t="s">
        <v>668</v>
      </c>
      <c r="J78" s="51">
        <v>1317471</v>
      </c>
      <c r="K78" s="51" t="s">
        <v>669</v>
      </c>
      <c r="L78" s="51">
        <v>1201519</v>
      </c>
      <c r="M78" s="51" t="s">
        <v>668</v>
      </c>
      <c r="N78" s="51">
        <v>1317471</v>
      </c>
      <c r="O78" s="51"/>
      <c r="P78" s="51"/>
      <c r="Q78" s="51">
        <v>472040045</v>
      </c>
      <c r="R78" s="51" t="s">
        <v>1930</v>
      </c>
      <c r="S78" s="51" t="s">
        <v>1322</v>
      </c>
      <c r="T78" s="51" t="s">
        <v>1797</v>
      </c>
      <c r="U78" s="51" t="s">
        <v>1331</v>
      </c>
      <c r="V78" s="51">
        <v>66500015</v>
      </c>
      <c r="W78" s="51">
        <v>72</v>
      </c>
      <c r="X78" s="51">
        <v>72</v>
      </c>
      <c r="Y78" s="51" t="s">
        <v>1332</v>
      </c>
      <c r="Z78" s="51">
        <v>46.01</v>
      </c>
      <c r="AA78" s="51" t="s">
        <v>182</v>
      </c>
      <c r="AB78" s="54">
        <v>3312.72</v>
      </c>
      <c r="AC78" s="54">
        <v>3312.72</v>
      </c>
      <c r="AD78" s="51" t="s">
        <v>182</v>
      </c>
      <c r="AE78" s="51" t="s">
        <v>181</v>
      </c>
      <c r="AF78" s="51" t="s">
        <v>97</v>
      </c>
      <c r="AG78" s="51" t="s">
        <v>69</v>
      </c>
      <c r="AH78" s="51" t="s">
        <v>104</v>
      </c>
      <c r="AI78" s="51" t="s">
        <v>71</v>
      </c>
      <c r="AJ78" s="53">
        <v>42390</v>
      </c>
      <c r="AK78" s="51" t="s">
        <v>64</v>
      </c>
      <c r="AL78" s="53">
        <v>42381</v>
      </c>
      <c r="AM78" s="51" t="s">
        <v>72</v>
      </c>
      <c r="AN78" s="51">
        <v>62064831</v>
      </c>
      <c r="AO78" s="53">
        <v>42390</v>
      </c>
      <c r="AP78" s="51" t="s">
        <v>352</v>
      </c>
      <c r="AQ78" s="51" t="s">
        <v>2024</v>
      </c>
    </row>
    <row r="79" spans="1:43" x14ac:dyDescent="0.2">
      <c r="A79" s="51">
        <v>10020440</v>
      </c>
      <c r="B79" s="51">
        <v>30</v>
      </c>
      <c r="C79" s="51" t="s">
        <v>21</v>
      </c>
      <c r="D79" s="51" t="s">
        <v>149</v>
      </c>
      <c r="E79" s="53">
        <v>42381</v>
      </c>
      <c r="F79" s="51">
        <v>93649652</v>
      </c>
      <c r="G79" s="51">
        <v>30</v>
      </c>
      <c r="H79" s="51">
        <v>1201519</v>
      </c>
      <c r="I79" s="51" t="s">
        <v>668</v>
      </c>
      <c r="J79" s="51">
        <v>1317471</v>
      </c>
      <c r="K79" s="51" t="s">
        <v>669</v>
      </c>
      <c r="L79" s="51">
        <v>1201519</v>
      </c>
      <c r="M79" s="51" t="s">
        <v>668</v>
      </c>
      <c r="N79" s="51">
        <v>1317471</v>
      </c>
      <c r="O79" s="51"/>
      <c r="P79" s="51"/>
      <c r="Q79" s="51">
        <v>472040060</v>
      </c>
      <c r="R79" s="51" t="s">
        <v>2025</v>
      </c>
      <c r="S79" s="51" t="s">
        <v>1322</v>
      </c>
      <c r="T79" s="51" t="s">
        <v>1797</v>
      </c>
      <c r="U79" s="51" t="s">
        <v>1331</v>
      </c>
      <c r="V79" s="51">
        <v>66500018</v>
      </c>
      <c r="W79" s="51">
        <v>480</v>
      </c>
      <c r="X79" s="51">
        <v>480</v>
      </c>
      <c r="Y79" s="51" t="s">
        <v>1332</v>
      </c>
      <c r="Z79" s="51">
        <v>54.9</v>
      </c>
      <c r="AA79" s="51" t="s">
        <v>182</v>
      </c>
      <c r="AB79" s="54">
        <v>26352</v>
      </c>
      <c r="AC79" s="54">
        <v>26352</v>
      </c>
      <c r="AD79" s="51" t="s">
        <v>182</v>
      </c>
      <c r="AE79" s="51" t="s">
        <v>181</v>
      </c>
      <c r="AF79" s="51" t="s">
        <v>97</v>
      </c>
      <c r="AG79" s="51" t="s">
        <v>69</v>
      </c>
      <c r="AH79" s="51" t="s">
        <v>104</v>
      </c>
      <c r="AI79" s="51" t="s">
        <v>71</v>
      </c>
      <c r="AJ79" s="53">
        <v>42390</v>
      </c>
      <c r="AK79" s="51" t="s">
        <v>64</v>
      </c>
      <c r="AL79" s="53">
        <v>42381</v>
      </c>
      <c r="AM79" s="51" t="s">
        <v>72</v>
      </c>
      <c r="AN79" s="51">
        <v>62064831</v>
      </c>
      <c r="AO79" s="53">
        <v>42390</v>
      </c>
      <c r="AP79" s="51" t="s">
        <v>352</v>
      </c>
      <c r="AQ79" s="51" t="s">
        <v>2024</v>
      </c>
    </row>
    <row r="80" spans="1:43" x14ac:dyDescent="0.2">
      <c r="A80" s="51">
        <v>10020440</v>
      </c>
      <c r="B80" s="51">
        <v>40</v>
      </c>
      <c r="C80" s="51" t="s">
        <v>21</v>
      </c>
      <c r="D80" s="51" t="s">
        <v>149</v>
      </c>
      <c r="E80" s="53">
        <v>42381</v>
      </c>
      <c r="F80" s="51">
        <v>93649652</v>
      </c>
      <c r="G80" s="51">
        <v>40</v>
      </c>
      <c r="H80" s="51">
        <v>1201519</v>
      </c>
      <c r="I80" s="51" t="s">
        <v>668</v>
      </c>
      <c r="J80" s="51">
        <v>1317471</v>
      </c>
      <c r="K80" s="51" t="s">
        <v>669</v>
      </c>
      <c r="L80" s="51">
        <v>1201519</v>
      </c>
      <c r="M80" s="51" t="s">
        <v>668</v>
      </c>
      <c r="N80" s="51">
        <v>1317471</v>
      </c>
      <c r="O80" s="51"/>
      <c r="P80" s="51"/>
      <c r="Q80" s="51">
        <v>228263111</v>
      </c>
      <c r="R80" s="51" t="s">
        <v>1484</v>
      </c>
      <c r="S80" s="51" t="s">
        <v>1322</v>
      </c>
      <c r="T80" s="51" t="s">
        <v>1485</v>
      </c>
      <c r="U80" s="51" t="s">
        <v>1331</v>
      </c>
      <c r="V80" s="51"/>
      <c r="W80" s="51">
        <v>72</v>
      </c>
      <c r="X80" s="51">
        <v>72</v>
      </c>
      <c r="Y80" s="51" t="s">
        <v>1332</v>
      </c>
      <c r="Z80" s="51">
        <v>5.36</v>
      </c>
      <c r="AA80" s="51" t="s">
        <v>182</v>
      </c>
      <c r="AB80" s="51">
        <v>385.92</v>
      </c>
      <c r="AC80" s="51">
        <v>385.92</v>
      </c>
      <c r="AD80" s="51" t="s">
        <v>182</v>
      </c>
      <c r="AE80" s="51" t="s">
        <v>181</v>
      </c>
      <c r="AF80" s="51" t="s">
        <v>97</v>
      </c>
      <c r="AG80" s="51" t="s">
        <v>69</v>
      </c>
      <c r="AH80" s="51" t="s">
        <v>104</v>
      </c>
      <c r="AI80" s="51" t="s">
        <v>71</v>
      </c>
      <c r="AJ80" s="53">
        <v>42390</v>
      </c>
      <c r="AK80" s="51" t="s">
        <v>64</v>
      </c>
      <c r="AL80" s="53">
        <v>42381</v>
      </c>
      <c r="AM80" s="51" t="s">
        <v>72</v>
      </c>
      <c r="AN80" s="51">
        <v>62064831</v>
      </c>
      <c r="AO80" s="53">
        <v>42390</v>
      </c>
      <c r="AP80" s="51" t="s">
        <v>352</v>
      </c>
      <c r="AQ80" s="51" t="s">
        <v>2024</v>
      </c>
    </row>
    <row r="81" spans="1:43" x14ac:dyDescent="0.2">
      <c r="A81" s="51">
        <v>10020440</v>
      </c>
      <c r="B81" s="51">
        <v>50</v>
      </c>
      <c r="C81" s="51" t="s">
        <v>21</v>
      </c>
      <c r="D81" s="51" t="s">
        <v>149</v>
      </c>
      <c r="E81" s="53">
        <v>42381</v>
      </c>
      <c r="F81" s="51">
        <v>93649652</v>
      </c>
      <c r="G81" s="51">
        <v>50</v>
      </c>
      <c r="H81" s="51">
        <v>1201519</v>
      </c>
      <c r="I81" s="51" t="s">
        <v>668</v>
      </c>
      <c r="J81" s="51">
        <v>1317471</v>
      </c>
      <c r="K81" s="51" t="s">
        <v>669</v>
      </c>
      <c r="L81" s="51">
        <v>1201519</v>
      </c>
      <c r="M81" s="51" t="s">
        <v>668</v>
      </c>
      <c r="N81" s="51">
        <v>1317471</v>
      </c>
      <c r="O81" s="51"/>
      <c r="P81" s="51"/>
      <c r="Q81" s="51">
        <v>228262011</v>
      </c>
      <c r="R81" s="51" t="s">
        <v>2026</v>
      </c>
      <c r="S81" s="51" t="s">
        <v>1322</v>
      </c>
      <c r="T81" s="51" t="s">
        <v>1485</v>
      </c>
      <c r="U81" s="51" t="s">
        <v>1331</v>
      </c>
      <c r="V81" s="51" t="s">
        <v>2027</v>
      </c>
      <c r="W81" s="51">
        <v>132</v>
      </c>
      <c r="X81" s="51">
        <v>132</v>
      </c>
      <c r="Y81" s="51" t="s">
        <v>1332</v>
      </c>
      <c r="Z81" s="51">
        <v>5.53</v>
      </c>
      <c r="AA81" s="51" t="s">
        <v>182</v>
      </c>
      <c r="AB81" s="51">
        <v>729.96</v>
      </c>
      <c r="AC81" s="51">
        <v>729.96</v>
      </c>
      <c r="AD81" s="51" t="s">
        <v>182</v>
      </c>
      <c r="AE81" s="51" t="s">
        <v>181</v>
      </c>
      <c r="AF81" s="51" t="s">
        <v>97</v>
      </c>
      <c r="AG81" s="51" t="s">
        <v>69</v>
      </c>
      <c r="AH81" s="51" t="s">
        <v>104</v>
      </c>
      <c r="AI81" s="51" t="s">
        <v>71</v>
      </c>
      <c r="AJ81" s="53">
        <v>42390</v>
      </c>
      <c r="AK81" s="51" t="s">
        <v>64</v>
      </c>
      <c r="AL81" s="53">
        <v>42381</v>
      </c>
      <c r="AM81" s="51" t="s">
        <v>72</v>
      </c>
      <c r="AN81" s="51">
        <v>62064831</v>
      </c>
      <c r="AO81" s="53">
        <v>42390</v>
      </c>
      <c r="AP81" s="51" t="s">
        <v>352</v>
      </c>
      <c r="AQ81" s="51" t="s">
        <v>2024</v>
      </c>
    </row>
    <row r="82" spans="1:43" x14ac:dyDescent="0.2">
      <c r="A82" s="51">
        <v>10020441</v>
      </c>
      <c r="B82" s="51">
        <v>90</v>
      </c>
      <c r="C82" s="51" t="s">
        <v>18</v>
      </c>
      <c r="D82" s="51" t="s">
        <v>573</v>
      </c>
      <c r="E82" s="53">
        <v>42381</v>
      </c>
      <c r="F82" s="51">
        <v>93652877</v>
      </c>
      <c r="G82" s="51">
        <v>90</v>
      </c>
      <c r="H82" s="51">
        <v>1201120</v>
      </c>
      <c r="I82" s="51" t="s">
        <v>117</v>
      </c>
      <c r="J82" s="51">
        <v>1307782</v>
      </c>
      <c r="K82" s="51" t="s">
        <v>119</v>
      </c>
      <c r="L82" s="51">
        <v>1171090</v>
      </c>
      <c r="M82" s="51" t="s">
        <v>118</v>
      </c>
      <c r="N82" s="51" t="s">
        <v>2028</v>
      </c>
      <c r="O82" s="51"/>
      <c r="P82" s="51"/>
      <c r="Q82" s="51">
        <v>591381760</v>
      </c>
      <c r="R82" s="51" t="s">
        <v>1357</v>
      </c>
      <c r="S82" s="51" t="s">
        <v>1322</v>
      </c>
      <c r="T82" s="51" t="s">
        <v>1358</v>
      </c>
      <c r="U82" s="51" t="s">
        <v>1331</v>
      </c>
      <c r="V82" s="51"/>
      <c r="W82" s="51">
        <v>6240</v>
      </c>
      <c r="X82" s="51">
        <v>30</v>
      </c>
      <c r="Y82" s="51" t="s">
        <v>1369</v>
      </c>
      <c r="Z82" s="51">
        <v>24</v>
      </c>
      <c r="AA82" s="51" t="s">
        <v>182</v>
      </c>
      <c r="AB82" s="54">
        <v>149760</v>
      </c>
      <c r="AC82" s="54">
        <v>8640</v>
      </c>
      <c r="AD82" s="51" t="s">
        <v>182</v>
      </c>
      <c r="AE82" s="51" t="s">
        <v>181</v>
      </c>
      <c r="AF82" s="51" t="s">
        <v>123</v>
      </c>
      <c r="AG82" s="51" t="s">
        <v>69</v>
      </c>
      <c r="AH82" s="51" t="s">
        <v>70</v>
      </c>
      <c r="AI82" s="51" t="s">
        <v>71</v>
      </c>
      <c r="AJ82" s="53">
        <v>42384</v>
      </c>
      <c r="AK82" s="51" t="s">
        <v>83</v>
      </c>
      <c r="AL82" s="53">
        <v>42387</v>
      </c>
      <c r="AM82" s="51" t="s">
        <v>72</v>
      </c>
      <c r="AN82" s="51">
        <v>62064844</v>
      </c>
      <c r="AO82" s="53">
        <v>42390</v>
      </c>
      <c r="AP82" s="51" t="s">
        <v>73</v>
      </c>
      <c r="AQ82" s="51" t="s">
        <v>2029</v>
      </c>
    </row>
    <row r="83" spans="1:43" x14ac:dyDescent="0.2">
      <c r="A83" s="51">
        <v>10020441</v>
      </c>
      <c r="B83" s="51">
        <v>100</v>
      </c>
      <c r="C83" s="51" t="s">
        <v>18</v>
      </c>
      <c r="D83" s="51" t="s">
        <v>573</v>
      </c>
      <c r="E83" s="53">
        <v>42381</v>
      </c>
      <c r="F83" s="51">
        <v>93652877</v>
      </c>
      <c r="G83" s="51">
        <v>100</v>
      </c>
      <c r="H83" s="51">
        <v>1201120</v>
      </c>
      <c r="I83" s="51" t="s">
        <v>117</v>
      </c>
      <c r="J83" s="51">
        <v>1307782</v>
      </c>
      <c r="K83" s="51" t="s">
        <v>119</v>
      </c>
      <c r="L83" s="51">
        <v>1171090</v>
      </c>
      <c r="M83" s="51" t="s">
        <v>118</v>
      </c>
      <c r="N83" s="51" t="s">
        <v>2028</v>
      </c>
      <c r="O83" s="51"/>
      <c r="P83" s="51"/>
      <c r="Q83" s="51">
        <v>591381730</v>
      </c>
      <c r="R83" s="51" t="s">
        <v>1373</v>
      </c>
      <c r="S83" s="51" t="s">
        <v>1322</v>
      </c>
      <c r="T83" s="51" t="s">
        <v>1358</v>
      </c>
      <c r="U83" s="51" t="s">
        <v>1331</v>
      </c>
      <c r="V83" s="51"/>
      <c r="W83" s="51">
        <v>9600</v>
      </c>
      <c r="X83" s="51">
        <v>9</v>
      </c>
      <c r="Y83" s="51" t="s">
        <v>1369</v>
      </c>
      <c r="Z83" s="51">
        <v>12</v>
      </c>
      <c r="AA83" s="51" t="s">
        <v>182</v>
      </c>
      <c r="AB83" s="54">
        <v>115200</v>
      </c>
      <c r="AC83" s="54">
        <v>2592</v>
      </c>
      <c r="AD83" s="51" t="s">
        <v>182</v>
      </c>
      <c r="AE83" s="51" t="s">
        <v>181</v>
      </c>
      <c r="AF83" s="51" t="s">
        <v>123</v>
      </c>
      <c r="AG83" s="51" t="s">
        <v>69</v>
      </c>
      <c r="AH83" s="51" t="s">
        <v>70</v>
      </c>
      <c r="AI83" s="51" t="s">
        <v>71</v>
      </c>
      <c r="AJ83" s="53">
        <v>42384</v>
      </c>
      <c r="AK83" s="51" t="s">
        <v>83</v>
      </c>
      <c r="AL83" s="53">
        <v>42387</v>
      </c>
      <c r="AM83" s="51" t="s">
        <v>72</v>
      </c>
      <c r="AN83" s="51">
        <v>62064844</v>
      </c>
      <c r="AO83" s="53">
        <v>42390</v>
      </c>
      <c r="AP83" s="51" t="s">
        <v>73</v>
      </c>
      <c r="AQ83" s="51" t="s">
        <v>2029</v>
      </c>
    </row>
    <row r="84" spans="1:43" x14ac:dyDescent="0.2">
      <c r="A84" s="51">
        <v>10020441</v>
      </c>
      <c r="B84" s="51">
        <v>1500</v>
      </c>
      <c r="C84" s="51" t="s">
        <v>18</v>
      </c>
      <c r="D84" s="51" t="s">
        <v>573</v>
      </c>
      <c r="E84" s="53">
        <v>42381</v>
      </c>
      <c r="F84" s="51">
        <v>93652877</v>
      </c>
      <c r="G84" s="51">
        <v>1500</v>
      </c>
      <c r="H84" s="51">
        <v>1201120</v>
      </c>
      <c r="I84" s="51" t="s">
        <v>117</v>
      </c>
      <c r="J84" s="51">
        <v>1307782</v>
      </c>
      <c r="K84" s="51" t="s">
        <v>119</v>
      </c>
      <c r="L84" s="51">
        <v>1171090</v>
      </c>
      <c r="M84" s="51" t="s">
        <v>118</v>
      </c>
      <c r="N84" s="51" t="s">
        <v>2028</v>
      </c>
      <c r="O84" s="51"/>
      <c r="P84" s="51"/>
      <c r="Q84" s="51">
        <v>591379860</v>
      </c>
      <c r="R84" s="51" t="s">
        <v>1580</v>
      </c>
      <c r="S84" s="51" t="s">
        <v>1322</v>
      </c>
      <c r="T84" s="51" t="s">
        <v>1581</v>
      </c>
      <c r="U84" s="51" t="s">
        <v>1331</v>
      </c>
      <c r="V84" s="51"/>
      <c r="W84" s="51">
        <v>3072</v>
      </c>
      <c r="X84" s="51">
        <v>3</v>
      </c>
      <c r="Y84" s="51" t="s">
        <v>1369</v>
      </c>
      <c r="Z84" s="51">
        <v>9</v>
      </c>
      <c r="AA84" s="51" t="s">
        <v>182</v>
      </c>
      <c r="AB84" s="54">
        <v>27648</v>
      </c>
      <c r="AC84" s="51">
        <v>324</v>
      </c>
      <c r="AD84" s="51" t="s">
        <v>182</v>
      </c>
      <c r="AE84" s="51" t="s">
        <v>181</v>
      </c>
      <c r="AF84" s="51" t="s">
        <v>123</v>
      </c>
      <c r="AG84" s="51" t="s">
        <v>69</v>
      </c>
      <c r="AH84" s="51" t="s">
        <v>70</v>
      </c>
      <c r="AI84" s="51" t="s">
        <v>71</v>
      </c>
      <c r="AJ84" s="53">
        <v>42384</v>
      </c>
      <c r="AK84" s="51" t="s">
        <v>83</v>
      </c>
      <c r="AL84" s="53">
        <v>42387</v>
      </c>
      <c r="AM84" s="51" t="s">
        <v>72</v>
      </c>
      <c r="AN84" s="51">
        <v>62064844</v>
      </c>
      <c r="AO84" s="53">
        <v>42390</v>
      </c>
      <c r="AP84" s="51" t="s">
        <v>73</v>
      </c>
      <c r="AQ84" s="51" t="s">
        <v>2029</v>
      </c>
    </row>
    <row r="85" spans="1:43" x14ac:dyDescent="0.2">
      <c r="A85" s="51">
        <v>10020441</v>
      </c>
      <c r="B85" s="51">
        <v>1520</v>
      </c>
      <c r="C85" s="51" t="s">
        <v>18</v>
      </c>
      <c r="D85" s="51" t="s">
        <v>573</v>
      </c>
      <c r="E85" s="53">
        <v>42381</v>
      </c>
      <c r="F85" s="51">
        <v>93652877</v>
      </c>
      <c r="G85" s="51">
        <v>1520</v>
      </c>
      <c r="H85" s="51">
        <v>1201120</v>
      </c>
      <c r="I85" s="51" t="s">
        <v>117</v>
      </c>
      <c r="J85" s="51">
        <v>1307782</v>
      </c>
      <c r="K85" s="51" t="s">
        <v>119</v>
      </c>
      <c r="L85" s="51">
        <v>1171090</v>
      </c>
      <c r="M85" s="51" t="s">
        <v>118</v>
      </c>
      <c r="N85" s="51" t="s">
        <v>2028</v>
      </c>
      <c r="O85" s="51"/>
      <c r="P85" s="51"/>
      <c r="Q85" s="51">
        <v>591379883</v>
      </c>
      <c r="R85" s="51" t="s">
        <v>1848</v>
      </c>
      <c r="S85" s="51" t="s">
        <v>1322</v>
      </c>
      <c r="T85" s="51" t="s">
        <v>1581</v>
      </c>
      <c r="U85" s="51" t="s">
        <v>1331</v>
      </c>
      <c r="V85" s="51"/>
      <c r="W85" s="51">
        <v>6144</v>
      </c>
      <c r="X85" s="51">
        <v>10</v>
      </c>
      <c r="Y85" s="51" t="s">
        <v>1369</v>
      </c>
      <c r="Z85" s="51">
        <v>3.75</v>
      </c>
      <c r="AA85" s="51" t="s">
        <v>182</v>
      </c>
      <c r="AB85" s="54">
        <v>23040</v>
      </c>
      <c r="AC85" s="51">
        <v>900</v>
      </c>
      <c r="AD85" s="51" t="s">
        <v>182</v>
      </c>
      <c r="AE85" s="51" t="s">
        <v>181</v>
      </c>
      <c r="AF85" s="51" t="s">
        <v>123</v>
      </c>
      <c r="AG85" s="51" t="s">
        <v>69</v>
      </c>
      <c r="AH85" s="51" t="s">
        <v>70</v>
      </c>
      <c r="AI85" s="51" t="s">
        <v>71</v>
      </c>
      <c r="AJ85" s="53">
        <v>42384</v>
      </c>
      <c r="AK85" s="51" t="s">
        <v>83</v>
      </c>
      <c r="AL85" s="53">
        <v>42387</v>
      </c>
      <c r="AM85" s="51" t="s">
        <v>72</v>
      </c>
      <c r="AN85" s="51">
        <v>62064844</v>
      </c>
      <c r="AO85" s="53">
        <v>42390</v>
      </c>
      <c r="AP85" s="51" t="s">
        <v>73</v>
      </c>
      <c r="AQ85" s="51" t="s">
        <v>2029</v>
      </c>
    </row>
    <row r="86" spans="1:43" x14ac:dyDescent="0.2">
      <c r="A86" s="51">
        <v>10020441</v>
      </c>
      <c r="B86" s="51">
        <v>1750</v>
      </c>
      <c r="C86" s="51" t="s">
        <v>18</v>
      </c>
      <c r="D86" s="51" t="s">
        <v>573</v>
      </c>
      <c r="E86" s="53">
        <v>42381</v>
      </c>
      <c r="F86" s="51">
        <v>93652877</v>
      </c>
      <c r="G86" s="51">
        <v>1750</v>
      </c>
      <c r="H86" s="51">
        <v>1201120</v>
      </c>
      <c r="I86" s="51" t="s">
        <v>117</v>
      </c>
      <c r="J86" s="51">
        <v>1307782</v>
      </c>
      <c r="K86" s="51" t="s">
        <v>119</v>
      </c>
      <c r="L86" s="51">
        <v>1171090</v>
      </c>
      <c r="M86" s="51" t="s">
        <v>118</v>
      </c>
      <c r="N86" s="51" t="s">
        <v>2028</v>
      </c>
      <c r="O86" s="51"/>
      <c r="P86" s="51"/>
      <c r="Q86" s="51">
        <v>591352530</v>
      </c>
      <c r="R86" s="51" t="s">
        <v>1442</v>
      </c>
      <c r="S86" s="51" t="s">
        <v>1322</v>
      </c>
      <c r="T86" s="51" t="s">
        <v>1443</v>
      </c>
      <c r="U86" s="51" t="s">
        <v>1331</v>
      </c>
      <c r="V86" s="51"/>
      <c r="W86" s="51">
        <v>1404</v>
      </c>
      <c r="X86" s="51">
        <v>12</v>
      </c>
      <c r="Y86" s="51" t="s">
        <v>1332</v>
      </c>
      <c r="Z86" s="51">
        <v>224.65</v>
      </c>
      <c r="AA86" s="51" t="s">
        <v>182</v>
      </c>
      <c r="AB86" s="54">
        <v>315408.59999999998</v>
      </c>
      <c r="AC86" s="54">
        <v>2695.8</v>
      </c>
      <c r="AD86" s="51" t="s">
        <v>182</v>
      </c>
      <c r="AE86" s="51" t="s">
        <v>181</v>
      </c>
      <c r="AF86" s="51" t="s">
        <v>123</v>
      </c>
      <c r="AG86" s="51" t="s">
        <v>69</v>
      </c>
      <c r="AH86" s="51" t="s">
        <v>70</v>
      </c>
      <c r="AI86" s="51" t="s">
        <v>71</v>
      </c>
      <c r="AJ86" s="53">
        <v>42384</v>
      </c>
      <c r="AK86" s="51" t="s">
        <v>83</v>
      </c>
      <c r="AL86" s="53">
        <v>42387</v>
      </c>
      <c r="AM86" s="51" t="s">
        <v>72</v>
      </c>
      <c r="AN86" s="51">
        <v>62064844</v>
      </c>
      <c r="AO86" s="53">
        <v>42390</v>
      </c>
      <c r="AP86" s="51" t="s">
        <v>73</v>
      </c>
      <c r="AQ86" s="51" t="s">
        <v>2029</v>
      </c>
    </row>
    <row r="87" spans="1:43" x14ac:dyDescent="0.2">
      <c r="A87" s="51">
        <v>10020442</v>
      </c>
      <c r="B87" s="51">
        <v>1670</v>
      </c>
      <c r="C87" s="51" t="s">
        <v>25</v>
      </c>
      <c r="D87" s="51" t="s">
        <v>78</v>
      </c>
      <c r="E87" s="53">
        <v>42381</v>
      </c>
      <c r="F87" s="51">
        <v>93610419</v>
      </c>
      <c r="G87" s="51">
        <v>1670</v>
      </c>
      <c r="H87" s="51">
        <v>1201458</v>
      </c>
      <c r="I87" s="51" t="s">
        <v>594</v>
      </c>
      <c r="J87" s="51">
        <v>1201458</v>
      </c>
      <c r="K87" s="51" t="s">
        <v>594</v>
      </c>
      <c r="L87" s="51">
        <v>1201458</v>
      </c>
      <c r="M87" s="51" t="s">
        <v>594</v>
      </c>
      <c r="N87" s="51">
        <v>274415</v>
      </c>
      <c r="O87" s="51"/>
      <c r="P87" s="51"/>
      <c r="Q87" s="51">
        <v>228365803</v>
      </c>
      <c r="R87" s="51" t="s">
        <v>2030</v>
      </c>
      <c r="S87" s="51" t="s">
        <v>1322</v>
      </c>
      <c r="T87" s="51" t="s">
        <v>2031</v>
      </c>
      <c r="U87" s="51" t="s">
        <v>1331</v>
      </c>
      <c r="V87" s="51" t="s">
        <v>2032</v>
      </c>
      <c r="W87" s="51">
        <v>36</v>
      </c>
      <c r="X87" s="51">
        <v>36</v>
      </c>
      <c r="Y87" s="51" t="s">
        <v>1332</v>
      </c>
      <c r="Z87" s="51">
        <v>64.650000000000006</v>
      </c>
      <c r="AA87" s="51" t="s">
        <v>182</v>
      </c>
      <c r="AB87" s="54">
        <v>2327.4</v>
      </c>
      <c r="AC87" s="54">
        <v>2327.4</v>
      </c>
      <c r="AD87" s="51" t="s">
        <v>182</v>
      </c>
      <c r="AE87" s="51" t="s">
        <v>181</v>
      </c>
      <c r="AF87" s="51" t="s">
        <v>102</v>
      </c>
      <c r="AG87" s="51" t="s">
        <v>69</v>
      </c>
      <c r="AH87" s="51" t="s">
        <v>104</v>
      </c>
      <c r="AI87" s="51" t="s">
        <v>71</v>
      </c>
      <c r="AJ87" s="53">
        <v>42390</v>
      </c>
      <c r="AK87" s="51" t="s">
        <v>64</v>
      </c>
      <c r="AL87" s="53">
        <v>42381</v>
      </c>
      <c r="AM87" s="51" t="s">
        <v>72</v>
      </c>
      <c r="AN87" s="51">
        <v>62064845</v>
      </c>
      <c r="AO87" s="53">
        <v>42390</v>
      </c>
      <c r="AP87" s="51" t="s">
        <v>465</v>
      </c>
      <c r="AQ87" s="51" t="s">
        <v>2033</v>
      </c>
    </row>
    <row r="88" spans="1:43" x14ac:dyDescent="0.2">
      <c r="A88" s="51">
        <v>10020443</v>
      </c>
      <c r="B88" s="51">
        <v>180</v>
      </c>
      <c r="C88" s="51" t="s">
        <v>18</v>
      </c>
      <c r="D88" s="51" t="s">
        <v>573</v>
      </c>
      <c r="E88" s="53">
        <v>42382</v>
      </c>
      <c r="F88" s="51">
        <v>93651423</v>
      </c>
      <c r="G88" s="51">
        <v>180</v>
      </c>
      <c r="H88" s="51">
        <v>1201120</v>
      </c>
      <c r="I88" s="51" t="s">
        <v>117</v>
      </c>
      <c r="J88" s="51">
        <v>1307782</v>
      </c>
      <c r="K88" s="51" t="s">
        <v>119</v>
      </c>
      <c r="L88" s="51">
        <v>1171090</v>
      </c>
      <c r="M88" s="51" t="s">
        <v>118</v>
      </c>
      <c r="N88" s="51" t="s">
        <v>1891</v>
      </c>
      <c r="O88" s="51"/>
      <c r="P88" s="51"/>
      <c r="Q88" s="51">
        <v>16252060144</v>
      </c>
      <c r="R88" s="51" t="s">
        <v>1350</v>
      </c>
      <c r="S88" s="51" t="s">
        <v>1322</v>
      </c>
      <c r="T88" s="51" t="s">
        <v>1351</v>
      </c>
      <c r="U88" s="51" t="s">
        <v>1331</v>
      </c>
      <c r="V88" s="51">
        <v>1148330</v>
      </c>
      <c r="W88" s="51">
        <v>3120</v>
      </c>
      <c r="X88" s="51">
        <v>312</v>
      </c>
      <c r="Y88" s="51" t="s">
        <v>1332</v>
      </c>
      <c r="Z88" s="51">
        <v>3.5</v>
      </c>
      <c r="AA88" s="51" t="s">
        <v>182</v>
      </c>
      <c r="AB88" s="54">
        <v>10920</v>
      </c>
      <c r="AC88" s="54">
        <v>1092</v>
      </c>
      <c r="AD88" s="51" t="s">
        <v>182</v>
      </c>
      <c r="AE88" s="51" t="s">
        <v>181</v>
      </c>
      <c r="AF88" s="51" t="s">
        <v>97</v>
      </c>
      <c r="AG88" s="51" t="s">
        <v>69</v>
      </c>
      <c r="AH88" s="51" t="s">
        <v>70</v>
      </c>
      <c r="AI88" s="51" t="s">
        <v>76</v>
      </c>
      <c r="AJ88" s="53">
        <v>42396</v>
      </c>
      <c r="AK88" s="51" t="s">
        <v>64</v>
      </c>
      <c r="AL88" s="53">
        <v>42382</v>
      </c>
      <c r="AM88" s="51" t="s">
        <v>100</v>
      </c>
      <c r="AN88" s="51">
        <v>62074039</v>
      </c>
      <c r="AO88" s="53">
        <v>42404</v>
      </c>
      <c r="AP88" s="51" t="s">
        <v>77</v>
      </c>
      <c r="AQ88" s="51" t="s">
        <v>2034</v>
      </c>
    </row>
    <row r="89" spans="1:43" x14ac:dyDescent="0.2">
      <c r="A89" s="51">
        <v>10020444</v>
      </c>
      <c r="B89" s="51">
        <v>2030</v>
      </c>
      <c r="C89" s="51" t="s">
        <v>26</v>
      </c>
      <c r="D89" s="51" t="s">
        <v>78</v>
      </c>
      <c r="E89" s="53">
        <v>42382</v>
      </c>
      <c r="F89" s="51">
        <v>93654176</v>
      </c>
      <c r="G89" s="51">
        <v>2030</v>
      </c>
      <c r="H89" s="51">
        <v>1201047</v>
      </c>
      <c r="I89" s="51" t="s">
        <v>79</v>
      </c>
      <c r="J89" s="51">
        <v>1309880</v>
      </c>
      <c r="K89" s="51" t="s">
        <v>108</v>
      </c>
      <c r="L89" s="51">
        <v>1171089</v>
      </c>
      <c r="M89" s="51" t="s">
        <v>75</v>
      </c>
      <c r="N89" s="51">
        <v>18760375</v>
      </c>
      <c r="O89" s="51"/>
      <c r="P89" s="51"/>
      <c r="Q89" s="51">
        <v>62037055901</v>
      </c>
      <c r="R89" s="51" t="s">
        <v>2035</v>
      </c>
      <c r="S89" s="51" t="s">
        <v>1322</v>
      </c>
      <c r="T89" s="51" t="s">
        <v>1611</v>
      </c>
      <c r="U89" s="51" t="s">
        <v>1331</v>
      </c>
      <c r="V89" s="51" t="s">
        <v>2036</v>
      </c>
      <c r="W89" s="51">
        <v>77</v>
      </c>
      <c r="X89" s="51">
        <v>77</v>
      </c>
      <c r="Y89" s="51" t="s">
        <v>1332</v>
      </c>
      <c r="Z89" s="51">
        <v>75.180000000000007</v>
      </c>
      <c r="AA89" s="51" t="s">
        <v>182</v>
      </c>
      <c r="AB89" s="54">
        <v>5788.86</v>
      </c>
      <c r="AC89" s="51">
        <v>0</v>
      </c>
      <c r="AD89" s="51" t="s">
        <v>182</v>
      </c>
      <c r="AE89" s="51" t="s">
        <v>181</v>
      </c>
      <c r="AF89" s="51" t="s">
        <v>97</v>
      </c>
      <c r="AG89" s="51" t="s">
        <v>63</v>
      </c>
      <c r="AH89" s="51" t="s">
        <v>84</v>
      </c>
      <c r="AI89" s="51" t="s">
        <v>88</v>
      </c>
      <c r="AJ89" s="53">
        <v>42402</v>
      </c>
      <c r="AK89" s="51" t="s">
        <v>64</v>
      </c>
      <c r="AL89" s="53">
        <v>42382</v>
      </c>
      <c r="AM89" s="51"/>
      <c r="AN89" s="51"/>
      <c r="AO89" s="51"/>
      <c r="AP89" s="51" t="s">
        <v>84</v>
      </c>
      <c r="AQ89" s="51" t="s">
        <v>2037</v>
      </c>
    </row>
    <row r="90" spans="1:43" x14ac:dyDescent="0.2">
      <c r="A90" s="51">
        <v>10020445</v>
      </c>
      <c r="B90" s="51">
        <v>190</v>
      </c>
      <c r="C90" s="51" t="s">
        <v>18</v>
      </c>
      <c r="D90" s="51" t="s">
        <v>573</v>
      </c>
      <c r="E90" s="53">
        <v>42382</v>
      </c>
      <c r="F90" s="51">
        <v>93642738</v>
      </c>
      <c r="G90" s="51">
        <v>190</v>
      </c>
      <c r="H90" s="51">
        <v>1201232</v>
      </c>
      <c r="I90" s="51" t="s">
        <v>772</v>
      </c>
      <c r="J90" s="51">
        <v>1201232</v>
      </c>
      <c r="K90" s="51" t="s">
        <v>772</v>
      </c>
      <c r="L90" s="51">
        <v>1201232</v>
      </c>
      <c r="M90" s="51" t="s">
        <v>772</v>
      </c>
      <c r="N90" s="51">
        <v>29079</v>
      </c>
      <c r="O90" s="51"/>
      <c r="P90" s="51"/>
      <c r="Q90" s="51">
        <v>591352530</v>
      </c>
      <c r="R90" s="51" t="s">
        <v>1442</v>
      </c>
      <c r="S90" s="51" t="s">
        <v>1322</v>
      </c>
      <c r="T90" s="51" t="s">
        <v>1443</v>
      </c>
      <c r="U90" s="51" t="s">
        <v>1331</v>
      </c>
      <c r="V90" s="51" t="s">
        <v>2038</v>
      </c>
      <c r="W90" s="51">
        <v>48</v>
      </c>
      <c r="X90" s="51">
        <v>12</v>
      </c>
      <c r="Y90" s="51" t="s">
        <v>1621</v>
      </c>
      <c r="Z90" s="51">
        <v>224.65</v>
      </c>
      <c r="AA90" s="51" t="s">
        <v>182</v>
      </c>
      <c r="AB90" s="54">
        <v>10783.2</v>
      </c>
      <c r="AC90" s="54">
        <v>2695.8</v>
      </c>
      <c r="AD90" s="51" t="s">
        <v>182</v>
      </c>
      <c r="AE90" s="51" t="s">
        <v>181</v>
      </c>
      <c r="AF90" s="51" t="s">
        <v>102</v>
      </c>
      <c r="AG90" s="51" t="s">
        <v>69</v>
      </c>
      <c r="AH90" s="51" t="s">
        <v>70</v>
      </c>
      <c r="AI90" s="51" t="s">
        <v>76</v>
      </c>
      <c r="AJ90" s="53">
        <v>42396</v>
      </c>
      <c r="AK90" s="51" t="s">
        <v>64</v>
      </c>
      <c r="AL90" s="53">
        <v>42382</v>
      </c>
      <c r="AM90" s="51" t="s">
        <v>100</v>
      </c>
      <c r="AN90" s="51">
        <v>62073501</v>
      </c>
      <c r="AO90" s="53">
        <v>42403</v>
      </c>
      <c r="AP90" s="51" t="s">
        <v>77</v>
      </c>
      <c r="AQ90" s="51" t="s">
        <v>1035</v>
      </c>
    </row>
    <row r="91" spans="1:43" x14ac:dyDescent="0.2">
      <c r="A91" s="51">
        <v>10020446</v>
      </c>
      <c r="B91" s="51">
        <v>80</v>
      </c>
      <c r="C91" s="51" t="s">
        <v>18</v>
      </c>
      <c r="D91" s="51" t="s">
        <v>573</v>
      </c>
      <c r="E91" s="53">
        <v>42382</v>
      </c>
      <c r="F91" s="51">
        <v>93643462</v>
      </c>
      <c r="G91" s="51">
        <v>80</v>
      </c>
      <c r="H91" s="51">
        <v>1201547</v>
      </c>
      <c r="I91" s="51" t="s">
        <v>305</v>
      </c>
      <c r="J91" s="51">
        <v>1201547</v>
      </c>
      <c r="K91" s="51" t="s">
        <v>305</v>
      </c>
      <c r="L91" s="51">
        <v>1201547</v>
      </c>
      <c r="M91" s="51" t="s">
        <v>305</v>
      </c>
      <c r="N91" s="51">
        <v>93253</v>
      </c>
      <c r="O91" s="51"/>
      <c r="P91" s="51"/>
      <c r="Q91" s="51">
        <v>591379783</v>
      </c>
      <c r="R91" s="51" t="s">
        <v>1674</v>
      </c>
      <c r="S91" s="51" t="s">
        <v>1322</v>
      </c>
      <c r="T91" s="51" t="s">
        <v>1412</v>
      </c>
      <c r="U91" s="51" t="s">
        <v>1331</v>
      </c>
      <c r="V91" s="51"/>
      <c r="W91" s="51">
        <v>864</v>
      </c>
      <c r="X91" s="51">
        <v>5</v>
      </c>
      <c r="Y91" s="51" t="s">
        <v>1332</v>
      </c>
      <c r="Z91" s="51">
        <v>4</v>
      </c>
      <c r="AA91" s="51" t="s">
        <v>182</v>
      </c>
      <c r="AB91" s="54">
        <v>3456</v>
      </c>
      <c r="AC91" s="51">
        <v>20</v>
      </c>
      <c r="AD91" s="51" t="s">
        <v>182</v>
      </c>
      <c r="AE91" s="51" t="s">
        <v>181</v>
      </c>
      <c r="AF91" s="51" t="s">
        <v>102</v>
      </c>
      <c r="AG91" s="51" t="s">
        <v>69</v>
      </c>
      <c r="AH91" s="51" t="s">
        <v>70</v>
      </c>
      <c r="AI91" s="51" t="s">
        <v>76</v>
      </c>
      <c r="AJ91" s="53">
        <v>42396</v>
      </c>
      <c r="AK91" s="51" t="s">
        <v>64</v>
      </c>
      <c r="AL91" s="53">
        <v>42382</v>
      </c>
      <c r="AM91" s="51" t="s">
        <v>100</v>
      </c>
      <c r="AN91" s="51">
        <v>62077317</v>
      </c>
      <c r="AO91" s="53">
        <v>42409</v>
      </c>
      <c r="AP91" s="51" t="s">
        <v>77</v>
      </c>
      <c r="AQ91" s="51" t="s">
        <v>717</v>
      </c>
    </row>
    <row r="92" spans="1:43" x14ac:dyDescent="0.2">
      <c r="A92" s="51">
        <v>10020447</v>
      </c>
      <c r="B92" s="51">
        <v>200</v>
      </c>
      <c r="C92" s="51" t="s">
        <v>18</v>
      </c>
      <c r="D92" s="51" t="s">
        <v>573</v>
      </c>
      <c r="E92" s="53">
        <v>42382</v>
      </c>
      <c r="F92" s="51">
        <v>93634754</v>
      </c>
      <c r="G92" s="51">
        <v>200</v>
      </c>
      <c r="H92" s="51">
        <v>1201547</v>
      </c>
      <c r="I92" s="51" t="s">
        <v>305</v>
      </c>
      <c r="J92" s="51">
        <v>1201547</v>
      </c>
      <c r="K92" s="51" t="s">
        <v>305</v>
      </c>
      <c r="L92" s="51">
        <v>1201547</v>
      </c>
      <c r="M92" s="51" t="s">
        <v>305</v>
      </c>
      <c r="N92" s="51">
        <v>93220</v>
      </c>
      <c r="O92" s="51"/>
      <c r="P92" s="51"/>
      <c r="Q92" s="51">
        <v>591214071</v>
      </c>
      <c r="R92" s="51" t="s">
        <v>2039</v>
      </c>
      <c r="S92" s="51" t="s">
        <v>1322</v>
      </c>
      <c r="T92" s="51" t="s">
        <v>2040</v>
      </c>
      <c r="U92" s="51" t="s">
        <v>1331</v>
      </c>
      <c r="V92" s="51"/>
      <c r="W92" s="51">
        <v>720</v>
      </c>
      <c r="X92" s="51">
        <v>1</v>
      </c>
      <c r="Y92" s="51" t="s">
        <v>1332</v>
      </c>
      <c r="Z92" s="51">
        <v>208.56</v>
      </c>
      <c r="AA92" s="51" t="s">
        <v>182</v>
      </c>
      <c r="AB92" s="54">
        <v>150163.20000000001</v>
      </c>
      <c r="AC92" s="51">
        <v>208.56</v>
      </c>
      <c r="AD92" s="51" t="s">
        <v>182</v>
      </c>
      <c r="AE92" s="51" t="s">
        <v>181</v>
      </c>
      <c r="AF92" s="51" t="s">
        <v>67</v>
      </c>
      <c r="AG92" s="51" t="s">
        <v>69</v>
      </c>
      <c r="AH92" s="51" t="s">
        <v>70</v>
      </c>
      <c r="AI92" s="51" t="s">
        <v>76</v>
      </c>
      <c r="AJ92" s="53">
        <v>42396</v>
      </c>
      <c r="AK92" s="51" t="s">
        <v>64</v>
      </c>
      <c r="AL92" s="53">
        <v>42382</v>
      </c>
      <c r="AM92" s="51" t="s">
        <v>100</v>
      </c>
      <c r="AN92" s="51">
        <v>62077316</v>
      </c>
      <c r="AO92" s="53">
        <v>42409</v>
      </c>
      <c r="AP92" s="51" t="s">
        <v>77</v>
      </c>
      <c r="AQ92" s="51" t="s">
        <v>323</v>
      </c>
    </row>
    <row r="93" spans="1:43" x14ac:dyDescent="0.2">
      <c r="A93" s="51">
        <v>10020448</v>
      </c>
      <c r="B93" s="51">
        <v>960</v>
      </c>
      <c r="C93" s="51" t="s">
        <v>25</v>
      </c>
      <c r="D93" s="51" t="s">
        <v>78</v>
      </c>
      <c r="E93" s="53">
        <v>42382</v>
      </c>
      <c r="F93" s="51">
        <v>93647026</v>
      </c>
      <c r="G93" s="51">
        <v>960</v>
      </c>
      <c r="H93" s="51">
        <v>1201232</v>
      </c>
      <c r="I93" s="51" t="s">
        <v>772</v>
      </c>
      <c r="J93" s="51">
        <v>1201232</v>
      </c>
      <c r="K93" s="51" t="s">
        <v>772</v>
      </c>
      <c r="L93" s="51">
        <v>1201232</v>
      </c>
      <c r="M93" s="51" t="s">
        <v>772</v>
      </c>
      <c r="N93" s="51">
        <v>29079</v>
      </c>
      <c r="O93" s="51"/>
      <c r="P93" s="51"/>
      <c r="Q93" s="51">
        <v>228366003</v>
      </c>
      <c r="R93" s="51" t="s">
        <v>2041</v>
      </c>
      <c r="S93" s="51" t="s">
        <v>1322</v>
      </c>
      <c r="T93" s="51" t="s">
        <v>2031</v>
      </c>
      <c r="U93" s="51" t="s">
        <v>1331</v>
      </c>
      <c r="V93" s="51" t="s">
        <v>2042</v>
      </c>
      <c r="W93" s="51">
        <v>12</v>
      </c>
      <c r="X93" s="51">
        <v>12</v>
      </c>
      <c r="Y93" s="51" t="s">
        <v>1332</v>
      </c>
      <c r="Z93" s="51">
        <v>193.95</v>
      </c>
      <c r="AA93" s="51" t="s">
        <v>182</v>
      </c>
      <c r="AB93" s="54">
        <v>2327.4</v>
      </c>
      <c r="AC93" s="54">
        <v>2327.4</v>
      </c>
      <c r="AD93" s="51" t="s">
        <v>182</v>
      </c>
      <c r="AE93" s="51" t="s">
        <v>181</v>
      </c>
      <c r="AF93" s="51" t="s">
        <v>97</v>
      </c>
      <c r="AG93" s="51" t="s">
        <v>69</v>
      </c>
      <c r="AH93" s="51" t="s">
        <v>104</v>
      </c>
      <c r="AI93" s="51" t="s">
        <v>71</v>
      </c>
      <c r="AJ93" s="53">
        <v>42394</v>
      </c>
      <c r="AK93" s="51" t="s">
        <v>64</v>
      </c>
      <c r="AL93" s="53">
        <v>42382</v>
      </c>
      <c r="AM93" s="51" t="s">
        <v>72</v>
      </c>
      <c r="AN93" s="51">
        <v>62072121</v>
      </c>
      <c r="AO93" s="53">
        <v>42402</v>
      </c>
      <c r="AP93" s="51" t="s">
        <v>465</v>
      </c>
      <c r="AQ93" s="51" t="s">
        <v>2043</v>
      </c>
    </row>
    <row r="94" spans="1:43" x14ac:dyDescent="0.2">
      <c r="A94" s="51">
        <v>10020450</v>
      </c>
      <c r="B94" s="51">
        <v>20</v>
      </c>
      <c r="C94" s="51" t="s">
        <v>26</v>
      </c>
      <c r="D94" s="51" t="s">
        <v>573</v>
      </c>
      <c r="E94" s="53">
        <v>42382</v>
      </c>
      <c r="F94" s="51">
        <v>93642738</v>
      </c>
      <c r="G94" s="51">
        <v>20</v>
      </c>
      <c r="H94" s="51">
        <v>1201232</v>
      </c>
      <c r="I94" s="51" t="s">
        <v>772</v>
      </c>
      <c r="J94" s="51">
        <v>1201232</v>
      </c>
      <c r="K94" s="51" t="s">
        <v>772</v>
      </c>
      <c r="L94" s="51">
        <v>1201232</v>
      </c>
      <c r="M94" s="51" t="s">
        <v>772</v>
      </c>
      <c r="N94" s="51">
        <v>29079</v>
      </c>
      <c r="O94" s="51"/>
      <c r="P94" s="51"/>
      <c r="Q94" s="51">
        <v>591578201</v>
      </c>
      <c r="R94" s="51" t="s">
        <v>1353</v>
      </c>
      <c r="S94" s="51" t="s">
        <v>1322</v>
      </c>
      <c r="T94" s="51" t="s">
        <v>1354</v>
      </c>
      <c r="U94" s="51" t="s">
        <v>1331</v>
      </c>
      <c r="V94" s="51" t="s">
        <v>2044</v>
      </c>
      <c r="W94" s="51">
        <v>48</v>
      </c>
      <c r="X94" s="51">
        <v>48</v>
      </c>
      <c r="Y94" s="51" t="s">
        <v>1332</v>
      </c>
      <c r="Z94" s="51">
        <v>44.72</v>
      </c>
      <c r="AA94" s="51" t="s">
        <v>182</v>
      </c>
      <c r="AB94" s="54">
        <v>2146.56</v>
      </c>
      <c r="AC94" s="54">
        <v>2146.56</v>
      </c>
      <c r="AD94" s="51" t="s">
        <v>182</v>
      </c>
      <c r="AE94" s="51" t="s">
        <v>181</v>
      </c>
      <c r="AF94" s="51" t="s">
        <v>102</v>
      </c>
      <c r="AG94" s="51" t="s">
        <v>69</v>
      </c>
      <c r="AH94" s="51" t="s">
        <v>94</v>
      </c>
      <c r="AI94" s="51" t="s">
        <v>95</v>
      </c>
      <c r="AJ94" s="53">
        <v>42402</v>
      </c>
      <c r="AK94" s="51" t="s">
        <v>64</v>
      </c>
      <c r="AL94" s="53">
        <v>42382</v>
      </c>
      <c r="AM94" s="51" t="s">
        <v>100</v>
      </c>
      <c r="AN94" s="51">
        <v>62077303</v>
      </c>
      <c r="AO94" s="53">
        <v>42409</v>
      </c>
      <c r="AP94" s="51" t="s">
        <v>96</v>
      </c>
      <c r="AQ94" s="51" t="s">
        <v>2045</v>
      </c>
    </row>
    <row r="95" spans="1:43" x14ac:dyDescent="0.2">
      <c r="A95" s="51">
        <v>10020450</v>
      </c>
      <c r="B95" s="51">
        <v>200</v>
      </c>
      <c r="C95" s="51" t="s">
        <v>26</v>
      </c>
      <c r="D95" s="51" t="s">
        <v>573</v>
      </c>
      <c r="E95" s="53">
        <v>42382</v>
      </c>
      <c r="F95" s="51">
        <v>93642738</v>
      </c>
      <c r="G95" s="51">
        <v>200</v>
      </c>
      <c r="H95" s="51">
        <v>1201232</v>
      </c>
      <c r="I95" s="51" t="s">
        <v>772</v>
      </c>
      <c r="J95" s="51">
        <v>1201232</v>
      </c>
      <c r="K95" s="51" t="s">
        <v>772</v>
      </c>
      <c r="L95" s="51">
        <v>1201232</v>
      </c>
      <c r="M95" s="51" t="s">
        <v>772</v>
      </c>
      <c r="N95" s="51">
        <v>29079</v>
      </c>
      <c r="O95" s="51"/>
      <c r="P95" s="51"/>
      <c r="Q95" s="51">
        <v>591040710</v>
      </c>
      <c r="R95" s="51" t="s">
        <v>1506</v>
      </c>
      <c r="S95" s="51" t="s">
        <v>1322</v>
      </c>
      <c r="T95" s="51" t="s">
        <v>1507</v>
      </c>
      <c r="U95" s="51" t="s">
        <v>1331</v>
      </c>
      <c r="V95" s="51" t="s">
        <v>2046</v>
      </c>
      <c r="W95" s="51">
        <v>48</v>
      </c>
      <c r="X95" s="51">
        <v>48</v>
      </c>
      <c r="Y95" s="51" t="s">
        <v>1332</v>
      </c>
      <c r="Z95" s="51">
        <v>43.04</v>
      </c>
      <c r="AA95" s="51" t="s">
        <v>182</v>
      </c>
      <c r="AB95" s="54">
        <v>2065.92</v>
      </c>
      <c r="AC95" s="54">
        <v>2065.92</v>
      </c>
      <c r="AD95" s="51" t="s">
        <v>182</v>
      </c>
      <c r="AE95" s="51" t="s">
        <v>181</v>
      </c>
      <c r="AF95" s="51" t="s">
        <v>102</v>
      </c>
      <c r="AG95" s="51" t="s">
        <v>69</v>
      </c>
      <c r="AH95" s="51" t="s">
        <v>94</v>
      </c>
      <c r="AI95" s="51" t="s">
        <v>95</v>
      </c>
      <c r="AJ95" s="53">
        <v>42402</v>
      </c>
      <c r="AK95" s="51" t="s">
        <v>64</v>
      </c>
      <c r="AL95" s="53">
        <v>42382</v>
      </c>
      <c r="AM95" s="51" t="s">
        <v>100</v>
      </c>
      <c r="AN95" s="51">
        <v>62077303</v>
      </c>
      <c r="AO95" s="53">
        <v>42409</v>
      </c>
      <c r="AP95" s="51" t="s">
        <v>96</v>
      </c>
      <c r="AQ95" s="51" t="s">
        <v>2045</v>
      </c>
    </row>
    <row r="96" spans="1:43" x14ac:dyDescent="0.2">
      <c r="A96" s="51">
        <v>10020450</v>
      </c>
      <c r="B96" s="51">
        <v>230</v>
      </c>
      <c r="C96" s="51" t="s">
        <v>26</v>
      </c>
      <c r="D96" s="51" t="s">
        <v>573</v>
      </c>
      <c r="E96" s="53">
        <v>42382</v>
      </c>
      <c r="F96" s="51">
        <v>93642738</v>
      </c>
      <c r="G96" s="51">
        <v>230</v>
      </c>
      <c r="H96" s="51">
        <v>1201232</v>
      </c>
      <c r="I96" s="51" t="s">
        <v>772</v>
      </c>
      <c r="J96" s="51">
        <v>1201232</v>
      </c>
      <c r="K96" s="51" t="s">
        <v>772</v>
      </c>
      <c r="L96" s="51">
        <v>1201232</v>
      </c>
      <c r="M96" s="51" t="s">
        <v>772</v>
      </c>
      <c r="N96" s="51">
        <v>29079</v>
      </c>
      <c r="O96" s="51"/>
      <c r="P96" s="51"/>
      <c r="Q96" s="51">
        <v>591040905</v>
      </c>
      <c r="R96" s="51" t="s">
        <v>2047</v>
      </c>
      <c r="S96" s="51" t="s">
        <v>1322</v>
      </c>
      <c r="T96" s="51" t="s">
        <v>1507</v>
      </c>
      <c r="U96" s="51" t="s">
        <v>1331</v>
      </c>
      <c r="V96" s="51" t="s">
        <v>2048</v>
      </c>
      <c r="W96" s="51">
        <v>48</v>
      </c>
      <c r="X96" s="51">
        <v>48</v>
      </c>
      <c r="Y96" s="51" t="s">
        <v>1332</v>
      </c>
      <c r="Z96" s="51">
        <v>61.2</v>
      </c>
      <c r="AA96" s="51" t="s">
        <v>182</v>
      </c>
      <c r="AB96" s="54">
        <v>2937.6</v>
      </c>
      <c r="AC96" s="54">
        <v>2937.6</v>
      </c>
      <c r="AD96" s="51" t="s">
        <v>182</v>
      </c>
      <c r="AE96" s="51" t="s">
        <v>181</v>
      </c>
      <c r="AF96" s="51" t="s">
        <v>102</v>
      </c>
      <c r="AG96" s="51" t="s">
        <v>69</v>
      </c>
      <c r="AH96" s="51" t="s">
        <v>94</v>
      </c>
      <c r="AI96" s="51" t="s">
        <v>95</v>
      </c>
      <c r="AJ96" s="53">
        <v>42402</v>
      </c>
      <c r="AK96" s="51" t="s">
        <v>64</v>
      </c>
      <c r="AL96" s="53">
        <v>42382</v>
      </c>
      <c r="AM96" s="51" t="s">
        <v>100</v>
      </c>
      <c r="AN96" s="51">
        <v>62077303</v>
      </c>
      <c r="AO96" s="53">
        <v>42409</v>
      </c>
      <c r="AP96" s="51" t="s">
        <v>96</v>
      </c>
      <c r="AQ96" s="51" t="s">
        <v>2045</v>
      </c>
    </row>
    <row r="97" spans="1:43" x14ac:dyDescent="0.2">
      <c r="A97" s="51">
        <v>10020451</v>
      </c>
      <c r="B97" s="51">
        <v>160</v>
      </c>
      <c r="C97" s="51" t="s">
        <v>18</v>
      </c>
      <c r="D97" s="51" t="s">
        <v>573</v>
      </c>
      <c r="E97" s="53">
        <v>42382</v>
      </c>
      <c r="F97" s="51">
        <v>93643429</v>
      </c>
      <c r="G97" s="51">
        <v>160</v>
      </c>
      <c r="H97" s="51">
        <v>1201399</v>
      </c>
      <c r="I97" s="51" t="s">
        <v>144</v>
      </c>
      <c r="J97" s="51">
        <v>1334926</v>
      </c>
      <c r="K97" s="51" t="s">
        <v>145</v>
      </c>
      <c r="L97" s="51">
        <v>1171970</v>
      </c>
      <c r="M97" s="51" t="s">
        <v>144</v>
      </c>
      <c r="N97" s="51">
        <v>8106681316</v>
      </c>
      <c r="O97" s="51"/>
      <c r="P97" s="51"/>
      <c r="Q97" s="51">
        <v>60758088005</v>
      </c>
      <c r="R97" s="51" t="s">
        <v>2049</v>
      </c>
      <c r="S97" s="51" t="s">
        <v>1322</v>
      </c>
      <c r="T97" s="51" t="s">
        <v>1752</v>
      </c>
      <c r="U97" s="51" t="s">
        <v>1331</v>
      </c>
      <c r="V97" s="51"/>
      <c r="W97" s="51">
        <v>15696</v>
      </c>
      <c r="X97" s="51">
        <v>72</v>
      </c>
      <c r="Y97" s="51" t="s">
        <v>1332</v>
      </c>
      <c r="Z97" s="51">
        <v>61.78</v>
      </c>
      <c r="AA97" s="51" t="s">
        <v>182</v>
      </c>
      <c r="AB97" s="54">
        <v>969698.88</v>
      </c>
      <c r="AC97" s="54">
        <v>4448.16</v>
      </c>
      <c r="AD97" s="51" t="s">
        <v>182</v>
      </c>
      <c r="AE97" s="51" t="s">
        <v>181</v>
      </c>
      <c r="AF97" s="51" t="s">
        <v>168</v>
      </c>
      <c r="AG97" s="51" t="s">
        <v>69</v>
      </c>
      <c r="AH97" s="51" t="s">
        <v>70</v>
      </c>
      <c r="AI97" s="51" t="s">
        <v>76</v>
      </c>
      <c r="AJ97" s="53">
        <v>42396</v>
      </c>
      <c r="AK97" s="51" t="s">
        <v>64</v>
      </c>
      <c r="AL97" s="53">
        <v>42382</v>
      </c>
      <c r="AM97" s="51" t="s">
        <v>100</v>
      </c>
      <c r="AN97" s="51">
        <v>62070542</v>
      </c>
      <c r="AO97" s="53">
        <v>42398</v>
      </c>
      <c r="AP97" s="51" t="s">
        <v>77</v>
      </c>
      <c r="AQ97" s="51" t="s">
        <v>733</v>
      </c>
    </row>
    <row r="98" spans="1:43" x14ac:dyDescent="0.2">
      <c r="A98" s="51">
        <v>10020452</v>
      </c>
      <c r="B98" s="51">
        <v>10</v>
      </c>
      <c r="C98" s="51" t="s">
        <v>22</v>
      </c>
      <c r="D98" s="51" t="s">
        <v>573</v>
      </c>
      <c r="E98" s="53">
        <v>42382</v>
      </c>
      <c r="F98" s="51"/>
      <c r="G98" s="51">
        <v>10</v>
      </c>
      <c r="H98" s="51">
        <v>1201047</v>
      </c>
      <c r="I98" s="51" t="s">
        <v>79</v>
      </c>
      <c r="J98" s="51">
        <v>1002905</v>
      </c>
      <c r="K98" s="51" t="s">
        <v>80</v>
      </c>
      <c r="L98" s="51">
        <v>1171089</v>
      </c>
      <c r="M98" s="51" t="s">
        <v>75</v>
      </c>
      <c r="N98" s="51">
        <v>38292317</v>
      </c>
      <c r="O98" s="51"/>
      <c r="P98" s="51"/>
      <c r="Q98" s="51">
        <v>591396501</v>
      </c>
      <c r="R98" s="51" t="s">
        <v>1911</v>
      </c>
      <c r="S98" s="51" t="s">
        <v>1322</v>
      </c>
      <c r="T98" s="51" t="s">
        <v>1912</v>
      </c>
      <c r="U98" s="51" t="s">
        <v>1331</v>
      </c>
      <c r="V98" s="51"/>
      <c r="W98" s="51">
        <v>0</v>
      </c>
      <c r="X98" s="51">
        <v>48</v>
      </c>
      <c r="Y98" s="51" t="s">
        <v>1324</v>
      </c>
      <c r="Z98" s="51">
        <v>323.97000000000003</v>
      </c>
      <c r="AA98" s="51" t="s">
        <v>182</v>
      </c>
      <c r="AB98" s="51">
        <v>0</v>
      </c>
      <c r="AC98" s="54">
        <v>15550.56</v>
      </c>
      <c r="AD98" s="51" t="s">
        <v>182</v>
      </c>
      <c r="AE98" s="51" t="s">
        <v>181</v>
      </c>
      <c r="AF98" s="51"/>
      <c r="AG98" s="51" t="s">
        <v>63</v>
      </c>
      <c r="AH98" s="51"/>
      <c r="AI98" s="51"/>
      <c r="AJ98" s="51"/>
      <c r="AK98" s="51" t="s">
        <v>64</v>
      </c>
      <c r="AL98" s="53">
        <v>42382</v>
      </c>
      <c r="AM98" s="51"/>
      <c r="AN98" s="51"/>
      <c r="AO98" s="51"/>
      <c r="AP98" s="51"/>
      <c r="AQ98" s="51"/>
    </row>
    <row r="99" spans="1:43" x14ac:dyDescent="0.2">
      <c r="A99" s="51">
        <v>10020453</v>
      </c>
      <c r="B99" s="51">
        <v>10</v>
      </c>
      <c r="C99" s="51" t="s">
        <v>18</v>
      </c>
      <c r="D99" s="51" t="s">
        <v>575</v>
      </c>
      <c r="E99" s="53">
        <v>42382</v>
      </c>
      <c r="F99" s="51">
        <v>93633378</v>
      </c>
      <c r="G99" s="51">
        <v>10</v>
      </c>
      <c r="H99" s="51">
        <v>1201550</v>
      </c>
      <c r="I99" s="51" t="s">
        <v>153</v>
      </c>
      <c r="J99" s="51">
        <v>1326078</v>
      </c>
      <c r="K99" s="51" t="s">
        <v>2050</v>
      </c>
      <c r="L99" s="51">
        <v>1201550</v>
      </c>
      <c r="M99" s="51" t="s">
        <v>153</v>
      </c>
      <c r="N99" s="51">
        <v>50016729</v>
      </c>
      <c r="O99" s="51"/>
      <c r="P99" s="51"/>
      <c r="Q99" s="51">
        <v>62037056005</v>
      </c>
      <c r="R99" s="51" t="s">
        <v>1610</v>
      </c>
      <c r="S99" s="51" t="s">
        <v>1322</v>
      </c>
      <c r="T99" s="51" t="s">
        <v>1611</v>
      </c>
      <c r="U99" s="51" t="s">
        <v>1331</v>
      </c>
      <c r="V99" s="51" t="s">
        <v>2051</v>
      </c>
      <c r="W99" s="51">
        <v>5004</v>
      </c>
      <c r="X99" s="51">
        <v>2</v>
      </c>
      <c r="Y99" s="51" t="s">
        <v>1324</v>
      </c>
      <c r="Z99" s="51">
        <v>377.15</v>
      </c>
      <c r="AA99" s="51" t="s">
        <v>182</v>
      </c>
      <c r="AB99" s="54">
        <v>1887258.6</v>
      </c>
      <c r="AC99" s="51">
        <v>754.3</v>
      </c>
      <c r="AD99" s="51" t="s">
        <v>182</v>
      </c>
      <c r="AE99" s="51" t="s">
        <v>181</v>
      </c>
      <c r="AF99" s="51" t="s">
        <v>86</v>
      </c>
      <c r="AG99" s="51" t="s">
        <v>69</v>
      </c>
      <c r="AH99" s="51" t="s">
        <v>105</v>
      </c>
      <c r="AI99" s="51" t="s">
        <v>76</v>
      </c>
      <c r="AJ99" s="53">
        <v>42396</v>
      </c>
      <c r="AK99" s="51" t="s">
        <v>64</v>
      </c>
      <c r="AL99" s="53">
        <v>42382</v>
      </c>
      <c r="AM99" s="51" t="s">
        <v>100</v>
      </c>
      <c r="AN99" s="51">
        <v>62070538</v>
      </c>
      <c r="AO99" s="53">
        <v>42398</v>
      </c>
      <c r="AP99" s="51" t="s">
        <v>106</v>
      </c>
      <c r="AQ99" s="51" t="s">
        <v>2052</v>
      </c>
    </row>
    <row r="100" spans="1:43" x14ac:dyDescent="0.2">
      <c r="A100" s="51">
        <v>10020454</v>
      </c>
      <c r="B100" s="51">
        <v>1030</v>
      </c>
      <c r="C100" s="51" t="s">
        <v>26</v>
      </c>
      <c r="D100" s="51" t="s">
        <v>149</v>
      </c>
      <c r="E100" s="53">
        <v>42382</v>
      </c>
      <c r="F100" s="51">
        <v>93642476</v>
      </c>
      <c r="G100" s="51">
        <v>1030</v>
      </c>
      <c r="H100" s="51">
        <v>1201047</v>
      </c>
      <c r="I100" s="51" t="s">
        <v>79</v>
      </c>
      <c r="J100" s="51">
        <v>1321618</v>
      </c>
      <c r="K100" s="51" t="s">
        <v>85</v>
      </c>
      <c r="L100" s="51">
        <v>1171089</v>
      </c>
      <c r="M100" s="51" t="s">
        <v>75</v>
      </c>
      <c r="N100" s="51">
        <v>55531229</v>
      </c>
      <c r="O100" s="51"/>
      <c r="P100" s="51"/>
      <c r="Q100" s="51">
        <v>228278011</v>
      </c>
      <c r="R100" s="51" t="s">
        <v>2053</v>
      </c>
      <c r="S100" s="51" t="s">
        <v>1322</v>
      </c>
      <c r="T100" s="51" t="s">
        <v>1388</v>
      </c>
      <c r="U100" s="51" t="s">
        <v>1331</v>
      </c>
      <c r="V100" s="51" t="s">
        <v>2054</v>
      </c>
      <c r="W100" s="51">
        <v>72</v>
      </c>
      <c r="X100" s="51">
        <v>48</v>
      </c>
      <c r="Y100" s="51" t="s">
        <v>1332</v>
      </c>
      <c r="Z100" s="51">
        <v>243.68</v>
      </c>
      <c r="AA100" s="51" t="s">
        <v>182</v>
      </c>
      <c r="AB100" s="54">
        <v>17544.96</v>
      </c>
      <c r="AC100" s="51">
        <v>0</v>
      </c>
      <c r="AD100" s="51" t="s">
        <v>182</v>
      </c>
      <c r="AE100" s="51" t="s">
        <v>181</v>
      </c>
      <c r="AF100" s="51" t="s">
        <v>91</v>
      </c>
      <c r="AG100" s="51" t="s">
        <v>63</v>
      </c>
      <c r="AH100" s="51" t="s">
        <v>81</v>
      </c>
      <c r="AI100" s="51" t="s">
        <v>88</v>
      </c>
      <c r="AJ100" s="53">
        <v>42402</v>
      </c>
      <c r="AK100" s="51"/>
      <c r="AL100" s="51"/>
      <c r="AM100" s="51"/>
      <c r="AN100" s="51"/>
      <c r="AO100" s="51"/>
      <c r="AP100" s="51" t="s">
        <v>89</v>
      </c>
      <c r="AQ100" s="51" t="s">
        <v>2055</v>
      </c>
    </row>
    <row r="101" spans="1:43" x14ac:dyDescent="0.2">
      <c r="A101" s="51">
        <v>10020458</v>
      </c>
      <c r="B101" s="51">
        <v>10</v>
      </c>
      <c r="C101" s="51" t="s">
        <v>22</v>
      </c>
      <c r="D101" s="51" t="s">
        <v>78</v>
      </c>
      <c r="E101" s="53">
        <v>42383</v>
      </c>
      <c r="F101" s="51"/>
      <c r="G101" s="51">
        <v>10</v>
      </c>
      <c r="H101" s="51">
        <v>1201156</v>
      </c>
      <c r="I101" s="51" t="s">
        <v>131</v>
      </c>
      <c r="J101" s="51">
        <v>1317406</v>
      </c>
      <c r="K101" s="51" t="s">
        <v>2056</v>
      </c>
      <c r="L101" s="51">
        <v>1201156</v>
      </c>
      <c r="M101" s="51" t="s">
        <v>131</v>
      </c>
      <c r="N101" s="51" t="s">
        <v>2057</v>
      </c>
      <c r="O101" s="51"/>
      <c r="P101" s="51"/>
      <c r="Q101" s="51">
        <v>591336901</v>
      </c>
      <c r="R101" s="51" t="s">
        <v>2058</v>
      </c>
      <c r="S101" s="51" t="s">
        <v>1322</v>
      </c>
      <c r="T101" s="51" t="s">
        <v>2059</v>
      </c>
      <c r="U101" s="51" t="s">
        <v>1331</v>
      </c>
      <c r="V101" s="51" t="s">
        <v>2060</v>
      </c>
      <c r="W101" s="51">
        <v>0</v>
      </c>
      <c r="X101" s="51">
        <v>24</v>
      </c>
      <c r="Y101" s="51" t="s">
        <v>1332</v>
      </c>
      <c r="Z101" s="51">
        <v>66.75</v>
      </c>
      <c r="AA101" s="51" t="s">
        <v>182</v>
      </c>
      <c r="AB101" s="51">
        <v>0</v>
      </c>
      <c r="AC101" s="54">
        <v>1602</v>
      </c>
      <c r="AD101" s="51" t="s">
        <v>182</v>
      </c>
      <c r="AE101" s="51" t="s">
        <v>181</v>
      </c>
      <c r="AF101" s="51"/>
      <c r="AG101" s="51" t="s">
        <v>63</v>
      </c>
      <c r="AH101" s="51" t="s">
        <v>94</v>
      </c>
      <c r="AI101" s="51" t="s">
        <v>82</v>
      </c>
      <c r="AJ101" s="53">
        <v>42390</v>
      </c>
      <c r="AK101" s="51" t="s">
        <v>64</v>
      </c>
      <c r="AL101" s="53">
        <v>42383</v>
      </c>
      <c r="AM101" s="51"/>
      <c r="AN101" s="51"/>
      <c r="AO101" s="51"/>
      <c r="AP101" s="51" t="s">
        <v>142</v>
      </c>
      <c r="AQ101" s="51" t="s">
        <v>2061</v>
      </c>
    </row>
    <row r="102" spans="1:43" x14ac:dyDescent="0.2">
      <c r="A102" s="51">
        <v>10020469</v>
      </c>
      <c r="B102" s="51">
        <v>10</v>
      </c>
      <c r="C102" s="51" t="s">
        <v>18</v>
      </c>
      <c r="D102" s="51" t="s">
        <v>78</v>
      </c>
      <c r="E102" s="53">
        <v>42383</v>
      </c>
      <c r="F102" s="51">
        <v>93652871</v>
      </c>
      <c r="G102" s="51">
        <v>10</v>
      </c>
      <c r="H102" s="51">
        <v>1201120</v>
      </c>
      <c r="I102" s="51" t="s">
        <v>117</v>
      </c>
      <c r="J102" s="51">
        <v>1307782</v>
      </c>
      <c r="K102" s="51" t="s">
        <v>119</v>
      </c>
      <c r="L102" s="51">
        <v>1171090</v>
      </c>
      <c r="M102" s="51" t="s">
        <v>118</v>
      </c>
      <c r="N102" s="51" t="s">
        <v>2062</v>
      </c>
      <c r="O102" s="51"/>
      <c r="P102" s="51"/>
      <c r="Q102" s="51">
        <v>472052794</v>
      </c>
      <c r="R102" s="51" t="s">
        <v>2063</v>
      </c>
      <c r="S102" s="51" t="s">
        <v>1459</v>
      </c>
      <c r="T102" s="51" t="s">
        <v>2064</v>
      </c>
      <c r="U102" s="51" t="s">
        <v>1459</v>
      </c>
      <c r="V102" s="51" t="s">
        <v>2065</v>
      </c>
      <c r="W102" s="51">
        <v>72</v>
      </c>
      <c r="X102" s="51">
        <v>36</v>
      </c>
      <c r="Y102" s="51" t="s">
        <v>1332</v>
      </c>
      <c r="Z102" s="51">
        <v>6.8</v>
      </c>
      <c r="AA102" s="51" t="s">
        <v>182</v>
      </c>
      <c r="AB102" s="51">
        <v>489.6</v>
      </c>
      <c r="AC102" s="51">
        <v>244.8</v>
      </c>
      <c r="AD102" s="51" t="s">
        <v>182</v>
      </c>
      <c r="AE102" s="51" t="s">
        <v>181</v>
      </c>
      <c r="AF102" s="51" t="s">
        <v>97</v>
      </c>
      <c r="AG102" s="51" t="s">
        <v>69</v>
      </c>
      <c r="AH102" s="51" t="s">
        <v>70</v>
      </c>
      <c r="AI102" s="51" t="s">
        <v>76</v>
      </c>
      <c r="AJ102" s="53">
        <v>42396</v>
      </c>
      <c r="AK102" s="51" t="s">
        <v>64</v>
      </c>
      <c r="AL102" s="53">
        <v>42383</v>
      </c>
      <c r="AM102" s="51" t="s">
        <v>100</v>
      </c>
      <c r="AN102" s="51">
        <v>62077313</v>
      </c>
      <c r="AO102" s="53">
        <v>42409</v>
      </c>
      <c r="AP102" s="51" t="s">
        <v>77</v>
      </c>
      <c r="AQ102" s="51" t="s">
        <v>223</v>
      </c>
    </row>
    <row r="103" spans="1:43" x14ac:dyDescent="0.2">
      <c r="A103" s="51">
        <v>10020473</v>
      </c>
      <c r="B103" s="51">
        <v>20</v>
      </c>
      <c r="C103" s="51" t="s">
        <v>22</v>
      </c>
      <c r="D103" s="51" t="s">
        <v>573</v>
      </c>
      <c r="E103" s="53">
        <v>42383</v>
      </c>
      <c r="F103" s="51">
        <v>93649684</v>
      </c>
      <c r="G103" s="51">
        <v>20</v>
      </c>
      <c r="H103" s="51">
        <v>1201605</v>
      </c>
      <c r="I103" s="51" t="s">
        <v>155</v>
      </c>
      <c r="J103" s="51">
        <v>1023292</v>
      </c>
      <c r="K103" s="51" t="s">
        <v>155</v>
      </c>
      <c r="L103" s="51">
        <v>1172017</v>
      </c>
      <c r="M103" s="51" t="s">
        <v>155</v>
      </c>
      <c r="N103" s="51">
        <v>555197</v>
      </c>
      <c r="O103" s="51"/>
      <c r="P103" s="51"/>
      <c r="Q103" s="51">
        <v>591354125</v>
      </c>
      <c r="R103" s="51" t="s">
        <v>2066</v>
      </c>
      <c r="S103" s="51" t="s">
        <v>1322</v>
      </c>
      <c r="T103" s="51" t="s">
        <v>2067</v>
      </c>
      <c r="U103" s="51" t="s">
        <v>1331</v>
      </c>
      <c r="V103" s="51" t="s">
        <v>2068</v>
      </c>
      <c r="W103" s="51">
        <v>24</v>
      </c>
      <c r="X103" s="51">
        <v>24</v>
      </c>
      <c r="Y103" s="51" t="s">
        <v>1332</v>
      </c>
      <c r="Z103" s="51">
        <v>112.5</v>
      </c>
      <c r="AA103" s="51" t="s">
        <v>182</v>
      </c>
      <c r="AB103" s="54">
        <v>2700</v>
      </c>
      <c r="AC103" s="54">
        <v>2700</v>
      </c>
      <c r="AD103" s="51" t="s">
        <v>182</v>
      </c>
      <c r="AE103" s="51" t="s">
        <v>181</v>
      </c>
      <c r="AF103" s="51" t="s">
        <v>67</v>
      </c>
      <c r="AG103" s="51" t="s">
        <v>63</v>
      </c>
      <c r="AH103" s="51" t="s">
        <v>94</v>
      </c>
      <c r="AI103" s="51" t="s">
        <v>82</v>
      </c>
      <c r="AJ103" s="53">
        <v>42404</v>
      </c>
      <c r="AK103" s="51" t="s">
        <v>64</v>
      </c>
      <c r="AL103" s="53">
        <v>42383</v>
      </c>
      <c r="AM103" s="51"/>
      <c r="AN103" s="51"/>
      <c r="AO103" s="51"/>
      <c r="AP103" s="51" t="s">
        <v>142</v>
      </c>
      <c r="AQ103" s="51" t="s">
        <v>2069</v>
      </c>
    </row>
    <row r="104" spans="1:43" x14ac:dyDescent="0.2">
      <c r="A104" s="51">
        <v>10020475</v>
      </c>
      <c r="B104" s="51">
        <v>300</v>
      </c>
      <c r="C104" s="51" t="s">
        <v>26</v>
      </c>
      <c r="D104" s="51" t="s">
        <v>149</v>
      </c>
      <c r="E104" s="53">
        <v>42383</v>
      </c>
      <c r="F104" s="51">
        <v>93638327</v>
      </c>
      <c r="G104" s="51">
        <v>300</v>
      </c>
      <c r="H104" s="51">
        <v>1201047</v>
      </c>
      <c r="I104" s="51" t="s">
        <v>79</v>
      </c>
      <c r="J104" s="51">
        <v>1311671</v>
      </c>
      <c r="K104" s="51" t="s">
        <v>90</v>
      </c>
      <c r="L104" s="51">
        <v>1171089</v>
      </c>
      <c r="M104" s="51" t="s">
        <v>75</v>
      </c>
      <c r="N104" s="51">
        <v>21470630</v>
      </c>
      <c r="O104" s="51"/>
      <c r="P104" s="51"/>
      <c r="Q104" s="51">
        <v>591551305</v>
      </c>
      <c r="R104" s="51" t="s">
        <v>2070</v>
      </c>
      <c r="S104" s="51" t="s">
        <v>1322</v>
      </c>
      <c r="T104" s="51" t="s">
        <v>1777</v>
      </c>
      <c r="U104" s="51">
        <v>4</v>
      </c>
      <c r="V104" s="51" t="s">
        <v>2071</v>
      </c>
      <c r="W104" s="51">
        <v>156</v>
      </c>
      <c r="X104" s="51">
        <v>1</v>
      </c>
      <c r="Y104" s="51" t="s">
        <v>1332</v>
      </c>
      <c r="Z104" s="51">
        <v>46.17</v>
      </c>
      <c r="AA104" s="51" t="s">
        <v>182</v>
      </c>
      <c r="AB104" s="54">
        <v>7202.52</v>
      </c>
      <c r="AC104" s="51">
        <v>46.17</v>
      </c>
      <c r="AD104" s="51" t="s">
        <v>182</v>
      </c>
      <c r="AE104" s="51" t="s">
        <v>181</v>
      </c>
      <c r="AF104" s="51" t="s">
        <v>91</v>
      </c>
      <c r="AG104" s="51" t="s">
        <v>63</v>
      </c>
      <c r="AH104" s="51" t="s">
        <v>105</v>
      </c>
      <c r="AI104" s="51" t="s">
        <v>82</v>
      </c>
      <c r="AJ104" s="53">
        <v>42408</v>
      </c>
      <c r="AK104" s="51" t="s">
        <v>166</v>
      </c>
      <c r="AL104" s="53">
        <v>42411</v>
      </c>
      <c r="AM104" s="51"/>
      <c r="AN104" s="51"/>
      <c r="AO104" s="51"/>
      <c r="AP104" s="51" t="s">
        <v>89</v>
      </c>
      <c r="AQ104" s="51" t="s">
        <v>2072</v>
      </c>
    </row>
    <row r="105" spans="1:43" x14ac:dyDescent="0.2">
      <c r="A105" s="51">
        <v>10020476</v>
      </c>
      <c r="B105" s="51">
        <v>740</v>
      </c>
      <c r="C105" s="51" t="s">
        <v>26</v>
      </c>
      <c r="D105" s="51" t="s">
        <v>573</v>
      </c>
      <c r="E105" s="53">
        <v>42383</v>
      </c>
      <c r="F105" s="51">
        <v>93649684</v>
      </c>
      <c r="G105" s="51">
        <v>740</v>
      </c>
      <c r="H105" s="51">
        <v>1201605</v>
      </c>
      <c r="I105" s="51" t="s">
        <v>155</v>
      </c>
      <c r="J105" s="51">
        <v>1023292</v>
      </c>
      <c r="K105" s="51" t="s">
        <v>155</v>
      </c>
      <c r="L105" s="51">
        <v>1172017</v>
      </c>
      <c r="M105" s="51" t="s">
        <v>155</v>
      </c>
      <c r="N105" s="51">
        <v>555197</v>
      </c>
      <c r="O105" s="51"/>
      <c r="P105" s="51"/>
      <c r="Q105" s="51">
        <v>50383028210</v>
      </c>
      <c r="R105" s="51" t="s">
        <v>1384</v>
      </c>
      <c r="S105" s="51" t="s">
        <v>1322</v>
      </c>
      <c r="T105" s="51" t="s">
        <v>1385</v>
      </c>
      <c r="U105" s="51" t="s">
        <v>1331</v>
      </c>
      <c r="V105" s="51">
        <v>347361</v>
      </c>
      <c r="W105" s="51">
        <v>24</v>
      </c>
      <c r="X105" s="51">
        <v>4</v>
      </c>
      <c r="Y105" s="51" t="s">
        <v>1332</v>
      </c>
      <c r="Z105" s="51">
        <v>20</v>
      </c>
      <c r="AA105" s="51" t="s">
        <v>182</v>
      </c>
      <c r="AB105" s="51">
        <v>480</v>
      </c>
      <c r="AC105" s="51">
        <v>80</v>
      </c>
      <c r="AD105" s="51" t="s">
        <v>182</v>
      </c>
      <c r="AE105" s="51" t="s">
        <v>181</v>
      </c>
      <c r="AF105" s="51" t="s">
        <v>67</v>
      </c>
      <c r="AG105" s="51" t="s">
        <v>63</v>
      </c>
      <c r="AH105" s="51" t="s">
        <v>81</v>
      </c>
      <c r="AI105" s="51" t="s">
        <v>88</v>
      </c>
      <c r="AJ105" s="53">
        <v>42408</v>
      </c>
      <c r="AK105" s="51" t="s">
        <v>64</v>
      </c>
      <c r="AL105" s="53">
        <v>42383</v>
      </c>
      <c r="AM105" s="51"/>
      <c r="AN105" s="51"/>
      <c r="AO105" s="51"/>
      <c r="AP105" s="51" t="s">
        <v>89</v>
      </c>
      <c r="AQ105" s="51" t="s">
        <v>274</v>
      </c>
    </row>
    <row r="106" spans="1:43" x14ac:dyDescent="0.2">
      <c r="A106" s="51">
        <v>10020477</v>
      </c>
      <c r="B106" s="51">
        <v>270</v>
      </c>
      <c r="C106" s="51" t="s">
        <v>26</v>
      </c>
      <c r="D106" s="51" t="s">
        <v>573</v>
      </c>
      <c r="E106" s="53">
        <v>42383</v>
      </c>
      <c r="F106" s="51">
        <v>93602772</v>
      </c>
      <c r="G106" s="51">
        <v>270</v>
      </c>
      <c r="H106" s="51">
        <v>1201315</v>
      </c>
      <c r="I106" s="51" t="s">
        <v>256</v>
      </c>
      <c r="J106" s="51">
        <v>1319381</v>
      </c>
      <c r="K106" s="51" t="s">
        <v>256</v>
      </c>
      <c r="L106" s="51">
        <v>1201315</v>
      </c>
      <c r="M106" s="51" t="s">
        <v>256</v>
      </c>
      <c r="N106" s="51">
        <v>5665638</v>
      </c>
      <c r="O106" s="51"/>
      <c r="P106" s="51"/>
      <c r="Q106" s="51">
        <v>591247330</v>
      </c>
      <c r="R106" s="51" t="s">
        <v>2009</v>
      </c>
      <c r="S106" s="51" t="s">
        <v>1322</v>
      </c>
      <c r="T106" s="51" t="s">
        <v>2010</v>
      </c>
      <c r="U106" s="51" t="s">
        <v>1331</v>
      </c>
      <c r="V106" s="51" t="s">
        <v>2073</v>
      </c>
      <c r="W106" s="51">
        <v>60</v>
      </c>
      <c r="X106" s="51">
        <v>48</v>
      </c>
      <c r="Y106" s="51" t="s">
        <v>1332</v>
      </c>
      <c r="Z106" s="51">
        <v>22.85</v>
      </c>
      <c r="AA106" s="51" t="s">
        <v>182</v>
      </c>
      <c r="AB106" s="54">
        <v>1371</v>
      </c>
      <c r="AC106" s="54">
        <v>1096.8</v>
      </c>
      <c r="AD106" s="51" t="s">
        <v>182</v>
      </c>
      <c r="AE106" s="51" t="s">
        <v>181</v>
      </c>
      <c r="AF106" s="51" t="s">
        <v>67</v>
      </c>
      <c r="AG106" s="51" t="s">
        <v>63</v>
      </c>
      <c r="AH106" s="51" t="s">
        <v>81</v>
      </c>
      <c r="AI106" s="51" t="s">
        <v>88</v>
      </c>
      <c r="AJ106" s="53">
        <v>42408</v>
      </c>
      <c r="AK106" s="51" t="s">
        <v>64</v>
      </c>
      <c r="AL106" s="53">
        <v>42383</v>
      </c>
      <c r="AM106" s="51"/>
      <c r="AN106" s="51"/>
      <c r="AO106" s="51"/>
      <c r="AP106" s="51" t="s">
        <v>89</v>
      </c>
      <c r="AQ106" s="51" t="s">
        <v>274</v>
      </c>
    </row>
    <row r="107" spans="1:43" x14ac:dyDescent="0.2">
      <c r="A107" s="51">
        <v>10020477</v>
      </c>
      <c r="B107" s="51">
        <v>510</v>
      </c>
      <c r="C107" s="51" t="s">
        <v>26</v>
      </c>
      <c r="D107" s="51" t="s">
        <v>573</v>
      </c>
      <c r="E107" s="53">
        <v>42383</v>
      </c>
      <c r="F107" s="51">
        <v>93602772</v>
      </c>
      <c r="G107" s="51">
        <v>510</v>
      </c>
      <c r="H107" s="51">
        <v>1201315</v>
      </c>
      <c r="I107" s="51" t="s">
        <v>256</v>
      </c>
      <c r="J107" s="51">
        <v>1319381</v>
      </c>
      <c r="K107" s="51" t="s">
        <v>256</v>
      </c>
      <c r="L107" s="51">
        <v>1201315</v>
      </c>
      <c r="M107" s="51" t="s">
        <v>256</v>
      </c>
      <c r="N107" s="51">
        <v>5665638</v>
      </c>
      <c r="O107" s="51"/>
      <c r="P107" s="51"/>
      <c r="Q107" s="51">
        <v>591090030</v>
      </c>
      <c r="R107" s="51" t="s">
        <v>2074</v>
      </c>
      <c r="S107" s="51" t="s">
        <v>1322</v>
      </c>
      <c r="T107" s="51" t="s">
        <v>1470</v>
      </c>
      <c r="U107" s="51" t="s">
        <v>1331</v>
      </c>
      <c r="V107" s="51">
        <v>3134202</v>
      </c>
      <c r="W107" s="51">
        <v>288</v>
      </c>
      <c r="X107" s="51">
        <v>48</v>
      </c>
      <c r="Y107" s="51" t="s">
        <v>1332</v>
      </c>
      <c r="Z107" s="51">
        <v>8.68</v>
      </c>
      <c r="AA107" s="51" t="s">
        <v>182</v>
      </c>
      <c r="AB107" s="54">
        <v>2499.84</v>
      </c>
      <c r="AC107" s="51">
        <v>416.64</v>
      </c>
      <c r="AD107" s="51" t="s">
        <v>182</v>
      </c>
      <c r="AE107" s="51" t="s">
        <v>181</v>
      </c>
      <c r="AF107" s="51" t="s">
        <v>67</v>
      </c>
      <c r="AG107" s="51" t="s">
        <v>63</v>
      </c>
      <c r="AH107" s="51" t="s">
        <v>81</v>
      </c>
      <c r="AI107" s="51" t="s">
        <v>88</v>
      </c>
      <c r="AJ107" s="53">
        <v>42408</v>
      </c>
      <c r="AK107" s="51" t="s">
        <v>64</v>
      </c>
      <c r="AL107" s="53">
        <v>42383</v>
      </c>
      <c r="AM107" s="51"/>
      <c r="AN107" s="51"/>
      <c r="AO107" s="51"/>
      <c r="AP107" s="51" t="s">
        <v>89</v>
      </c>
      <c r="AQ107" s="51" t="s">
        <v>274</v>
      </c>
    </row>
    <row r="108" spans="1:43" x14ac:dyDescent="0.2">
      <c r="A108" s="51">
        <v>10020478</v>
      </c>
      <c r="B108" s="51">
        <v>320</v>
      </c>
      <c r="C108" s="51" t="s">
        <v>18</v>
      </c>
      <c r="D108" s="51" t="s">
        <v>573</v>
      </c>
      <c r="E108" s="53">
        <v>42384</v>
      </c>
      <c r="F108" s="51">
        <v>93653037</v>
      </c>
      <c r="G108" s="51">
        <v>320</v>
      </c>
      <c r="H108" s="51">
        <v>1201674</v>
      </c>
      <c r="I108" s="51" t="s">
        <v>371</v>
      </c>
      <c r="J108" s="51">
        <v>1201674</v>
      </c>
      <c r="K108" s="51" t="s">
        <v>371</v>
      </c>
      <c r="L108" s="51">
        <v>1201674</v>
      </c>
      <c r="M108" s="51" t="s">
        <v>371</v>
      </c>
      <c r="N108" s="51">
        <v>479384</v>
      </c>
      <c r="O108" s="51"/>
      <c r="P108" s="51"/>
      <c r="Q108" s="51">
        <v>591381760</v>
      </c>
      <c r="R108" s="51" t="s">
        <v>1357</v>
      </c>
      <c r="S108" s="51" t="s">
        <v>1322</v>
      </c>
      <c r="T108" s="51" t="s">
        <v>1358</v>
      </c>
      <c r="U108" s="51" t="s">
        <v>1331</v>
      </c>
      <c r="V108" s="51"/>
      <c r="W108" s="51">
        <v>36</v>
      </c>
      <c r="X108" s="51">
        <v>12</v>
      </c>
      <c r="Y108" s="51" t="s">
        <v>1332</v>
      </c>
      <c r="Z108" s="51">
        <v>24</v>
      </c>
      <c r="AA108" s="51" t="s">
        <v>182</v>
      </c>
      <c r="AB108" s="51">
        <v>864</v>
      </c>
      <c r="AC108" s="51">
        <v>288</v>
      </c>
      <c r="AD108" s="51" t="s">
        <v>182</v>
      </c>
      <c r="AE108" s="51" t="s">
        <v>181</v>
      </c>
      <c r="AF108" s="51" t="s">
        <v>67</v>
      </c>
      <c r="AG108" s="51" t="s">
        <v>69</v>
      </c>
      <c r="AH108" s="51" t="s">
        <v>70</v>
      </c>
      <c r="AI108" s="51" t="s">
        <v>76</v>
      </c>
      <c r="AJ108" s="53">
        <v>42396</v>
      </c>
      <c r="AK108" s="51" t="s">
        <v>64</v>
      </c>
      <c r="AL108" s="53">
        <v>42384</v>
      </c>
      <c r="AM108" s="51" t="s">
        <v>100</v>
      </c>
      <c r="AN108" s="51">
        <v>62077318</v>
      </c>
      <c r="AO108" s="53">
        <v>42409</v>
      </c>
      <c r="AP108" s="51" t="s">
        <v>77</v>
      </c>
      <c r="AQ108" s="51" t="s">
        <v>803</v>
      </c>
    </row>
    <row r="109" spans="1:43" x14ac:dyDescent="0.2">
      <c r="A109" s="51">
        <v>10020479</v>
      </c>
      <c r="B109" s="51">
        <v>290</v>
      </c>
      <c r="C109" s="51" t="s">
        <v>22</v>
      </c>
      <c r="D109" s="51" t="s">
        <v>78</v>
      </c>
      <c r="E109" s="53">
        <v>42384</v>
      </c>
      <c r="F109" s="51">
        <v>93607421</v>
      </c>
      <c r="G109" s="51">
        <v>290</v>
      </c>
      <c r="H109" s="51">
        <v>1201156</v>
      </c>
      <c r="I109" s="51" t="s">
        <v>131</v>
      </c>
      <c r="J109" s="51">
        <v>1308906</v>
      </c>
      <c r="K109" s="51" t="s">
        <v>349</v>
      </c>
      <c r="L109" s="51">
        <v>1201156</v>
      </c>
      <c r="M109" s="51" t="s">
        <v>131</v>
      </c>
      <c r="N109" s="51">
        <v>5333958</v>
      </c>
      <c r="O109" s="51"/>
      <c r="P109" s="51"/>
      <c r="Q109" s="51">
        <v>62037099901</v>
      </c>
      <c r="R109" s="51" t="s">
        <v>1395</v>
      </c>
      <c r="S109" s="51" t="s">
        <v>1322</v>
      </c>
      <c r="T109" s="51" t="s">
        <v>1396</v>
      </c>
      <c r="U109" s="51" t="s">
        <v>1331</v>
      </c>
      <c r="V109" s="51"/>
      <c r="W109" s="51">
        <v>1176</v>
      </c>
      <c r="X109" s="51">
        <v>24</v>
      </c>
      <c r="Y109" s="51" t="s">
        <v>1332</v>
      </c>
      <c r="Z109" s="51">
        <v>16.3</v>
      </c>
      <c r="AA109" s="51" t="s">
        <v>182</v>
      </c>
      <c r="AB109" s="54">
        <v>19168.8</v>
      </c>
      <c r="AC109" s="51">
        <v>391.2</v>
      </c>
      <c r="AD109" s="51" t="s">
        <v>182</v>
      </c>
      <c r="AE109" s="51" t="s">
        <v>181</v>
      </c>
      <c r="AF109" s="51" t="s">
        <v>67</v>
      </c>
      <c r="AG109" s="51" t="s">
        <v>63</v>
      </c>
      <c r="AH109" s="51" t="s">
        <v>94</v>
      </c>
      <c r="AI109" s="51" t="s">
        <v>141</v>
      </c>
      <c r="AJ109" s="53">
        <v>42418</v>
      </c>
      <c r="AK109" s="51" t="s">
        <v>64</v>
      </c>
      <c r="AL109" s="53">
        <v>42384</v>
      </c>
      <c r="AM109" s="51"/>
      <c r="AN109" s="51"/>
      <c r="AO109" s="51"/>
      <c r="AP109" s="51" t="s">
        <v>142</v>
      </c>
      <c r="AQ109" s="51" t="s">
        <v>2075</v>
      </c>
    </row>
    <row r="110" spans="1:43" x14ac:dyDescent="0.2">
      <c r="A110" s="51">
        <v>10020480</v>
      </c>
      <c r="B110" s="51">
        <v>1170</v>
      </c>
      <c r="C110" s="51" t="s">
        <v>18</v>
      </c>
      <c r="D110" s="51" t="s">
        <v>573</v>
      </c>
      <c r="E110" s="53">
        <v>42388</v>
      </c>
      <c r="F110" s="51">
        <v>93655670</v>
      </c>
      <c r="G110" s="51">
        <v>1170</v>
      </c>
      <c r="H110" s="51">
        <v>1201162</v>
      </c>
      <c r="I110" s="51" t="s">
        <v>137</v>
      </c>
      <c r="J110" s="51">
        <v>1033143</v>
      </c>
      <c r="K110" s="51" t="s">
        <v>687</v>
      </c>
      <c r="L110" s="51">
        <v>1201162</v>
      </c>
      <c r="M110" s="51" t="s">
        <v>137</v>
      </c>
      <c r="N110" s="51" t="s">
        <v>2076</v>
      </c>
      <c r="O110" s="51"/>
      <c r="P110" s="51"/>
      <c r="Q110" s="51">
        <v>228299650</v>
      </c>
      <c r="R110" s="51" t="s">
        <v>2077</v>
      </c>
      <c r="S110" s="51" t="s">
        <v>1322</v>
      </c>
      <c r="T110" s="51" t="s">
        <v>2078</v>
      </c>
      <c r="U110" s="51" t="s">
        <v>1331</v>
      </c>
      <c r="V110" s="51" t="s">
        <v>2079</v>
      </c>
      <c r="W110" s="51">
        <v>24</v>
      </c>
      <c r="X110" s="51">
        <v>1</v>
      </c>
      <c r="Y110" s="51" t="s">
        <v>1332</v>
      </c>
      <c r="Z110" s="51">
        <v>250</v>
      </c>
      <c r="AA110" s="51" t="s">
        <v>182</v>
      </c>
      <c r="AB110" s="54">
        <v>6000</v>
      </c>
      <c r="AC110" s="51">
        <v>250</v>
      </c>
      <c r="AD110" s="51" t="s">
        <v>182</v>
      </c>
      <c r="AE110" s="51" t="s">
        <v>181</v>
      </c>
      <c r="AF110" s="51" t="s">
        <v>102</v>
      </c>
      <c r="AG110" s="51" t="s">
        <v>69</v>
      </c>
      <c r="AH110" s="51" t="s">
        <v>70</v>
      </c>
      <c r="AI110" s="51" t="s">
        <v>76</v>
      </c>
      <c r="AJ110" s="53">
        <v>42396</v>
      </c>
      <c r="AK110" s="51" t="s">
        <v>64</v>
      </c>
      <c r="AL110" s="53">
        <v>42388</v>
      </c>
      <c r="AM110" s="51" t="s">
        <v>100</v>
      </c>
      <c r="AN110" s="51">
        <v>62080824</v>
      </c>
      <c r="AO110" s="53">
        <v>42415</v>
      </c>
      <c r="AP110" s="51" t="s">
        <v>77</v>
      </c>
      <c r="AQ110" s="51" t="s">
        <v>323</v>
      </c>
    </row>
    <row r="111" spans="1:43" x14ac:dyDescent="0.2">
      <c r="A111" s="51">
        <v>10020481</v>
      </c>
      <c r="B111" s="51">
        <v>10</v>
      </c>
      <c r="C111" s="51" t="s">
        <v>26</v>
      </c>
      <c r="D111" s="51" t="s">
        <v>149</v>
      </c>
      <c r="E111" s="53">
        <v>42388</v>
      </c>
      <c r="F111" s="51">
        <v>93651363</v>
      </c>
      <c r="G111" s="51">
        <v>10</v>
      </c>
      <c r="H111" s="51">
        <v>1201047</v>
      </c>
      <c r="I111" s="51" t="s">
        <v>79</v>
      </c>
      <c r="J111" s="51">
        <v>1311671</v>
      </c>
      <c r="K111" s="51" t="s">
        <v>90</v>
      </c>
      <c r="L111" s="51">
        <v>1171089</v>
      </c>
      <c r="M111" s="51" t="s">
        <v>75</v>
      </c>
      <c r="N111" s="51">
        <v>21471303</v>
      </c>
      <c r="O111" s="51"/>
      <c r="P111" s="51"/>
      <c r="Q111" s="51">
        <v>62037056001</v>
      </c>
      <c r="R111" s="51" t="s">
        <v>2080</v>
      </c>
      <c r="S111" s="51" t="s">
        <v>1322</v>
      </c>
      <c r="T111" s="51" t="s">
        <v>1611</v>
      </c>
      <c r="U111" s="51" t="s">
        <v>1331</v>
      </c>
      <c r="V111" s="51" t="s">
        <v>2081</v>
      </c>
      <c r="W111" s="51">
        <v>4848</v>
      </c>
      <c r="X111" s="51">
        <v>7</v>
      </c>
      <c r="Y111" s="51" t="s">
        <v>1324</v>
      </c>
      <c r="Z111" s="51">
        <v>79.400000000000006</v>
      </c>
      <c r="AA111" s="51" t="s">
        <v>182</v>
      </c>
      <c r="AB111" s="54">
        <v>384931.2</v>
      </c>
      <c r="AC111" s="51">
        <v>555.79999999999995</v>
      </c>
      <c r="AD111" s="51" t="s">
        <v>182</v>
      </c>
      <c r="AE111" s="51" t="s">
        <v>181</v>
      </c>
      <c r="AF111" s="51" t="s">
        <v>67</v>
      </c>
      <c r="AG111" s="51" t="s">
        <v>63</v>
      </c>
      <c r="AH111" s="51" t="s">
        <v>81</v>
      </c>
      <c r="AI111" s="51" t="s">
        <v>88</v>
      </c>
      <c r="AJ111" s="53">
        <v>42408</v>
      </c>
      <c r="AK111" s="51" t="s">
        <v>64</v>
      </c>
      <c r="AL111" s="53">
        <v>42388</v>
      </c>
      <c r="AM111" s="51"/>
      <c r="AN111" s="51"/>
      <c r="AO111" s="51"/>
      <c r="AP111" s="51" t="s">
        <v>89</v>
      </c>
      <c r="AQ111" s="51" t="s">
        <v>274</v>
      </c>
    </row>
    <row r="112" spans="1:43" x14ac:dyDescent="0.2">
      <c r="A112" s="51">
        <v>10020482</v>
      </c>
      <c r="B112" s="51">
        <v>160</v>
      </c>
      <c r="C112" s="51" t="s">
        <v>18</v>
      </c>
      <c r="D112" s="51" t="s">
        <v>432</v>
      </c>
      <c r="E112" s="53">
        <v>42388</v>
      </c>
      <c r="F112" s="51">
        <v>93643429</v>
      </c>
      <c r="G112" s="51">
        <v>160</v>
      </c>
      <c r="H112" s="51">
        <v>1201399</v>
      </c>
      <c r="I112" s="51" t="s">
        <v>144</v>
      </c>
      <c r="J112" s="51">
        <v>1334926</v>
      </c>
      <c r="K112" s="51" t="s">
        <v>145</v>
      </c>
      <c r="L112" s="51">
        <v>1171970</v>
      </c>
      <c r="M112" s="51" t="s">
        <v>144</v>
      </c>
      <c r="N112" s="51">
        <v>8106681316</v>
      </c>
      <c r="O112" s="51"/>
      <c r="P112" s="51"/>
      <c r="Q112" s="51">
        <v>60758088005</v>
      </c>
      <c r="R112" s="51" t="s">
        <v>2049</v>
      </c>
      <c r="S112" s="51" t="s">
        <v>1322</v>
      </c>
      <c r="T112" s="51" t="s">
        <v>1752</v>
      </c>
      <c r="U112" s="51" t="s">
        <v>1331</v>
      </c>
      <c r="V112" s="51"/>
      <c r="W112" s="51">
        <v>15696</v>
      </c>
      <c r="X112" s="51">
        <v>72</v>
      </c>
      <c r="Y112" s="51" t="s">
        <v>1332</v>
      </c>
      <c r="Z112" s="51">
        <v>61.78</v>
      </c>
      <c r="AA112" s="51" t="s">
        <v>182</v>
      </c>
      <c r="AB112" s="54">
        <v>969698.88</v>
      </c>
      <c r="AC112" s="51">
        <v>0</v>
      </c>
      <c r="AD112" s="51" t="s">
        <v>182</v>
      </c>
      <c r="AE112" s="51" t="s">
        <v>181</v>
      </c>
      <c r="AF112" s="51" t="s">
        <v>168</v>
      </c>
      <c r="AG112" s="51" t="s">
        <v>2082</v>
      </c>
      <c r="AH112" s="51" t="s">
        <v>84</v>
      </c>
      <c r="AI112" s="51" t="s">
        <v>82</v>
      </c>
      <c r="AJ112" s="53">
        <v>42396</v>
      </c>
      <c r="AK112" s="51" t="s">
        <v>64</v>
      </c>
      <c r="AL112" s="53">
        <v>42388</v>
      </c>
      <c r="AM112" s="51" t="s">
        <v>2083</v>
      </c>
      <c r="AN112" s="51">
        <v>10020482</v>
      </c>
      <c r="AO112" s="53">
        <v>42403</v>
      </c>
      <c r="AP112" s="51" t="s">
        <v>84</v>
      </c>
      <c r="AQ112" s="51" t="s">
        <v>2084</v>
      </c>
    </row>
    <row r="113" spans="1:43" x14ac:dyDescent="0.2">
      <c r="A113" s="51">
        <v>10020483</v>
      </c>
      <c r="B113" s="51">
        <v>10</v>
      </c>
      <c r="C113" s="51" t="s">
        <v>18</v>
      </c>
      <c r="D113" s="51" t="s">
        <v>78</v>
      </c>
      <c r="E113" s="53">
        <v>42388</v>
      </c>
      <c r="F113" s="51">
        <v>93653035</v>
      </c>
      <c r="G113" s="51">
        <v>10</v>
      </c>
      <c r="H113" s="51">
        <v>1201646</v>
      </c>
      <c r="I113" s="51" t="s">
        <v>164</v>
      </c>
      <c r="J113" s="51">
        <v>1201646</v>
      </c>
      <c r="K113" s="51" t="s">
        <v>164</v>
      </c>
      <c r="L113" s="51">
        <v>1201646</v>
      </c>
      <c r="M113" s="51" t="s">
        <v>164</v>
      </c>
      <c r="N113" s="51">
        <v>8046936</v>
      </c>
      <c r="O113" s="51"/>
      <c r="P113" s="51"/>
      <c r="Q113" s="51">
        <v>591379760</v>
      </c>
      <c r="R113" s="51" t="s">
        <v>1411</v>
      </c>
      <c r="S113" s="51" t="s">
        <v>1322</v>
      </c>
      <c r="T113" s="51" t="s">
        <v>1412</v>
      </c>
      <c r="U113" s="51" t="s">
        <v>1331</v>
      </c>
      <c r="V113" s="51" t="s">
        <v>2085</v>
      </c>
      <c r="W113" s="51">
        <v>720</v>
      </c>
      <c r="X113" s="51">
        <v>2</v>
      </c>
      <c r="Y113" s="51" t="s">
        <v>1332</v>
      </c>
      <c r="Z113" s="51">
        <v>5.22</v>
      </c>
      <c r="AA113" s="51" t="s">
        <v>182</v>
      </c>
      <c r="AB113" s="54">
        <v>3758.4</v>
      </c>
      <c r="AC113" s="51">
        <v>10.44</v>
      </c>
      <c r="AD113" s="51" t="s">
        <v>182</v>
      </c>
      <c r="AE113" s="51" t="s">
        <v>181</v>
      </c>
      <c r="AF113" s="51" t="s">
        <v>67</v>
      </c>
      <c r="AG113" s="51" t="s">
        <v>69</v>
      </c>
      <c r="AH113" s="51" t="s">
        <v>70</v>
      </c>
      <c r="AI113" s="51" t="s">
        <v>76</v>
      </c>
      <c r="AJ113" s="53">
        <v>42396</v>
      </c>
      <c r="AK113" s="51" t="s">
        <v>64</v>
      </c>
      <c r="AL113" s="53">
        <v>42388</v>
      </c>
      <c r="AM113" s="51" t="s">
        <v>100</v>
      </c>
      <c r="AN113" s="51">
        <v>62086425</v>
      </c>
      <c r="AO113" s="53">
        <v>42423</v>
      </c>
      <c r="AP113" s="51" t="s">
        <v>77</v>
      </c>
      <c r="AQ113" s="51" t="s">
        <v>191</v>
      </c>
    </row>
    <row r="114" spans="1:43" x14ac:dyDescent="0.2">
      <c r="A114" s="51">
        <v>10020484</v>
      </c>
      <c r="B114" s="51">
        <v>250</v>
      </c>
      <c r="C114" s="51" t="s">
        <v>26</v>
      </c>
      <c r="D114" s="51" t="s">
        <v>149</v>
      </c>
      <c r="E114" s="53">
        <v>42388</v>
      </c>
      <c r="F114" s="51">
        <v>93651371</v>
      </c>
      <c r="G114" s="51">
        <v>250</v>
      </c>
      <c r="H114" s="51">
        <v>1201047</v>
      </c>
      <c r="I114" s="51" t="s">
        <v>79</v>
      </c>
      <c r="J114" s="51">
        <v>1311671</v>
      </c>
      <c r="K114" s="51" t="s">
        <v>90</v>
      </c>
      <c r="L114" s="51">
        <v>1171089</v>
      </c>
      <c r="M114" s="51" t="s">
        <v>75</v>
      </c>
      <c r="N114" s="51">
        <v>21470631</v>
      </c>
      <c r="O114" s="51"/>
      <c r="P114" s="51"/>
      <c r="Q114" s="51">
        <v>16252060144</v>
      </c>
      <c r="R114" s="51" t="s">
        <v>1350</v>
      </c>
      <c r="S114" s="51" t="s">
        <v>1322</v>
      </c>
      <c r="T114" s="51" t="s">
        <v>1351</v>
      </c>
      <c r="U114" s="51" t="s">
        <v>1331</v>
      </c>
      <c r="V114" s="51">
        <v>1148330</v>
      </c>
      <c r="W114" s="51">
        <v>2700</v>
      </c>
      <c r="X114" s="51">
        <v>96</v>
      </c>
      <c r="Y114" s="51" t="s">
        <v>1332</v>
      </c>
      <c r="Z114" s="51">
        <v>3.5</v>
      </c>
      <c r="AA114" s="51" t="s">
        <v>182</v>
      </c>
      <c r="AB114" s="54">
        <v>9450</v>
      </c>
      <c r="AC114" s="51">
        <v>336</v>
      </c>
      <c r="AD114" s="51" t="s">
        <v>182</v>
      </c>
      <c r="AE114" s="51" t="s">
        <v>181</v>
      </c>
      <c r="AF114" s="51" t="s">
        <v>97</v>
      </c>
      <c r="AG114" s="51" t="s">
        <v>63</v>
      </c>
      <c r="AH114" s="51" t="s">
        <v>81</v>
      </c>
      <c r="AI114" s="51" t="s">
        <v>88</v>
      </c>
      <c r="AJ114" s="53">
        <v>42419</v>
      </c>
      <c r="AK114" s="51" t="s">
        <v>64</v>
      </c>
      <c r="AL114" s="53">
        <v>42388</v>
      </c>
      <c r="AM114" s="51"/>
      <c r="AN114" s="51"/>
      <c r="AO114" s="51"/>
      <c r="AP114" s="51" t="s">
        <v>89</v>
      </c>
      <c r="AQ114" s="51" t="s">
        <v>2086</v>
      </c>
    </row>
    <row r="115" spans="1:43" x14ac:dyDescent="0.2">
      <c r="A115" s="51">
        <v>10020485</v>
      </c>
      <c r="B115" s="51">
        <v>130</v>
      </c>
      <c r="C115" s="51" t="s">
        <v>18</v>
      </c>
      <c r="D115" s="51" t="s">
        <v>78</v>
      </c>
      <c r="E115" s="53">
        <v>42388</v>
      </c>
      <c r="F115" s="51">
        <v>93652688</v>
      </c>
      <c r="G115" s="51">
        <v>130</v>
      </c>
      <c r="H115" s="51">
        <v>1022013</v>
      </c>
      <c r="I115" s="51" t="s">
        <v>114</v>
      </c>
      <c r="J115" s="51">
        <v>1335507</v>
      </c>
      <c r="K115" s="51" t="s">
        <v>114</v>
      </c>
      <c r="L115" s="51">
        <v>1022013</v>
      </c>
      <c r="M115" s="51" t="s">
        <v>114</v>
      </c>
      <c r="N115" s="51">
        <v>77158</v>
      </c>
      <c r="O115" s="51"/>
      <c r="P115" s="51"/>
      <c r="Q115" s="51">
        <v>591381760</v>
      </c>
      <c r="R115" s="51" t="s">
        <v>1357</v>
      </c>
      <c r="S115" s="51" t="s">
        <v>1322</v>
      </c>
      <c r="T115" s="51" t="s">
        <v>1358</v>
      </c>
      <c r="U115" s="51" t="s">
        <v>1331</v>
      </c>
      <c r="V115" s="51"/>
      <c r="W115" s="51">
        <v>1812</v>
      </c>
      <c r="X115" s="51">
        <v>36</v>
      </c>
      <c r="Y115" s="51" t="s">
        <v>1332</v>
      </c>
      <c r="Z115" s="51">
        <v>7.67</v>
      </c>
      <c r="AA115" s="51" t="s">
        <v>182</v>
      </c>
      <c r="AB115" s="54">
        <v>13898.04</v>
      </c>
      <c r="AC115" s="51">
        <v>276.12</v>
      </c>
      <c r="AD115" s="51" t="s">
        <v>182</v>
      </c>
      <c r="AE115" s="51" t="s">
        <v>181</v>
      </c>
      <c r="AF115" s="51" t="s">
        <v>67</v>
      </c>
      <c r="AG115" s="51" t="s">
        <v>69</v>
      </c>
      <c r="AH115" s="51" t="s">
        <v>70</v>
      </c>
      <c r="AI115" s="51" t="s">
        <v>76</v>
      </c>
      <c r="AJ115" s="53">
        <v>42396</v>
      </c>
      <c r="AK115" s="51" t="s">
        <v>64</v>
      </c>
      <c r="AL115" s="53">
        <v>42388</v>
      </c>
      <c r="AM115" s="51" t="s">
        <v>100</v>
      </c>
      <c r="AN115" s="51">
        <v>62077312</v>
      </c>
      <c r="AO115" s="53">
        <v>42409</v>
      </c>
      <c r="AP115" s="51" t="s">
        <v>77</v>
      </c>
      <c r="AQ115" s="51" t="s">
        <v>658</v>
      </c>
    </row>
    <row r="116" spans="1:43" x14ac:dyDescent="0.2">
      <c r="A116" s="51">
        <v>10020486</v>
      </c>
      <c r="B116" s="51">
        <v>910</v>
      </c>
      <c r="C116" s="51" t="s">
        <v>26</v>
      </c>
      <c r="D116" s="51" t="s">
        <v>149</v>
      </c>
      <c r="E116" s="53">
        <v>42388</v>
      </c>
      <c r="F116" s="51">
        <v>93655522</v>
      </c>
      <c r="G116" s="51">
        <v>910</v>
      </c>
      <c r="H116" s="51">
        <v>1201047</v>
      </c>
      <c r="I116" s="51" t="s">
        <v>79</v>
      </c>
      <c r="J116" s="51">
        <v>1311671</v>
      </c>
      <c r="K116" s="51" t="s">
        <v>90</v>
      </c>
      <c r="L116" s="51">
        <v>1171089</v>
      </c>
      <c r="M116" s="51" t="s">
        <v>75</v>
      </c>
      <c r="N116" s="51">
        <v>21472479</v>
      </c>
      <c r="O116" s="51"/>
      <c r="P116" s="51"/>
      <c r="Q116" s="51">
        <v>591079401</v>
      </c>
      <c r="R116" s="51" t="s">
        <v>2087</v>
      </c>
      <c r="S116" s="51" t="s">
        <v>1322</v>
      </c>
      <c r="T116" s="51" t="s">
        <v>2088</v>
      </c>
      <c r="U116" s="51" t="s">
        <v>1331</v>
      </c>
      <c r="V116" s="51"/>
      <c r="W116" s="51">
        <v>720</v>
      </c>
      <c r="X116" s="51">
        <v>24</v>
      </c>
      <c r="Y116" s="51" t="s">
        <v>1332</v>
      </c>
      <c r="Z116" s="51">
        <v>5.9</v>
      </c>
      <c r="AA116" s="51" t="s">
        <v>182</v>
      </c>
      <c r="AB116" s="54">
        <v>4248</v>
      </c>
      <c r="AC116" s="51">
        <v>141.6</v>
      </c>
      <c r="AD116" s="51" t="s">
        <v>182</v>
      </c>
      <c r="AE116" s="51" t="s">
        <v>181</v>
      </c>
      <c r="AF116" s="51" t="s">
        <v>91</v>
      </c>
      <c r="AG116" s="51" t="s">
        <v>63</v>
      </c>
      <c r="AH116" s="51" t="s">
        <v>94</v>
      </c>
      <c r="AI116" s="51" t="s">
        <v>95</v>
      </c>
      <c r="AJ116" s="53">
        <v>42402</v>
      </c>
      <c r="AK116" s="51" t="s">
        <v>64</v>
      </c>
      <c r="AL116" s="53">
        <v>42388</v>
      </c>
      <c r="AM116" s="51"/>
      <c r="AN116" s="51"/>
      <c r="AO116" s="51"/>
      <c r="AP116" s="51" t="s">
        <v>96</v>
      </c>
      <c r="AQ116" s="51" t="s">
        <v>2089</v>
      </c>
    </row>
    <row r="117" spans="1:43" x14ac:dyDescent="0.2">
      <c r="A117" s="51">
        <v>10020487</v>
      </c>
      <c r="B117" s="51">
        <v>60</v>
      </c>
      <c r="C117" s="51" t="s">
        <v>24</v>
      </c>
      <c r="D117" s="51" t="s">
        <v>78</v>
      </c>
      <c r="E117" s="53">
        <v>42388</v>
      </c>
      <c r="F117" s="51">
        <v>93655639</v>
      </c>
      <c r="G117" s="51">
        <v>60</v>
      </c>
      <c r="H117" s="51">
        <v>1201156</v>
      </c>
      <c r="I117" s="51" t="s">
        <v>131</v>
      </c>
      <c r="J117" s="51">
        <v>1039283</v>
      </c>
      <c r="K117" s="51" t="s">
        <v>711</v>
      </c>
      <c r="L117" s="51">
        <v>1201156</v>
      </c>
      <c r="M117" s="51" t="s">
        <v>131</v>
      </c>
      <c r="N117" s="51">
        <v>6583897</v>
      </c>
      <c r="O117" s="51"/>
      <c r="P117" s="51"/>
      <c r="Q117" s="51">
        <v>228299611</v>
      </c>
      <c r="R117" s="51" t="s">
        <v>2090</v>
      </c>
      <c r="S117" s="51" t="s">
        <v>1322</v>
      </c>
      <c r="T117" s="51" t="s">
        <v>2078</v>
      </c>
      <c r="U117" s="51" t="s">
        <v>1331</v>
      </c>
      <c r="V117" s="51"/>
      <c r="W117" s="51">
        <v>8712</v>
      </c>
      <c r="X117" s="51">
        <v>1</v>
      </c>
      <c r="Y117" s="51" t="s">
        <v>1369</v>
      </c>
      <c r="Z117" s="51">
        <v>15.01</v>
      </c>
      <c r="AA117" s="51" t="s">
        <v>182</v>
      </c>
      <c r="AB117" s="54">
        <v>130767.12</v>
      </c>
      <c r="AC117" s="51">
        <v>360.24</v>
      </c>
      <c r="AD117" s="51" t="s">
        <v>182</v>
      </c>
      <c r="AE117" s="51" t="s">
        <v>181</v>
      </c>
      <c r="AF117" s="51" t="s">
        <v>61</v>
      </c>
      <c r="AG117" s="51" t="s">
        <v>69</v>
      </c>
      <c r="AH117" s="51" t="s">
        <v>70</v>
      </c>
      <c r="AI117" s="51" t="s">
        <v>71</v>
      </c>
      <c r="AJ117" s="53">
        <v>42404</v>
      </c>
      <c r="AK117" s="51" t="s">
        <v>64</v>
      </c>
      <c r="AL117" s="53">
        <v>42388</v>
      </c>
      <c r="AM117" s="51" t="s">
        <v>72</v>
      </c>
      <c r="AN117" s="51">
        <v>62085578</v>
      </c>
      <c r="AO117" s="53">
        <v>42422</v>
      </c>
      <c r="AP117" s="51" t="s">
        <v>73</v>
      </c>
      <c r="AQ117" s="51" t="s">
        <v>302</v>
      </c>
    </row>
    <row r="118" spans="1:43" x14ac:dyDescent="0.2">
      <c r="A118" s="51">
        <v>10020488</v>
      </c>
      <c r="B118" s="51">
        <v>2740</v>
      </c>
      <c r="C118" s="51" t="s">
        <v>17</v>
      </c>
      <c r="D118" s="51" t="s">
        <v>78</v>
      </c>
      <c r="E118" s="53">
        <v>42388</v>
      </c>
      <c r="F118" s="51">
        <v>93656805</v>
      </c>
      <c r="G118" s="51">
        <v>2740</v>
      </c>
      <c r="H118" s="51">
        <v>1201047</v>
      </c>
      <c r="I118" s="51" t="s">
        <v>79</v>
      </c>
      <c r="J118" s="51">
        <v>1307128</v>
      </c>
      <c r="K118" s="51" t="s">
        <v>85</v>
      </c>
      <c r="L118" s="51">
        <v>1171089</v>
      </c>
      <c r="M118" s="51" t="s">
        <v>75</v>
      </c>
      <c r="N118" s="51">
        <v>10498776</v>
      </c>
      <c r="O118" s="51"/>
      <c r="P118" s="51"/>
      <c r="Q118" s="51">
        <v>591376830</v>
      </c>
      <c r="R118" s="51" t="s">
        <v>1590</v>
      </c>
      <c r="S118" s="51" t="s">
        <v>1322</v>
      </c>
      <c r="T118" s="51" t="s">
        <v>1591</v>
      </c>
      <c r="U118" s="51" t="s">
        <v>1331</v>
      </c>
      <c r="V118" s="51" t="s">
        <v>2091</v>
      </c>
      <c r="W118" s="51">
        <v>768</v>
      </c>
      <c r="X118" s="51">
        <v>48</v>
      </c>
      <c r="Y118" s="51" t="s">
        <v>1332</v>
      </c>
      <c r="Z118" s="51">
        <v>265.89999999999998</v>
      </c>
      <c r="AA118" s="51" t="s">
        <v>182</v>
      </c>
      <c r="AB118" s="54">
        <v>204211.20000000001</v>
      </c>
      <c r="AC118" s="54">
        <v>12763.2</v>
      </c>
      <c r="AD118" s="51" t="s">
        <v>182</v>
      </c>
      <c r="AE118" s="51" t="s">
        <v>181</v>
      </c>
      <c r="AF118" s="51" t="s">
        <v>91</v>
      </c>
      <c r="AG118" s="51" t="s">
        <v>63</v>
      </c>
      <c r="AH118" s="51" t="s">
        <v>105</v>
      </c>
      <c r="AI118" s="51" t="s">
        <v>82</v>
      </c>
      <c r="AJ118" s="53">
        <v>42422</v>
      </c>
      <c r="AK118" s="51" t="s">
        <v>64</v>
      </c>
      <c r="AL118" s="53">
        <v>42388</v>
      </c>
      <c r="AM118" s="51"/>
      <c r="AN118" s="51"/>
      <c r="AO118" s="51"/>
      <c r="AP118" s="51" t="s">
        <v>89</v>
      </c>
      <c r="AQ118" s="51" t="s">
        <v>2092</v>
      </c>
    </row>
    <row r="119" spans="1:43" x14ac:dyDescent="0.2">
      <c r="A119" s="51">
        <v>10020490</v>
      </c>
      <c r="B119" s="51">
        <v>2120</v>
      </c>
      <c r="C119" s="51" t="s">
        <v>22</v>
      </c>
      <c r="D119" s="51" t="s">
        <v>78</v>
      </c>
      <c r="E119" s="53">
        <v>42388</v>
      </c>
      <c r="F119" s="51">
        <v>93641827</v>
      </c>
      <c r="G119" s="51">
        <v>2120</v>
      </c>
      <c r="H119" s="51">
        <v>1201047</v>
      </c>
      <c r="I119" s="51" t="s">
        <v>79</v>
      </c>
      <c r="J119" s="51">
        <v>1002905</v>
      </c>
      <c r="K119" s="51" t="s">
        <v>80</v>
      </c>
      <c r="L119" s="51">
        <v>1171089</v>
      </c>
      <c r="M119" s="51" t="s">
        <v>75</v>
      </c>
      <c r="N119" s="51">
        <v>38292317</v>
      </c>
      <c r="O119" s="51"/>
      <c r="P119" s="51"/>
      <c r="Q119" s="51">
        <v>62037086220</v>
      </c>
      <c r="R119" s="51" t="s">
        <v>1361</v>
      </c>
      <c r="S119" s="51" t="s">
        <v>1322</v>
      </c>
      <c r="T119" s="51" t="s">
        <v>1362</v>
      </c>
      <c r="U119" s="51" t="s">
        <v>1331</v>
      </c>
      <c r="V119" s="51" t="s">
        <v>2093</v>
      </c>
      <c r="W119" s="51">
        <v>205</v>
      </c>
      <c r="X119" s="51">
        <v>40</v>
      </c>
      <c r="Y119" s="51" t="s">
        <v>1332</v>
      </c>
      <c r="Z119" s="51">
        <v>440</v>
      </c>
      <c r="AA119" s="51" t="s">
        <v>182</v>
      </c>
      <c r="AB119" s="54">
        <v>90200</v>
      </c>
      <c r="AC119" s="54">
        <v>17600</v>
      </c>
      <c r="AD119" s="51" t="s">
        <v>182</v>
      </c>
      <c r="AE119" s="51" t="s">
        <v>181</v>
      </c>
      <c r="AF119" s="51" t="s">
        <v>91</v>
      </c>
      <c r="AG119" s="51" t="s">
        <v>63</v>
      </c>
      <c r="AH119" s="51"/>
      <c r="AI119" s="51"/>
      <c r="AJ119" s="51"/>
      <c r="AK119" s="51" t="s">
        <v>64</v>
      </c>
      <c r="AL119" s="53">
        <v>42388</v>
      </c>
      <c r="AM119" s="51"/>
      <c r="AN119" s="51"/>
      <c r="AO119" s="51"/>
      <c r="AP119" s="51"/>
      <c r="AQ119" s="51"/>
    </row>
    <row r="120" spans="1:43" x14ac:dyDescent="0.2">
      <c r="A120" s="51">
        <v>10020491</v>
      </c>
      <c r="B120" s="51">
        <v>20</v>
      </c>
      <c r="C120" s="51" t="s">
        <v>18</v>
      </c>
      <c r="D120" s="51" t="s">
        <v>432</v>
      </c>
      <c r="E120" s="53">
        <v>42388</v>
      </c>
      <c r="F120" s="51">
        <v>93658346</v>
      </c>
      <c r="G120" s="51">
        <v>20</v>
      </c>
      <c r="H120" s="51">
        <v>1201399</v>
      </c>
      <c r="I120" s="51" t="s">
        <v>144</v>
      </c>
      <c r="J120" s="51">
        <v>1334926</v>
      </c>
      <c r="K120" s="51" t="s">
        <v>145</v>
      </c>
      <c r="L120" s="51">
        <v>1171970</v>
      </c>
      <c r="M120" s="51" t="s">
        <v>144</v>
      </c>
      <c r="N120" s="51">
        <v>8106683272</v>
      </c>
      <c r="O120" s="51"/>
      <c r="P120" s="51"/>
      <c r="Q120" s="51">
        <v>591319752</v>
      </c>
      <c r="R120" s="51" t="s">
        <v>2094</v>
      </c>
      <c r="S120" s="51" t="s">
        <v>1322</v>
      </c>
      <c r="T120" s="51" t="s">
        <v>2095</v>
      </c>
      <c r="U120" s="51" t="s">
        <v>1331</v>
      </c>
      <c r="V120" s="51" t="s">
        <v>2096</v>
      </c>
      <c r="W120" s="51">
        <v>1500</v>
      </c>
      <c r="X120" s="51">
        <v>12</v>
      </c>
      <c r="Y120" s="51" t="s">
        <v>1332</v>
      </c>
      <c r="Z120" s="51">
        <v>32.74</v>
      </c>
      <c r="AA120" s="51" t="s">
        <v>182</v>
      </c>
      <c r="AB120" s="54">
        <v>49110</v>
      </c>
      <c r="AC120" s="51">
        <v>392.88</v>
      </c>
      <c r="AD120" s="51" t="s">
        <v>182</v>
      </c>
      <c r="AE120" s="51" t="s">
        <v>181</v>
      </c>
      <c r="AF120" s="51" t="s">
        <v>91</v>
      </c>
      <c r="AG120" s="51" t="s">
        <v>69</v>
      </c>
      <c r="AH120" s="51" t="s">
        <v>70</v>
      </c>
      <c r="AI120" s="51" t="s">
        <v>76</v>
      </c>
      <c r="AJ120" s="53">
        <v>42396</v>
      </c>
      <c r="AK120" s="51" t="s">
        <v>64</v>
      </c>
      <c r="AL120" s="53">
        <v>42388</v>
      </c>
      <c r="AM120" s="51" t="s">
        <v>100</v>
      </c>
      <c r="AN120" s="51">
        <v>62077319</v>
      </c>
      <c r="AO120" s="53">
        <v>42409</v>
      </c>
      <c r="AP120" s="51" t="s">
        <v>77</v>
      </c>
      <c r="AQ120" s="51" t="s">
        <v>376</v>
      </c>
    </row>
    <row r="121" spans="1:43" x14ac:dyDescent="0.2">
      <c r="A121" s="51">
        <v>10020492</v>
      </c>
      <c r="B121" s="51">
        <v>310</v>
      </c>
      <c r="C121" s="51" t="s">
        <v>24</v>
      </c>
      <c r="D121" s="51" t="s">
        <v>78</v>
      </c>
      <c r="E121" s="53">
        <v>42388</v>
      </c>
      <c r="F121" s="51">
        <v>93649445</v>
      </c>
      <c r="G121" s="51">
        <v>310</v>
      </c>
      <c r="H121" s="51">
        <v>1201156</v>
      </c>
      <c r="I121" s="51" t="s">
        <v>131</v>
      </c>
      <c r="J121" s="51">
        <v>1039283</v>
      </c>
      <c r="K121" s="51" t="s">
        <v>711</v>
      </c>
      <c r="L121" s="51">
        <v>1201156</v>
      </c>
      <c r="M121" s="51" t="s">
        <v>131</v>
      </c>
      <c r="N121" s="51">
        <v>6582870</v>
      </c>
      <c r="O121" s="51"/>
      <c r="P121" s="51"/>
      <c r="Q121" s="51">
        <v>52544024531</v>
      </c>
      <c r="R121" s="51" t="s">
        <v>2097</v>
      </c>
      <c r="S121" s="51" t="s">
        <v>1344</v>
      </c>
      <c r="T121" s="51" t="s">
        <v>1614</v>
      </c>
      <c r="U121" s="51" t="s">
        <v>1331</v>
      </c>
      <c r="V121" s="51" t="s">
        <v>2098</v>
      </c>
      <c r="W121" s="51">
        <v>48</v>
      </c>
      <c r="X121" s="51">
        <v>1</v>
      </c>
      <c r="Y121" s="51" t="s">
        <v>1369</v>
      </c>
      <c r="Z121" s="51">
        <v>22.11</v>
      </c>
      <c r="AA121" s="51" t="s">
        <v>182</v>
      </c>
      <c r="AB121" s="54">
        <v>1061.28</v>
      </c>
      <c r="AC121" s="51">
        <v>265.32</v>
      </c>
      <c r="AD121" s="51" t="s">
        <v>182</v>
      </c>
      <c r="AE121" s="51" t="s">
        <v>181</v>
      </c>
      <c r="AF121" s="51" t="s">
        <v>61</v>
      </c>
      <c r="AG121" s="51" t="s">
        <v>69</v>
      </c>
      <c r="AH121" s="51" t="s">
        <v>70</v>
      </c>
      <c r="AI121" s="51" t="s">
        <v>71</v>
      </c>
      <c r="AJ121" s="53">
        <v>42416</v>
      </c>
      <c r="AK121" s="51" t="s">
        <v>64</v>
      </c>
      <c r="AL121" s="53">
        <v>42388</v>
      </c>
      <c r="AM121" s="51" t="s">
        <v>72</v>
      </c>
      <c r="AN121" s="51">
        <v>62085579</v>
      </c>
      <c r="AO121" s="53">
        <v>42422</v>
      </c>
      <c r="AP121" s="51" t="s">
        <v>73</v>
      </c>
      <c r="AQ121" s="51" t="s">
        <v>302</v>
      </c>
    </row>
    <row r="122" spans="1:43" x14ac:dyDescent="0.2">
      <c r="A122" s="51">
        <v>10020494</v>
      </c>
      <c r="B122" s="51">
        <v>60</v>
      </c>
      <c r="C122" s="51" t="s">
        <v>18</v>
      </c>
      <c r="D122" s="51" t="s">
        <v>573</v>
      </c>
      <c r="E122" s="53">
        <v>42388</v>
      </c>
      <c r="F122" s="51">
        <v>93654323</v>
      </c>
      <c r="G122" s="51">
        <v>60</v>
      </c>
      <c r="H122" s="51">
        <v>1201120</v>
      </c>
      <c r="I122" s="51" t="s">
        <v>117</v>
      </c>
      <c r="J122" s="51">
        <v>1307782</v>
      </c>
      <c r="K122" s="51" t="s">
        <v>119</v>
      </c>
      <c r="L122" s="51">
        <v>1171090</v>
      </c>
      <c r="M122" s="51" t="s">
        <v>118</v>
      </c>
      <c r="N122" s="51" t="s">
        <v>2099</v>
      </c>
      <c r="O122" s="51"/>
      <c r="P122" s="51"/>
      <c r="Q122" s="51">
        <v>45963061959</v>
      </c>
      <c r="R122" s="51" t="s">
        <v>1838</v>
      </c>
      <c r="S122" s="51" t="s">
        <v>1322</v>
      </c>
      <c r="T122" s="51" t="s">
        <v>1839</v>
      </c>
      <c r="U122" s="51" t="s">
        <v>1331</v>
      </c>
      <c r="V122" s="51"/>
      <c r="W122" s="51">
        <v>400</v>
      </c>
      <c r="X122" s="51">
        <v>5</v>
      </c>
      <c r="Y122" s="51" t="s">
        <v>1332</v>
      </c>
      <c r="Z122" s="51">
        <v>140</v>
      </c>
      <c r="AA122" s="51" t="s">
        <v>182</v>
      </c>
      <c r="AB122" s="54">
        <v>56000</v>
      </c>
      <c r="AC122" s="51">
        <v>700</v>
      </c>
      <c r="AD122" s="51" t="s">
        <v>182</v>
      </c>
      <c r="AE122" s="51" t="s">
        <v>181</v>
      </c>
      <c r="AF122" s="51" t="s">
        <v>97</v>
      </c>
      <c r="AG122" s="51" t="s">
        <v>69</v>
      </c>
      <c r="AH122" s="51" t="s">
        <v>70</v>
      </c>
      <c r="AI122" s="51" t="s">
        <v>76</v>
      </c>
      <c r="AJ122" s="53">
        <v>42396</v>
      </c>
      <c r="AK122" s="51" t="s">
        <v>64</v>
      </c>
      <c r="AL122" s="53">
        <v>42388</v>
      </c>
      <c r="AM122" s="51" t="s">
        <v>100</v>
      </c>
      <c r="AN122" s="51">
        <v>62074038</v>
      </c>
      <c r="AO122" s="53">
        <v>42404</v>
      </c>
      <c r="AP122" s="51" t="s">
        <v>77</v>
      </c>
      <c r="AQ122" s="51" t="s">
        <v>717</v>
      </c>
    </row>
    <row r="123" spans="1:43" x14ac:dyDescent="0.2">
      <c r="A123" s="51">
        <v>10020495</v>
      </c>
      <c r="B123" s="51">
        <v>150</v>
      </c>
      <c r="C123" s="51" t="s">
        <v>26</v>
      </c>
      <c r="D123" s="51" t="s">
        <v>573</v>
      </c>
      <c r="E123" s="53">
        <v>42388</v>
      </c>
      <c r="F123" s="51">
        <v>93655606</v>
      </c>
      <c r="G123" s="51">
        <v>150</v>
      </c>
      <c r="H123" s="51">
        <v>1201120</v>
      </c>
      <c r="I123" s="51" t="s">
        <v>117</v>
      </c>
      <c r="J123" s="51">
        <v>1307782</v>
      </c>
      <c r="K123" s="51" t="s">
        <v>119</v>
      </c>
      <c r="L123" s="51">
        <v>1171090</v>
      </c>
      <c r="M123" s="51" t="s">
        <v>118</v>
      </c>
      <c r="N123" s="51" t="s">
        <v>2028</v>
      </c>
      <c r="O123" s="51"/>
      <c r="P123" s="51"/>
      <c r="Q123" s="51">
        <v>16252060144</v>
      </c>
      <c r="R123" s="51" t="s">
        <v>1350</v>
      </c>
      <c r="S123" s="51" t="s">
        <v>1322</v>
      </c>
      <c r="T123" s="51" t="s">
        <v>1351</v>
      </c>
      <c r="U123" s="51" t="s">
        <v>1331</v>
      </c>
      <c r="V123" s="51">
        <v>1151418</v>
      </c>
      <c r="W123" s="51">
        <v>3120</v>
      </c>
      <c r="X123" s="51">
        <v>64</v>
      </c>
      <c r="Y123" s="51" t="s">
        <v>1332</v>
      </c>
      <c r="Z123" s="51">
        <v>3.5</v>
      </c>
      <c r="AA123" s="51" t="s">
        <v>182</v>
      </c>
      <c r="AB123" s="54">
        <v>10920</v>
      </c>
      <c r="AC123" s="51">
        <v>224</v>
      </c>
      <c r="AD123" s="51" t="s">
        <v>182</v>
      </c>
      <c r="AE123" s="51" t="s">
        <v>181</v>
      </c>
      <c r="AF123" s="51" t="s">
        <v>97</v>
      </c>
      <c r="AG123" s="51" t="s">
        <v>69</v>
      </c>
      <c r="AH123" s="51" t="s">
        <v>70</v>
      </c>
      <c r="AI123" s="51" t="s">
        <v>76</v>
      </c>
      <c r="AJ123" s="53">
        <v>42405</v>
      </c>
      <c r="AK123" s="51" t="s">
        <v>64</v>
      </c>
      <c r="AL123" s="53">
        <v>42388</v>
      </c>
      <c r="AM123" s="51" t="s">
        <v>100</v>
      </c>
      <c r="AN123" s="51">
        <v>62076609</v>
      </c>
      <c r="AO123" s="53">
        <v>42408</v>
      </c>
      <c r="AP123" s="51" t="s">
        <v>77</v>
      </c>
      <c r="AQ123" s="51" t="s">
        <v>2100</v>
      </c>
    </row>
    <row r="124" spans="1:43" x14ac:dyDescent="0.2">
      <c r="A124" s="51">
        <v>10020496</v>
      </c>
      <c r="B124" s="51">
        <v>2180</v>
      </c>
      <c r="C124" s="51" t="s">
        <v>18</v>
      </c>
      <c r="D124" s="51" t="s">
        <v>78</v>
      </c>
      <c r="E124" s="53">
        <v>42388</v>
      </c>
      <c r="F124" s="51">
        <v>93628231</v>
      </c>
      <c r="G124" s="51">
        <v>2180</v>
      </c>
      <c r="H124" s="51">
        <v>1201120</v>
      </c>
      <c r="I124" s="51" t="s">
        <v>117</v>
      </c>
      <c r="J124" s="51">
        <v>1307782</v>
      </c>
      <c r="K124" s="51" t="s">
        <v>119</v>
      </c>
      <c r="L124" s="51">
        <v>1171090</v>
      </c>
      <c r="M124" s="51" t="s">
        <v>118</v>
      </c>
      <c r="N124" s="51" t="s">
        <v>1421</v>
      </c>
      <c r="O124" s="51"/>
      <c r="P124" s="51"/>
      <c r="Q124" s="51">
        <v>52544055228</v>
      </c>
      <c r="R124" s="51" t="s">
        <v>1613</v>
      </c>
      <c r="S124" s="51" t="s">
        <v>1344</v>
      </c>
      <c r="T124" s="51" t="s">
        <v>1614</v>
      </c>
      <c r="U124" s="51" t="s">
        <v>1331</v>
      </c>
      <c r="V124" s="51" t="s">
        <v>1933</v>
      </c>
      <c r="W124" s="51">
        <v>216</v>
      </c>
      <c r="X124" s="51">
        <v>12</v>
      </c>
      <c r="Y124" s="51" t="s">
        <v>1332</v>
      </c>
      <c r="Z124" s="51">
        <v>132.61000000000001</v>
      </c>
      <c r="AA124" s="51" t="s">
        <v>182</v>
      </c>
      <c r="AB124" s="54">
        <v>28643.759999999998</v>
      </c>
      <c r="AC124" s="54">
        <v>1591.32</v>
      </c>
      <c r="AD124" s="51" t="s">
        <v>182</v>
      </c>
      <c r="AE124" s="51" t="s">
        <v>181</v>
      </c>
      <c r="AF124" s="51" t="s">
        <v>97</v>
      </c>
      <c r="AG124" s="51" t="s">
        <v>69</v>
      </c>
      <c r="AH124" s="51" t="s">
        <v>70</v>
      </c>
      <c r="AI124" s="51" t="s">
        <v>76</v>
      </c>
      <c r="AJ124" s="53">
        <v>42396</v>
      </c>
      <c r="AK124" s="51" t="s">
        <v>64</v>
      </c>
      <c r="AL124" s="53">
        <v>42388</v>
      </c>
      <c r="AM124" s="51" t="s">
        <v>100</v>
      </c>
      <c r="AN124" s="51">
        <v>62074037</v>
      </c>
      <c r="AO124" s="53">
        <v>42404</v>
      </c>
      <c r="AP124" s="51" t="s">
        <v>77</v>
      </c>
      <c r="AQ124" s="51" t="s">
        <v>376</v>
      </c>
    </row>
    <row r="125" spans="1:43" x14ac:dyDescent="0.2">
      <c r="A125" s="51">
        <v>10020497</v>
      </c>
      <c r="B125" s="51">
        <v>70</v>
      </c>
      <c r="C125" s="51" t="s">
        <v>27</v>
      </c>
      <c r="D125" s="51" t="s">
        <v>78</v>
      </c>
      <c r="E125" s="53">
        <v>42388</v>
      </c>
      <c r="F125" s="51">
        <v>93660719</v>
      </c>
      <c r="G125" s="51">
        <v>70</v>
      </c>
      <c r="H125" s="51">
        <v>1201120</v>
      </c>
      <c r="I125" s="51" t="s">
        <v>117</v>
      </c>
      <c r="J125" s="51">
        <v>1307782</v>
      </c>
      <c r="K125" s="51" t="s">
        <v>119</v>
      </c>
      <c r="L125" s="51">
        <v>1171090</v>
      </c>
      <c r="M125" s="51" t="s">
        <v>118</v>
      </c>
      <c r="N125" s="51" t="s">
        <v>2101</v>
      </c>
      <c r="O125" s="51"/>
      <c r="P125" s="51"/>
      <c r="Q125" s="51">
        <v>591267930</v>
      </c>
      <c r="R125" s="51" t="s">
        <v>1528</v>
      </c>
      <c r="S125" s="51" t="s">
        <v>1322</v>
      </c>
      <c r="T125" s="51" t="s">
        <v>1443</v>
      </c>
      <c r="U125" s="51" t="s">
        <v>1331</v>
      </c>
      <c r="V125" s="51" t="s">
        <v>2016</v>
      </c>
      <c r="W125" s="51">
        <v>324</v>
      </c>
      <c r="X125" s="51">
        <v>324</v>
      </c>
      <c r="Y125" s="51" t="s">
        <v>1332</v>
      </c>
      <c r="Z125" s="51">
        <v>224.65</v>
      </c>
      <c r="AA125" s="51" t="s">
        <v>182</v>
      </c>
      <c r="AB125" s="54">
        <v>72786.600000000006</v>
      </c>
      <c r="AC125" s="54">
        <v>72786.600000000006</v>
      </c>
      <c r="AD125" s="51" t="s">
        <v>182</v>
      </c>
      <c r="AE125" s="51" t="s">
        <v>181</v>
      </c>
      <c r="AF125" s="51" t="s">
        <v>123</v>
      </c>
      <c r="AG125" s="51" t="s">
        <v>69</v>
      </c>
      <c r="AH125" s="51" t="s">
        <v>104</v>
      </c>
      <c r="AI125" s="51" t="s">
        <v>71</v>
      </c>
      <c r="AJ125" s="53">
        <v>42418</v>
      </c>
      <c r="AK125" s="51" t="s">
        <v>64</v>
      </c>
      <c r="AL125" s="53">
        <v>42388</v>
      </c>
      <c r="AM125" s="51" t="s">
        <v>72</v>
      </c>
      <c r="AN125" s="51">
        <v>62086432</v>
      </c>
      <c r="AO125" s="53">
        <v>42423</v>
      </c>
      <c r="AP125" s="51" t="s">
        <v>465</v>
      </c>
      <c r="AQ125" s="51" t="s">
        <v>2102</v>
      </c>
    </row>
    <row r="126" spans="1:43" x14ac:dyDescent="0.2">
      <c r="A126" s="51">
        <v>10020498</v>
      </c>
      <c r="B126" s="51">
        <v>370</v>
      </c>
      <c r="C126" s="51" t="s">
        <v>22</v>
      </c>
      <c r="D126" s="51" t="s">
        <v>573</v>
      </c>
      <c r="E126" s="53">
        <v>42388</v>
      </c>
      <c r="F126" s="51">
        <v>93649433</v>
      </c>
      <c r="G126" s="51">
        <v>370</v>
      </c>
      <c r="H126" s="51">
        <v>1201156</v>
      </c>
      <c r="I126" s="51" t="s">
        <v>131</v>
      </c>
      <c r="J126" s="51">
        <v>1319569</v>
      </c>
      <c r="K126" s="51" t="s">
        <v>132</v>
      </c>
      <c r="L126" s="51">
        <v>1201156</v>
      </c>
      <c r="M126" s="51" t="s">
        <v>131</v>
      </c>
      <c r="N126" s="51">
        <v>8346370</v>
      </c>
      <c r="O126" s="51"/>
      <c r="P126" s="51"/>
      <c r="Q126" s="51">
        <v>52544096728</v>
      </c>
      <c r="R126" s="51" t="s">
        <v>1885</v>
      </c>
      <c r="S126" s="51" t="s">
        <v>1344</v>
      </c>
      <c r="T126" s="51" t="s">
        <v>1886</v>
      </c>
      <c r="U126" s="51" t="s">
        <v>1331</v>
      </c>
      <c r="V126" s="51" t="s">
        <v>2103</v>
      </c>
      <c r="W126" s="51">
        <v>612</v>
      </c>
      <c r="X126" s="51">
        <v>72</v>
      </c>
      <c r="Y126" s="51" t="s">
        <v>1621</v>
      </c>
      <c r="Z126" s="51">
        <v>33.96</v>
      </c>
      <c r="AA126" s="51" t="s">
        <v>182</v>
      </c>
      <c r="AB126" s="54">
        <v>20783.52</v>
      </c>
      <c r="AC126" s="54">
        <v>2445.12</v>
      </c>
      <c r="AD126" s="51" t="s">
        <v>182</v>
      </c>
      <c r="AE126" s="51" t="s">
        <v>181</v>
      </c>
      <c r="AF126" s="51" t="s">
        <v>61</v>
      </c>
      <c r="AG126" s="51" t="s">
        <v>63</v>
      </c>
      <c r="AH126" s="51" t="s">
        <v>81</v>
      </c>
      <c r="AI126" s="51" t="s">
        <v>82</v>
      </c>
      <c r="AJ126" s="53">
        <v>42424</v>
      </c>
      <c r="AK126" s="51" t="s">
        <v>64</v>
      </c>
      <c r="AL126" s="53">
        <v>42388</v>
      </c>
      <c r="AM126" s="51"/>
      <c r="AN126" s="51"/>
      <c r="AO126" s="51"/>
      <c r="AP126" s="51" t="s">
        <v>84</v>
      </c>
      <c r="AQ126" s="51" t="s">
        <v>2104</v>
      </c>
    </row>
    <row r="127" spans="1:43" x14ac:dyDescent="0.2">
      <c r="A127" s="51">
        <v>10020499</v>
      </c>
      <c r="B127" s="51">
        <v>10</v>
      </c>
      <c r="C127" s="51" t="s">
        <v>26</v>
      </c>
      <c r="D127" s="51" t="s">
        <v>573</v>
      </c>
      <c r="E127" s="53">
        <v>42388</v>
      </c>
      <c r="F127" s="51">
        <v>93638493</v>
      </c>
      <c r="G127" s="51">
        <v>10</v>
      </c>
      <c r="H127" s="51">
        <v>1201156</v>
      </c>
      <c r="I127" s="51" t="s">
        <v>131</v>
      </c>
      <c r="J127" s="51">
        <v>1319569</v>
      </c>
      <c r="K127" s="51" t="s">
        <v>132</v>
      </c>
      <c r="L127" s="51">
        <v>1201156</v>
      </c>
      <c r="M127" s="51" t="s">
        <v>131</v>
      </c>
      <c r="N127" s="51">
        <v>8343144</v>
      </c>
      <c r="O127" s="51"/>
      <c r="P127" s="51"/>
      <c r="Q127" s="51">
        <v>228234810</v>
      </c>
      <c r="R127" s="51" t="s">
        <v>2105</v>
      </c>
      <c r="S127" s="51" t="s">
        <v>1322</v>
      </c>
      <c r="T127" s="51" t="s">
        <v>2106</v>
      </c>
      <c r="U127" s="51" t="s">
        <v>1331</v>
      </c>
      <c r="V127" s="51" t="s">
        <v>2107</v>
      </c>
      <c r="W127" s="51">
        <v>96</v>
      </c>
      <c r="X127" s="51">
        <v>24</v>
      </c>
      <c r="Y127" s="51" t="s">
        <v>1332</v>
      </c>
      <c r="Z127" s="51">
        <v>45.8</v>
      </c>
      <c r="AA127" s="51" t="s">
        <v>182</v>
      </c>
      <c r="AB127" s="54">
        <v>4396.8</v>
      </c>
      <c r="AC127" s="54">
        <v>1099.2</v>
      </c>
      <c r="AD127" s="51" t="s">
        <v>182</v>
      </c>
      <c r="AE127" s="51" t="s">
        <v>181</v>
      </c>
      <c r="AF127" s="51" t="s">
        <v>61</v>
      </c>
      <c r="AG127" s="51" t="s">
        <v>63</v>
      </c>
      <c r="AH127" s="51" t="s">
        <v>81</v>
      </c>
      <c r="AI127" s="51" t="s">
        <v>88</v>
      </c>
      <c r="AJ127" s="53">
        <v>42408</v>
      </c>
      <c r="AK127" s="51" t="s">
        <v>64</v>
      </c>
      <c r="AL127" s="53">
        <v>42388</v>
      </c>
      <c r="AM127" s="51"/>
      <c r="AN127" s="51"/>
      <c r="AO127" s="51"/>
      <c r="AP127" s="51" t="s">
        <v>89</v>
      </c>
      <c r="AQ127" s="51" t="s">
        <v>274</v>
      </c>
    </row>
    <row r="128" spans="1:43" x14ac:dyDescent="0.2">
      <c r="A128" s="51">
        <v>10020499</v>
      </c>
      <c r="B128" s="51">
        <v>270</v>
      </c>
      <c r="C128" s="51" t="s">
        <v>26</v>
      </c>
      <c r="D128" s="51" t="s">
        <v>573</v>
      </c>
      <c r="E128" s="53">
        <v>42388</v>
      </c>
      <c r="F128" s="51">
        <v>93638493</v>
      </c>
      <c r="G128" s="51">
        <v>270</v>
      </c>
      <c r="H128" s="51">
        <v>1201156</v>
      </c>
      <c r="I128" s="51" t="s">
        <v>131</v>
      </c>
      <c r="J128" s="51">
        <v>1319569</v>
      </c>
      <c r="K128" s="51" t="s">
        <v>132</v>
      </c>
      <c r="L128" s="51">
        <v>1201156</v>
      </c>
      <c r="M128" s="51" t="s">
        <v>131</v>
      </c>
      <c r="N128" s="51">
        <v>8343144</v>
      </c>
      <c r="O128" s="51"/>
      <c r="P128" s="51"/>
      <c r="Q128" s="51">
        <v>52544021928</v>
      </c>
      <c r="R128" s="51" t="s">
        <v>2108</v>
      </c>
      <c r="S128" s="51" t="s">
        <v>1344</v>
      </c>
      <c r="T128" s="51" t="s">
        <v>2109</v>
      </c>
      <c r="U128" s="51" t="s">
        <v>1331</v>
      </c>
      <c r="V128" s="51" t="s">
        <v>2110</v>
      </c>
      <c r="W128" s="51">
        <v>12</v>
      </c>
      <c r="X128" s="51">
        <v>72</v>
      </c>
      <c r="Y128" s="51" t="s">
        <v>1621</v>
      </c>
      <c r="Z128" s="51">
        <v>46.38</v>
      </c>
      <c r="AA128" s="51" t="s">
        <v>182</v>
      </c>
      <c r="AB128" s="51">
        <v>556.55999999999995</v>
      </c>
      <c r="AC128" s="54">
        <v>3339.36</v>
      </c>
      <c r="AD128" s="51" t="s">
        <v>182</v>
      </c>
      <c r="AE128" s="51" t="s">
        <v>181</v>
      </c>
      <c r="AF128" s="51" t="s">
        <v>61</v>
      </c>
      <c r="AG128" s="51" t="s">
        <v>63</v>
      </c>
      <c r="AH128" s="51" t="s">
        <v>81</v>
      </c>
      <c r="AI128" s="51" t="s">
        <v>88</v>
      </c>
      <c r="AJ128" s="53">
        <v>42408</v>
      </c>
      <c r="AK128" s="51" t="s">
        <v>64</v>
      </c>
      <c r="AL128" s="53">
        <v>42388</v>
      </c>
      <c r="AM128" s="51"/>
      <c r="AN128" s="51"/>
      <c r="AO128" s="51"/>
      <c r="AP128" s="51" t="s">
        <v>89</v>
      </c>
      <c r="AQ128" s="51" t="s">
        <v>274</v>
      </c>
    </row>
    <row r="129" spans="1:43" x14ac:dyDescent="0.2">
      <c r="A129" s="51">
        <v>10020500</v>
      </c>
      <c r="B129" s="51">
        <v>10</v>
      </c>
      <c r="C129" s="51" t="s">
        <v>26</v>
      </c>
      <c r="D129" s="51" t="s">
        <v>78</v>
      </c>
      <c r="E129" s="53">
        <v>42388</v>
      </c>
      <c r="F129" s="51">
        <v>93656754</v>
      </c>
      <c r="G129" s="51">
        <v>10</v>
      </c>
      <c r="H129" s="51">
        <v>1201047</v>
      </c>
      <c r="I129" s="51" t="s">
        <v>79</v>
      </c>
      <c r="J129" s="51">
        <v>1038994</v>
      </c>
      <c r="K129" s="51" t="s">
        <v>80</v>
      </c>
      <c r="L129" s="51">
        <v>1171089</v>
      </c>
      <c r="M129" s="51" t="s">
        <v>75</v>
      </c>
      <c r="N129" s="51">
        <v>40448390</v>
      </c>
      <c r="O129" s="51"/>
      <c r="P129" s="51"/>
      <c r="Q129" s="51">
        <v>472040015</v>
      </c>
      <c r="R129" s="51" t="s">
        <v>2111</v>
      </c>
      <c r="S129" s="51" t="s">
        <v>1322</v>
      </c>
      <c r="T129" s="51" t="s">
        <v>1797</v>
      </c>
      <c r="U129" s="51" t="s">
        <v>1331</v>
      </c>
      <c r="V129" s="51">
        <v>66500019</v>
      </c>
      <c r="W129" s="51">
        <v>36</v>
      </c>
      <c r="X129" s="51">
        <v>3</v>
      </c>
      <c r="Y129" s="51" t="s">
        <v>1332</v>
      </c>
      <c r="Z129" s="51">
        <v>102.58</v>
      </c>
      <c r="AA129" s="51" t="s">
        <v>182</v>
      </c>
      <c r="AB129" s="54">
        <v>3692.88</v>
      </c>
      <c r="AC129" s="51">
        <v>307.74</v>
      </c>
      <c r="AD129" s="51" t="s">
        <v>182</v>
      </c>
      <c r="AE129" s="51" t="s">
        <v>181</v>
      </c>
      <c r="AF129" s="51" t="s">
        <v>97</v>
      </c>
      <c r="AG129" s="51" t="s">
        <v>63</v>
      </c>
      <c r="AH129" s="51" t="s">
        <v>81</v>
      </c>
      <c r="AI129" s="51" t="s">
        <v>88</v>
      </c>
      <c r="AJ129" s="53">
        <v>42408</v>
      </c>
      <c r="AK129" s="51" t="s">
        <v>64</v>
      </c>
      <c r="AL129" s="53">
        <v>42388</v>
      </c>
      <c r="AM129" s="51"/>
      <c r="AN129" s="51"/>
      <c r="AO129" s="51"/>
      <c r="AP129" s="51" t="s">
        <v>89</v>
      </c>
      <c r="AQ129" s="51" t="s">
        <v>274</v>
      </c>
    </row>
    <row r="130" spans="1:43" x14ac:dyDescent="0.2">
      <c r="A130" s="51">
        <v>10020501</v>
      </c>
      <c r="B130" s="51">
        <v>2800</v>
      </c>
      <c r="C130" s="51" t="s">
        <v>22</v>
      </c>
      <c r="D130" s="51" t="s">
        <v>149</v>
      </c>
      <c r="E130" s="53">
        <v>42389</v>
      </c>
      <c r="F130" s="51">
        <v>93641759</v>
      </c>
      <c r="G130" s="51">
        <v>2800</v>
      </c>
      <c r="H130" s="51">
        <v>1201047</v>
      </c>
      <c r="I130" s="51" t="s">
        <v>79</v>
      </c>
      <c r="J130" s="51">
        <v>1042228</v>
      </c>
      <c r="K130" s="51" t="s">
        <v>80</v>
      </c>
      <c r="L130" s="51">
        <v>1171089</v>
      </c>
      <c r="M130" s="51" t="s">
        <v>75</v>
      </c>
      <c r="N130" s="51">
        <v>37961770</v>
      </c>
      <c r="O130" s="51"/>
      <c r="P130" s="51"/>
      <c r="Q130" s="51">
        <v>591350904</v>
      </c>
      <c r="R130" s="51" t="s">
        <v>2112</v>
      </c>
      <c r="S130" s="51" t="s">
        <v>1322</v>
      </c>
      <c r="T130" s="51" t="s">
        <v>1952</v>
      </c>
      <c r="U130" s="51" t="s">
        <v>1331</v>
      </c>
      <c r="V130" s="51" t="s">
        <v>2113</v>
      </c>
      <c r="W130" s="51">
        <v>120</v>
      </c>
      <c r="X130" s="51">
        <v>96</v>
      </c>
      <c r="Y130" s="51" t="s">
        <v>1332</v>
      </c>
      <c r="Z130" s="51">
        <v>178.45</v>
      </c>
      <c r="AA130" s="51" t="s">
        <v>182</v>
      </c>
      <c r="AB130" s="54">
        <v>21414</v>
      </c>
      <c r="AC130" s="54">
        <v>17131.2</v>
      </c>
      <c r="AD130" s="51" t="s">
        <v>182</v>
      </c>
      <c r="AE130" s="51" t="s">
        <v>181</v>
      </c>
      <c r="AF130" s="51" t="s">
        <v>86</v>
      </c>
      <c r="AG130" s="51" t="s">
        <v>63</v>
      </c>
      <c r="AH130" s="51" t="s">
        <v>94</v>
      </c>
      <c r="AI130" s="51" t="s">
        <v>82</v>
      </c>
      <c r="AJ130" s="53">
        <v>42411</v>
      </c>
      <c r="AK130" s="51" t="s">
        <v>64</v>
      </c>
      <c r="AL130" s="53">
        <v>42389</v>
      </c>
      <c r="AM130" s="51"/>
      <c r="AN130" s="51"/>
      <c r="AO130" s="51"/>
      <c r="AP130" s="51" t="s">
        <v>142</v>
      </c>
      <c r="AQ130" s="51" t="s">
        <v>2114</v>
      </c>
    </row>
    <row r="131" spans="1:43" x14ac:dyDescent="0.2">
      <c r="A131" s="51">
        <v>10020502</v>
      </c>
      <c r="B131" s="51">
        <v>50</v>
      </c>
      <c r="C131" s="51" t="s">
        <v>18</v>
      </c>
      <c r="D131" s="51" t="s">
        <v>573</v>
      </c>
      <c r="E131" s="53">
        <v>42389</v>
      </c>
      <c r="F131" s="51">
        <v>93659424</v>
      </c>
      <c r="G131" s="51">
        <v>50</v>
      </c>
      <c r="H131" s="51">
        <v>1201120</v>
      </c>
      <c r="I131" s="51" t="s">
        <v>117</v>
      </c>
      <c r="J131" s="51">
        <v>1307782</v>
      </c>
      <c r="K131" s="51" t="s">
        <v>119</v>
      </c>
      <c r="L131" s="51">
        <v>1171090</v>
      </c>
      <c r="M131" s="51" t="s">
        <v>118</v>
      </c>
      <c r="N131" s="51" t="s">
        <v>2115</v>
      </c>
      <c r="O131" s="51"/>
      <c r="P131" s="51"/>
      <c r="Q131" s="51">
        <v>472034556</v>
      </c>
      <c r="R131" s="51" t="s">
        <v>2116</v>
      </c>
      <c r="S131" s="51" t="s">
        <v>1459</v>
      </c>
      <c r="T131" s="51" t="s">
        <v>2117</v>
      </c>
      <c r="U131" s="51" t="s">
        <v>1459</v>
      </c>
      <c r="V131" s="51" t="s">
        <v>2118</v>
      </c>
      <c r="W131" s="51">
        <v>816</v>
      </c>
      <c r="X131" s="51">
        <v>48</v>
      </c>
      <c r="Y131" s="51" t="s">
        <v>1332</v>
      </c>
      <c r="Z131" s="51">
        <v>1.32</v>
      </c>
      <c r="AA131" s="51" t="s">
        <v>182</v>
      </c>
      <c r="AB131" s="54">
        <v>1077.1199999999999</v>
      </c>
      <c r="AC131" s="51">
        <v>63.36</v>
      </c>
      <c r="AD131" s="51" t="s">
        <v>182</v>
      </c>
      <c r="AE131" s="51" t="s">
        <v>181</v>
      </c>
      <c r="AF131" s="51" t="s">
        <v>91</v>
      </c>
      <c r="AG131" s="51" t="s">
        <v>69</v>
      </c>
      <c r="AH131" s="51" t="s">
        <v>70</v>
      </c>
      <c r="AI131" s="51" t="s">
        <v>76</v>
      </c>
      <c r="AJ131" s="53">
        <v>42396</v>
      </c>
      <c r="AK131" s="51" t="s">
        <v>64</v>
      </c>
      <c r="AL131" s="53">
        <v>42389</v>
      </c>
      <c r="AM131" s="51" t="s">
        <v>100</v>
      </c>
      <c r="AN131" s="51">
        <v>62080819</v>
      </c>
      <c r="AO131" s="53">
        <v>42415</v>
      </c>
      <c r="AP131" s="51" t="s">
        <v>77</v>
      </c>
      <c r="AQ131" s="51" t="s">
        <v>1487</v>
      </c>
    </row>
    <row r="132" spans="1:43" x14ac:dyDescent="0.2">
      <c r="A132" s="51">
        <v>10020503</v>
      </c>
      <c r="B132" s="51">
        <v>10</v>
      </c>
      <c r="C132" s="51" t="s">
        <v>26</v>
      </c>
      <c r="D132" s="51" t="s">
        <v>78</v>
      </c>
      <c r="E132" s="53">
        <v>42389</v>
      </c>
      <c r="F132" s="51">
        <v>93641756</v>
      </c>
      <c r="G132" s="51">
        <v>10</v>
      </c>
      <c r="H132" s="51">
        <v>1201014</v>
      </c>
      <c r="I132" s="51" t="s">
        <v>58</v>
      </c>
      <c r="J132" s="51">
        <v>1334901</v>
      </c>
      <c r="K132" s="51" t="s">
        <v>59</v>
      </c>
      <c r="L132" s="51">
        <v>1021986</v>
      </c>
      <c r="M132" s="51" t="s">
        <v>60</v>
      </c>
      <c r="N132" s="51">
        <v>220220433</v>
      </c>
      <c r="O132" s="51"/>
      <c r="P132" s="51"/>
      <c r="Q132" s="51">
        <v>591359160</v>
      </c>
      <c r="R132" s="51" t="s">
        <v>2119</v>
      </c>
      <c r="S132" s="51" t="s">
        <v>1322</v>
      </c>
      <c r="T132" s="51" t="s">
        <v>2120</v>
      </c>
      <c r="U132" s="51" t="s">
        <v>2121</v>
      </c>
      <c r="V132" s="51" t="s">
        <v>2122</v>
      </c>
      <c r="W132" s="51">
        <v>12</v>
      </c>
      <c r="X132" s="51">
        <v>12</v>
      </c>
      <c r="Y132" s="51" t="s">
        <v>1332</v>
      </c>
      <c r="Z132" s="51">
        <v>80.819999999999993</v>
      </c>
      <c r="AA132" s="51" t="s">
        <v>182</v>
      </c>
      <c r="AB132" s="51">
        <v>969.84</v>
      </c>
      <c r="AC132" s="51">
        <v>969.84</v>
      </c>
      <c r="AD132" s="51" t="s">
        <v>182</v>
      </c>
      <c r="AE132" s="51" t="s">
        <v>181</v>
      </c>
      <c r="AF132" s="51" t="s">
        <v>102</v>
      </c>
      <c r="AG132" s="51" t="s">
        <v>63</v>
      </c>
      <c r="AH132" s="51" t="s">
        <v>81</v>
      </c>
      <c r="AI132" s="51" t="s">
        <v>88</v>
      </c>
      <c r="AJ132" s="53">
        <v>42402</v>
      </c>
      <c r="AK132" s="51" t="s">
        <v>166</v>
      </c>
      <c r="AL132" s="53">
        <v>42391</v>
      </c>
      <c r="AM132" s="51"/>
      <c r="AN132" s="51"/>
      <c r="AO132" s="51"/>
      <c r="AP132" s="51" t="s">
        <v>89</v>
      </c>
      <c r="AQ132" s="51" t="s">
        <v>2123</v>
      </c>
    </row>
    <row r="133" spans="1:43" x14ac:dyDescent="0.2">
      <c r="A133" s="51">
        <v>10020504</v>
      </c>
      <c r="B133" s="51">
        <v>2280</v>
      </c>
      <c r="C133" s="51" t="s">
        <v>18</v>
      </c>
      <c r="D133" s="51" t="s">
        <v>149</v>
      </c>
      <c r="E133" s="53">
        <v>42389</v>
      </c>
      <c r="F133" s="51">
        <v>93642465</v>
      </c>
      <c r="G133" s="51">
        <v>2280</v>
      </c>
      <c r="H133" s="51">
        <v>1201047</v>
      </c>
      <c r="I133" s="51" t="s">
        <v>79</v>
      </c>
      <c r="J133" s="51">
        <v>1019056</v>
      </c>
      <c r="K133" s="51" t="s">
        <v>80</v>
      </c>
      <c r="L133" s="51">
        <v>1171089</v>
      </c>
      <c r="M133" s="51" t="s">
        <v>75</v>
      </c>
      <c r="N133" s="51">
        <v>41404015</v>
      </c>
      <c r="O133" s="51"/>
      <c r="P133" s="51"/>
      <c r="Q133" s="51">
        <v>228266611</v>
      </c>
      <c r="R133" s="51" t="s">
        <v>1908</v>
      </c>
      <c r="S133" s="51" t="s">
        <v>1322</v>
      </c>
      <c r="T133" s="51" t="s">
        <v>1367</v>
      </c>
      <c r="U133" s="51" t="s">
        <v>1331</v>
      </c>
      <c r="V133" s="51" t="s">
        <v>2124</v>
      </c>
      <c r="W133" s="51">
        <v>480</v>
      </c>
      <c r="X133" s="51">
        <v>1</v>
      </c>
      <c r="Y133" s="51" t="s">
        <v>1332</v>
      </c>
      <c r="Z133" s="51">
        <v>8.75</v>
      </c>
      <c r="AA133" s="51" t="s">
        <v>182</v>
      </c>
      <c r="AB133" s="54">
        <v>4200</v>
      </c>
      <c r="AC133" s="51">
        <v>8.75</v>
      </c>
      <c r="AD133" s="51" t="s">
        <v>182</v>
      </c>
      <c r="AE133" s="51" t="s">
        <v>181</v>
      </c>
      <c r="AF133" s="51" t="s">
        <v>91</v>
      </c>
      <c r="AG133" s="51" t="s">
        <v>69</v>
      </c>
      <c r="AH133" s="51" t="s">
        <v>70</v>
      </c>
      <c r="AI133" s="51" t="s">
        <v>76</v>
      </c>
      <c r="AJ133" s="53">
        <v>42396</v>
      </c>
      <c r="AK133" s="51" t="s">
        <v>64</v>
      </c>
      <c r="AL133" s="53">
        <v>42389</v>
      </c>
      <c r="AM133" s="51" t="s">
        <v>100</v>
      </c>
      <c r="AN133" s="51">
        <v>62074040</v>
      </c>
      <c r="AO133" s="53">
        <v>42404</v>
      </c>
      <c r="AP133" s="51" t="s">
        <v>77</v>
      </c>
      <c r="AQ133" s="51" t="s">
        <v>323</v>
      </c>
    </row>
    <row r="134" spans="1:43" x14ac:dyDescent="0.2">
      <c r="A134" s="51">
        <v>10020506</v>
      </c>
      <c r="B134" s="51">
        <v>60</v>
      </c>
      <c r="C134" s="51" t="s">
        <v>18</v>
      </c>
      <c r="D134" s="51" t="s">
        <v>78</v>
      </c>
      <c r="E134" s="53">
        <v>42389</v>
      </c>
      <c r="F134" s="51">
        <v>93658127</v>
      </c>
      <c r="G134" s="51">
        <v>60</v>
      </c>
      <c r="H134" s="51">
        <v>1022013</v>
      </c>
      <c r="I134" s="51" t="s">
        <v>114</v>
      </c>
      <c r="J134" s="51">
        <v>1022013</v>
      </c>
      <c r="K134" s="51" t="s">
        <v>114</v>
      </c>
      <c r="L134" s="51">
        <v>1022013</v>
      </c>
      <c r="M134" s="51" t="s">
        <v>114</v>
      </c>
      <c r="N134" s="51">
        <v>77387</v>
      </c>
      <c r="O134" s="51"/>
      <c r="P134" s="51"/>
      <c r="Q134" s="51">
        <v>591381760</v>
      </c>
      <c r="R134" s="51" t="s">
        <v>1357</v>
      </c>
      <c r="S134" s="51" t="s">
        <v>1322</v>
      </c>
      <c r="T134" s="51" t="s">
        <v>1358</v>
      </c>
      <c r="U134" s="51" t="s">
        <v>1331</v>
      </c>
      <c r="V134" s="51"/>
      <c r="W134" s="51">
        <v>2052</v>
      </c>
      <c r="X134" s="51">
        <v>5</v>
      </c>
      <c r="Y134" s="51" t="s">
        <v>1332</v>
      </c>
      <c r="Z134" s="51">
        <v>7.67</v>
      </c>
      <c r="AA134" s="51" t="s">
        <v>182</v>
      </c>
      <c r="AB134" s="54">
        <v>15738.84</v>
      </c>
      <c r="AC134" s="51">
        <v>38.35</v>
      </c>
      <c r="AD134" s="51" t="s">
        <v>182</v>
      </c>
      <c r="AE134" s="51" t="s">
        <v>181</v>
      </c>
      <c r="AF134" s="51" t="s">
        <v>67</v>
      </c>
      <c r="AG134" s="51" t="s">
        <v>69</v>
      </c>
      <c r="AH134" s="51" t="s">
        <v>70</v>
      </c>
      <c r="AI134" s="51" t="s">
        <v>76</v>
      </c>
      <c r="AJ134" s="53">
        <v>42396</v>
      </c>
      <c r="AK134" s="51" t="s">
        <v>64</v>
      </c>
      <c r="AL134" s="53">
        <v>42389</v>
      </c>
      <c r="AM134" s="51" t="s">
        <v>100</v>
      </c>
      <c r="AN134" s="51">
        <v>62080825</v>
      </c>
      <c r="AO134" s="53">
        <v>42415</v>
      </c>
      <c r="AP134" s="51" t="s">
        <v>77</v>
      </c>
      <c r="AQ134" s="51" t="s">
        <v>187</v>
      </c>
    </row>
    <row r="135" spans="1:43" x14ac:dyDescent="0.2">
      <c r="A135" s="51">
        <v>10020507</v>
      </c>
      <c r="B135" s="51">
        <v>70</v>
      </c>
      <c r="C135" s="51" t="s">
        <v>27</v>
      </c>
      <c r="D135" s="51" t="s">
        <v>78</v>
      </c>
      <c r="E135" s="53">
        <v>42389</v>
      </c>
      <c r="F135" s="51">
        <v>93658127</v>
      </c>
      <c r="G135" s="51">
        <v>70</v>
      </c>
      <c r="H135" s="51">
        <v>1022013</v>
      </c>
      <c r="I135" s="51" t="s">
        <v>114</v>
      </c>
      <c r="J135" s="51">
        <v>1022013</v>
      </c>
      <c r="K135" s="51" t="s">
        <v>114</v>
      </c>
      <c r="L135" s="51">
        <v>1022013</v>
      </c>
      <c r="M135" s="51" t="s">
        <v>114</v>
      </c>
      <c r="N135" s="51">
        <v>77387</v>
      </c>
      <c r="O135" s="51"/>
      <c r="P135" s="51"/>
      <c r="Q135" s="51">
        <v>472040030</v>
      </c>
      <c r="R135" s="51" t="s">
        <v>1796</v>
      </c>
      <c r="S135" s="51" t="s">
        <v>1322</v>
      </c>
      <c r="T135" s="51" t="s">
        <v>1797</v>
      </c>
      <c r="U135" s="51" t="s">
        <v>1331</v>
      </c>
      <c r="V135" s="51">
        <v>66500013</v>
      </c>
      <c r="W135" s="51">
        <v>168</v>
      </c>
      <c r="X135" s="51">
        <v>168</v>
      </c>
      <c r="Y135" s="51" t="s">
        <v>1332</v>
      </c>
      <c r="Z135" s="51">
        <v>49.99</v>
      </c>
      <c r="AA135" s="51" t="s">
        <v>182</v>
      </c>
      <c r="AB135" s="54">
        <v>8398.32</v>
      </c>
      <c r="AC135" s="54">
        <v>8398.32</v>
      </c>
      <c r="AD135" s="51" t="s">
        <v>182</v>
      </c>
      <c r="AE135" s="51" t="s">
        <v>181</v>
      </c>
      <c r="AF135" s="51" t="s">
        <v>67</v>
      </c>
      <c r="AG135" s="51" t="s">
        <v>69</v>
      </c>
      <c r="AH135" s="51" t="s">
        <v>81</v>
      </c>
      <c r="AI135" s="51" t="s">
        <v>71</v>
      </c>
      <c r="AJ135" s="53">
        <v>42397</v>
      </c>
      <c r="AK135" s="51" t="s">
        <v>64</v>
      </c>
      <c r="AL135" s="53">
        <v>42389</v>
      </c>
      <c r="AM135" s="51" t="s">
        <v>72</v>
      </c>
      <c r="AN135" s="51">
        <v>62072126</v>
      </c>
      <c r="AO135" s="53">
        <v>42402</v>
      </c>
      <c r="AP135" s="51" t="s">
        <v>465</v>
      </c>
      <c r="AQ135" s="51" t="s">
        <v>2125</v>
      </c>
    </row>
    <row r="136" spans="1:43" x14ac:dyDescent="0.2">
      <c r="A136" s="51">
        <v>10020508</v>
      </c>
      <c r="B136" s="51">
        <v>1650</v>
      </c>
      <c r="C136" s="51" t="s">
        <v>18</v>
      </c>
      <c r="D136" s="51" t="s">
        <v>573</v>
      </c>
      <c r="E136" s="53">
        <v>42389</v>
      </c>
      <c r="F136" s="51">
        <v>93660725</v>
      </c>
      <c r="G136" s="51">
        <v>1650</v>
      </c>
      <c r="H136" s="51">
        <v>1201120</v>
      </c>
      <c r="I136" s="51" t="s">
        <v>117</v>
      </c>
      <c r="J136" s="51">
        <v>1307782</v>
      </c>
      <c r="K136" s="51" t="s">
        <v>119</v>
      </c>
      <c r="L136" s="51">
        <v>1171090</v>
      </c>
      <c r="M136" s="51" t="s">
        <v>118</v>
      </c>
      <c r="N136" s="51" t="s">
        <v>2126</v>
      </c>
      <c r="O136" s="51"/>
      <c r="P136" s="51"/>
      <c r="Q136" s="51">
        <v>60758077305</v>
      </c>
      <c r="R136" s="51" t="s">
        <v>2127</v>
      </c>
      <c r="S136" s="51" t="s">
        <v>1322</v>
      </c>
      <c r="T136" s="51" t="s">
        <v>2128</v>
      </c>
      <c r="U136" s="51" t="s">
        <v>1331</v>
      </c>
      <c r="V136" s="51"/>
      <c r="W136" s="51">
        <v>4608</v>
      </c>
      <c r="X136" s="51">
        <v>1</v>
      </c>
      <c r="Y136" s="51" t="s">
        <v>1332</v>
      </c>
      <c r="Z136" s="51">
        <v>46.49</v>
      </c>
      <c r="AA136" s="51" t="s">
        <v>182</v>
      </c>
      <c r="AB136" s="54">
        <v>214225.92000000001</v>
      </c>
      <c r="AC136" s="51">
        <v>46.49</v>
      </c>
      <c r="AD136" s="51" t="s">
        <v>182</v>
      </c>
      <c r="AE136" s="51" t="s">
        <v>181</v>
      </c>
      <c r="AF136" s="51" t="s">
        <v>123</v>
      </c>
      <c r="AG136" s="51" t="s">
        <v>69</v>
      </c>
      <c r="AH136" s="51" t="s">
        <v>70</v>
      </c>
      <c r="AI136" s="51" t="s">
        <v>76</v>
      </c>
      <c r="AJ136" s="53">
        <v>42396</v>
      </c>
      <c r="AK136" s="51" t="s">
        <v>64</v>
      </c>
      <c r="AL136" s="53">
        <v>42389</v>
      </c>
      <c r="AM136" s="51" t="s">
        <v>100</v>
      </c>
      <c r="AN136" s="51">
        <v>62077314</v>
      </c>
      <c r="AO136" s="53">
        <v>42409</v>
      </c>
      <c r="AP136" s="51" t="s">
        <v>77</v>
      </c>
      <c r="AQ136" s="51" t="s">
        <v>323</v>
      </c>
    </row>
    <row r="137" spans="1:43" x14ac:dyDescent="0.2">
      <c r="A137" s="51">
        <v>10020509</v>
      </c>
      <c r="B137" s="51">
        <v>1000</v>
      </c>
      <c r="C137" s="51" t="s">
        <v>26</v>
      </c>
      <c r="D137" s="51" t="s">
        <v>573</v>
      </c>
      <c r="E137" s="53">
        <v>42389</v>
      </c>
      <c r="F137" s="51">
        <v>93654319</v>
      </c>
      <c r="G137" s="51">
        <v>1000</v>
      </c>
      <c r="H137" s="51">
        <v>1201120</v>
      </c>
      <c r="I137" s="51" t="s">
        <v>117</v>
      </c>
      <c r="J137" s="51">
        <v>1307782</v>
      </c>
      <c r="K137" s="51" t="s">
        <v>119</v>
      </c>
      <c r="L137" s="51">
        <v>1171090</v>
      </c>
      <c r="M137" s="51" t="s">
        <v>118</v>
      </c>
      <c r="N137" s="51" t="s">
        <v>2129</v>
      </c>
      <c r="O137" s="51"/>
      <c r="P137" s="51"/>
      <c r="Q137" s="51">
        <v>591034305</v>
      </c>
      <c r="R137" s="51" t="s">
        <v>2130</v>
      </c>
      <c r="S137" s="51" t="s">
        <v>1322</v>
      </c>
      <c r="T137" s="51" t="s">
        <v>2131</v>
      </c>
      <c r="U137" s="51" t="s">
        <v>1331</v>
      </c>
      <c r="V137" s="51" t="s">
        <v>2132</v>
      </c>
      <c r="W137" s="51">
        <v>48</v>
      </c>
      <c r="X137" s="51">
        <v>36</v>
      </c>
      <c r="Y137" s="51" t="s">
        <v>1332</v>
      </c>
      <c r="Z137" s="51">
        <v>24.17</v>
      </c>
      <c r="AA137" s="51" t="s">
        <v>182</v>
      </c>
      <c r="AB137" s="54">
        <v>1160.1600000000001</v>
      </c>
      <c r="AC137" s="51">
        <v>870.12</v>
      </c>
      <c r="AD137" s="51" t="s">
        <v>182</v>
      </c>
      <c r="AE137" s="51" t="s">
        <v>181</v>
      </c>
      <c r="AF137" s="51" t="s">
        <v>121</v>
      </c>
      <c r="AG137" s="51" t="s">
        <v>63</v>
      </c>
      <c r="AH137" s="51" t="s">
        <v>81</v>
      </c>
      <c r="AI137" s="51" t="s">
        <v>82</v>
      </c>
      <c r="AJ137" s="53">
        <v>42408</v>
      </c>
      <c r="AK137" s="51" t="s">
        <v>64</v>
      </c>
      <c r="AL137" s="53">
        <v>42389</v>
      </c>
      <c r="AM137" s="51"/>
      <c r="AN137" s="51"/>
      <c r="AO137" s="51"/>
      <c r="AP137" s="51" t="s">
        <v>84</v>
      </c>
      <c r="AQ137" s="51" t="s">
        <v>2133</v>
      </c>
    </row>
    <row r="138" spans="1:43" x14ac:dyDescent="0.2">
      <c r="A138" s="51">
        <v>10020510</v>
      </c>
      <c r="B138" s="51">
        <v>10</v>
      </c>
      <c r="C138" s="51" t="s">
        <v>26</v>
      </c>
      <c r="D138" s="51" t="s">
        <v>573</v>
      </c>
      <c r="E138" s="53">
        <v>42389</v>
      </c>
      <c r="F138" s="51">
        <v>93656710</v>
      </c>
      <c r="G138" s="51">
        <v>10</v>
      </c>
      <c r="H138" s="51">
        <v>1201047</v>
      </c>
      <c r="I138" s="51" t="s">
        <v>79</v>
      </c>
      <c r="J138" s="51">
        <v>1307128</v>
      </c>
      <c r="K138" s="51" t="s">
        <v>85</v>
      </c>
      <c r="L138" s="51">
        <v>1171089</v>
      </c>
      <c r="M138" s="51" t="s">
        <v>75</v>
      </c>
      <c r="N138" s="51">
        <v>10497242</v>
      </c>
      <c r="O138" s="51"/>
      <c r="P138" s="51"/>
      <c r="Q138" s="51">
        <v>472016330</v>
      </c>
      <c r="R138" s="51" t="s">
        <v>2134</v>
      </c>
      <c r="S138" s="51" t="s">
        <v>1322</v>
      </c>
      <c r="T138" s="51" t="s">
        <v>2135</v>
      </c>
      <c r="U138" s="51" t="s">
        <v>1331</v>
      </c>
      <c r="V138" s="51"/>
      <c r="W138" s="51">
        <v>3696</v>
      </c>
      <c r="X138" s="51">
        <v>144</v>
      </c>
      <c r="Y138" s="51" t="s">
        <v>1332</v>
      </c>
      <c r="Z138" s="51">
        <v>21</v>
      </c>
      <c r="AA138" s="51" t="s">
        <v>182</v>
      </c>
      <c r="AB138" s="54">
        <v>77616</v>
      </c>
      <c r="AC138" s="54">
        <v>3024</v>
      </c>
      <c r="AD138" s="51" t="s">
        <v>182</v>
      </c>
      <c r="AE138" s="51" t="s">
        <v>181</v>
      </c>
      <c r="AF138" s="51" t="s">
        <v>91</v>
      </c>
      <c r="AG138" s="51" t="s">
        <v>63</v>
      </c>
      <c r="AH138" s="51" t="s">
        <v>81</v>
      </c>
      <c r="AI138" s="51" t="s">
        <v>88</v>
      </c>
      <c r="AJ138" s="53">
        <v>42419</v>
      </c>
      <c r="AK138" s="51" t="s">
        <v>64</v>
      </c>
      <c r="AL138" s="53">
        <v>42389</v>
      </c>
      <c r="AM138" s="51"/>
      <c r="AN138" s="51"/>
      <c r="AO138" s="51"/>
      <c r="AP138" s="51" t="s">
        <v>89</v>
      </c>
      <c r="AQ138" s="51" t="s">
        <v>274</v>
      </c>
    </row>
    <row r="139" spans="1:43" x14ac:dyDescent="0.2">
      <c r="A139" s="51">
        <v>10020511</v>
      </c>
      <c r="B139" s="51">
        <v>1830</v>
      </c>
      <c r="C139" s="51" t="s">
        <v>18</v>
      </c>
      <c r="D139" s="51" t="s">
        <v>149</v>
      </c>
      <c r="E139" s="53">
        <v>42390</v>
      </c>
      <c r="F139" s="51">
        <v>93642488</v>
      </c>
      <c r="G139" s="51">
        <v>1830</v>
      </c>
      <c r="H139" s="51">
        <v>1201047</v>
      </c>
      <c r="I139" s="51" t="s">
        <v>79</v>
      </c>
      <c r="J139" s="51">
        <v>1022214</v>
      </c>
      <c r="K139" s="51" t="s">
        <v>80</v>
      </c>
      <c r="L139" s="51">
        <v>1171089</v>
      </c>
      <c r="M139" s="51" t="s">
        <v>75</v>
      </c>
      <c r="N139" s="51">
        <v>4749404</v>
      </c>
      <c r="O139" s="51"/>
      <c r="P139" s="51"/>
      <c r="Q139" s="51">
        <v>591320413</v>
      </c>
      <c r="R139" s="51" t="s">
        <v>2136</v>
      </c>
      <c r="S139" s="51" t="s">
        <v>1322</v>
      </c>
      <c r="T139" s="51" t="s">
        <v>2137</v>
      </c>
      <c r="U139" s="51" t="s">
        <v>1331</v>
      </c>
      <c r="V139" s="51" t="s">
        <v>2138</v>
      </c>
      <c r="W139" s="51">
        <v>72</v>
      </c>
      <c r="X139" s="51">
        <v>24</v>
      </c>
      <c r="Y139" s="51" t="s">
        <v>1332</v>
      </c>
      <c r="Z139" s="51">
        <v>79.58</v>
      </c>
      <c r="AA139" s="51" t="s">
        <v>182</v>
      </c>
      <c r="AB139" s="54">
        <v>5729.76</v>
      </c>
      <c r="AC139" s="54">
        <v>1909.92</v>
      </c>
      <c r="AD139" s="51" t="s">
        <v>182</v>
      </c>
      <c r="AE139" s="51" t="s">
        <v>181</v>
      </c>
      <c r="AF139" s="51" t="s">
        <v>91</v>
      </c>
      <c r="AG139" s="51" t="s">
        <v>69</v>
      </c>
      <c r="AH139" s="51" t="s">
        <v>70</v>
      </c>
      <c r="AI139" s="51" t="s">
        <v>76</v>
      </c>
      <c r="AJ139" s="53">
        <v>42396</v>
      </c>
      <c r="AK139" s="51" t="s">
        <v>64</v>
      </c>
      <c r="AL139" s="53">
        <v>42390</v>
      </c>
      <c r="AM139" s="51" t="s">
        <v>100</v>
      </c>
      <c r="AN139" s="51">
        <v>62083563</v>
      </c>
      <c r="AO139" s="53">
        <v>42418</v>
      </c>
      <c r="AP139" s="51" t="s">
        <v>77</v>
      </c>
      <c r="AQ139" s="51" t="s">
        <v>1013</v>
      </c>
    </row>
    <row r="140" spans="1:43" x14ac:dyDescent="0.2">
      <c r="A140" s="51">
        <v>10020512</v>
      </c>
      <c r="B140" s="51">
        <v>230</v>
      </c>
      <c r="C140" s="51" t="s">
        <v>18</v>
      </c>
      <c r="D140" s="51" t="s">
        <v>149</v>
      </c>
      <c r="E140" s="53">
        <v>42390</v>
      </c>
      <c r="F140" s="51">
        <v>93642487</v>
      </c>
      <c r="G140" s="51">
        <v>230</v>
      </c>
      <c r="H140" s="51">
        <v>1201047</v>
      </c>
      <c r="I140" s="51" t="s">
        <v>79</v>
      </c>
      <c r="J140" s="51">
        <v>1022214</v>
      </c>
      <c r="K140" s="51" t="s">
        <v>80</v>
      </c>
      <c r="L140" s="51">
        <v>1171089</v>
      </c>
      <c r="M140" s="51" t="s">
        <v>75</v>
      </c>
      <c r="N140" s="51">
        <v>4749404</v>
      </c>
      <c r="O140" s="51"/>
      <c r="P140" s="51"/>
      <c r="Q140" s="51">
        <v>16252059944</v>
      </c>
      <c r="R140" s="51" t="s">
        <v>2139</v>
      </c>
      <c r="S140" s="51" t="s">
        <v>1322</v>
      </c>
      <c r="T140" s="51" t="s">
        <v>1351</v>
      </c>
      <c r="U140" s="51" t="s">
        <v>1331</v>
      </c>
      <c r="V140" s="51" t="s">
        <v>2140</v>
      </c>
      <c r="W140" s="51">
        <v>360</v>
      </c>
      <c r="X140" s="51">
        <v>36</v>
      </c>
      <c r="Y140" s="51" t="s">
        <v>1332</v>
      </c>
      <c r="Z140" s="51">
        <v>7.5</v>
      </c>
      <c r="AA140" s="51" t="s">
        <v>182</v>
      </c>
      <c r="AB140" s="54">
        <v>2700</v>
      </c>
      <c r="AC140" s="51">
        <v>270</v>
      </c>
      <c r="AD140" s="51" t="s">
        <v>182</v>
      </c>
      <c r="AE140" s="51" t="s">
        <v>181</v>
      </c>
      <c r="AF140" s="51" t="s">
        <v>91</v>
      </c>
      <c r="AG140" s="51" t="s">
        <v>69</v>
      </c>
      <c r="AH140" s="51" t="s">
        <v>70</v>
      </c>
      <c r="AI140" s="51" t="s">
        <v>76</v>
      </c>
      <c r="AJ140" s="53">
        <v>42396</v>
      </c>
      <c r="AK140" s="51" t="s">
        <v>64</v>
      </c>
      <c r="AL140" s="53">
        <v>42390</v>
      </c>
      <c r="AM140" s="51" t="s">
        <v>100</v>
      </c>
      <c r="AN140" s="51">
        <v>62083562</v>
      </c>
      <c r="AO140" s="53">
        <v>42418</v>
      </c>
      <c r="AP140" s="51" t="s">
        <v>77</v>
      </c>
      <c r="AQ140" s="51" t="s">
        <v>658</v>
      </c>
    </row>
    <row r="141" spans="1:43" x14ac:dyDescent="0.2">
      <c r="A141" s="51">
        <v>10020513</v>
      </c>
      <c r="B141" s="51">
        <v>250</v>
      </c>
      <c r="C141" s="51" t="s">
        <v>26</v>
      </c>
      <c r="D141" s="51" t="s">
        <v>149</v>
      </c>
      <c r="E141" s="53">
        <v>42390</v>
      </c>
      <c r="F141" s="51">
        <v>93651382</v>
      </c>
      <c r="G141" s="51">
        <v>250</v>
      </c>
      <c r="H141" s="51">
        <v>1201047</v>
      </c>
      <c r="I141" s="51" t="s">
        <v>79</v>
      </c>
      <c r="J141" s="51">
        <v>1003696</v>
      </c>
      <c r="K141" s="51" t="s">
        <v>80</v>
      </c>
      <c r="L141" s="51">
        <v>1171089</v>
      </c>
      <c r="M141" s="51" t="s">
        <v>75</v>
      </c>
      <c r="N141" s="51">
        <v>24515804</v>
      </c>
      <c r="O141" s="51"/>
      <c r="P141" s="51"/>
      <c r="Q141" s="51">
        <v>16252060144</v>
      </c>
      <c r="R141" s="51" t="s">
        <v>1350</v>
      </c>
      <c r="S141" s="51" t="s">
        <v>1322</v>
      </c>
      <c r="T141" s="51" t="s">
        <v>1351</v>
      </c>
      <c r="U141" s="51" t="s">
        <v>1331</v>
      </c>
      <c r="V141" s="51">
        <v>1148330</v>
      </c>
      <c r="W141" s="51">
        <v>3300</v>
      </c>
      <c r="X141" s="51">
        <v>36</v>
      </c>
      <c r="Y141" s="51" t="s">
        <v>1332</v>
      </c>
      <c r="Z141" s="51">
        <v>3.5</v>
      </c>
      <c r="AA141" s="51" t="s">
        <v>182</v>
      </c>
      <c r="AB141" s="54">
        <v>11550</v>
      </c>
      <c r="AC141" s="51">
        <v>126</v>
      </c>
      <c r="AD141" s="51" t="s">
        <v>182</v>
      </c>
      <c r="AE141" s="51" t="s">
        <v>181</v>
      </c>
      <c r="AF141" s="51" t="s">
        <v>97</v>
      </c>
      <c r="AG141" s="51" t="s">
        <v>63</v>
      </c>
      <c r="AH141" s="51" t="s">
        <v>81</v>
      </c>
      <c r="AI141" s="51" t="s">
        <v>88</v>
      </c>
      <c r="AJ141" s="53">
        <v>42405</v>
      </c>
      <c r="AK141" s="51" t="s">
        <v>64</v>
      </c>
      <c r="AL141" s="53">
        <v>42390</v>
      </c>
      <c r="AM141" s="51"/>
      <c r="AN141" s="51"/>
      <c r="AO141" s="51"/>
      <c r="AP141" s="51" t="s">
        <v>89</v>
      </c>
      <c r="AQ141" s="51" t="s">
        <v>274</v>
      </c>
    </row>
    <row r="142" spans="1:43" x14ac:dyDescent="0.2">
      <c r="A142" s="51">
        <v>10020515</v>
      </c>
      <c r="B142" s="51">
        <v>440</v>
      </c>
      <c r="C142" s="51" t="s">
        <v>18</v>
      </c>
      <c r="D142" s="51" t="s">
        <v>592</v>
      </c>
      <c r="E142" s="53">
        <v>42390</v>
      </c>
      <c r="F142" s="51">
        <v>93651605</v>
      </c>
      <c r="G142" s="51">
        <v>440</v>
      </c>
      <c r="H142" s="51">
        <v>1201766</v>
      </c>
      <c r="I142" s="51" t="s">
        <v>143</v>
      </c>
      <c r="J142" s="51">
        <v>1157939</v>
      </c>
      <c r="K142" s="51" t="s">
        <v>143</v>
      </c>
      <c r="L142" s="51">
        <v>1201766</v>
      </c>
      <c r="M142" s="51" t="s">
        <v>143</v>
      </c>
      <c r="N142" s="51">
        <v>63087</v>
      </c>
      <c r="O142" s="51"/>
      <c r="P142" s="51"/>
      <c r="Q142" s="51">
        <v>62037086320</v>
      </c>
      <c r="R142" s="51" t="s">
        <v>1365</v>
      </c>
      <c r="S142" s="51" t="s">
        <v>1322</v>
      </c>
      <c r="T142" s="51" t="s">
        <v>1362</v>
      </c>
      <c r="U142" s="51" t="s">
        <v>1331</v>
      </c>
      <c r="V142" s="51" t="s">
        <v>2141</v>
      </c>
      <c r="W142" s="51">
        <v>30</v>
      </c>
      <c r="X142" s="51">
        <v>5</v>
      </c>
      <c r="Y142" s="51" t="s">
        <v>1332</v>
      </c>
      <c r="Z142" s="51">
        <v>135.41</v>
      </c>
      <c r="AA142" s="51" t="s">
        <v>182</v>
      </c>
      <c r="AB142" s="54">
        <v>4062.3</v>
      </c>
      <c r="AC142" s="51">
        <v>677.05</v>
      </c>
      <c r="AD142" s="51" t="s">
        <v>182</v>
      </c>
      <c r="AE142" s="51" t="s">
        <v>181</v>
      </c>
      <c r="AF142" s="51"/>
      <c r="AG142" s="51" t="s">
        <v>69</v>
      </c>
      <c r="AH142" s="51" t="s">
        <v>70</v>
      </c>
      <c r="AI142" s="51" t="s">
        <v>76</v>
      </c>
      <c r="AJ142" s="53">
        <v>42396</v>
      </c>
      <c r="AK142" s="51" t="s">
        <v>64</v>
      </c>
      <c r="AL142" s="53">
        <v>42390</v>
      </c>
      <c r="AM142" s="51" t="s">
        <v>100</v>
      </c>
      <c r="AN142" s="51">
        <v>62077315</v>
      </c>
      <c r="AO142" s="53">
        <v>42409</v>
      </c>
      <c r="AP142" s="51" t="s">
        <v>77</v>
      </c>
      <c r="AQ142" s="51" t="s">
        <v>2142</v>
      </c>
    </row>
    <row r="143" spans="1:43" x14ac:dyDescent="0.2">
      <c r="A143" s="51">
        <v>10020515</v>
      </c>
      <c r="B143" s="51">
        <v>480</v>
      </c>
      <c r="C143" s="51" t="s">
        <v>18</v>
      </c>
      <c r="D143" s="51" t="s">
        <v>592</v>
      </c>
      <c r="E143" s="53">
        <v>42390</v>
      </c>
      <c r="F143" s="51">
        <v>93651605</v>
      </c>
      <c r="G143" s="51">
        <v>480</v>
      </c>
      <c r="H143" s="51">
        <v>1201766</v>
      </c>
      <c r="I143" s="51" t="s">
        <v>143</v>
      </c>
      <c r="J143" s="51">
        <v>1157939</v>
      </c>
      <c r="K143" s="51" t="s">
        <v>143</v>
      </c>
      <c r="L143" s="51">
        <v>1201766</v>
      </c>
      <c r="M143" s="51" t="s">
        <v>143</v>
      </c>
      <c r="N143" s="51">
        <v>63087</v>
      </c>
      <c r="O143" s="51"/>
      <c r="P143" s="51"/>
      <c r="Q143" s="51">
        <v>62037086220</v>
      </c>
      <c r="R143" s="51" t="s">
        <v>1361</v>
      </c>
      <c r="S143" s="51" t="s">
        <v>1322</v>
      </c>
      <c r="T143" s="51" t="s">
        <v>1362</v>
      </c>
      <c r="U143" s="51" t="s">
        <v>1331</v>
      </c>
      <c r="V143" s="51" t="s">
        <v>2143</v>
      </c>
      <c r="W143" s="51">
        <v>10</v>
      </c>
      <c r="X143" s="51">
        <v>5</v>
      </c>
      <c r="Y143" s="51" t="s">
        <v>1332</v>
      </c>
      <c r="Z143" s="51">
        <v>100</v>
      </c>
      <c r="AA143" s="51" t="s">
        <v>182</v>
      </c>
      <c r="AB143" s="54">
        <v>1000</v>
      </c>
      <c r="AC143" s="51">
        <v>500</v>
      </c>
      <c r="AD143" s="51" t="s">
        <v>182</v>
      </c>
      <c r="AE143" s="51" t="s">
        <v>181</v>
      </c>
      <c r="AF143" s="51"/>
      <c r="AG143" s="51" t="s">
        <v>69</v>
      </c>
      <c r="AH143" s="51" t="s">
        <v>70</v>
      </c>
      <c r="AI143" s="51" t="s">
        <v>76</v>
      </c>
      <c r="AJ143" s="53">
        <v>42396</v>
      </c>
      <c r="AK143" s="51" t="s">
        <v>64</v>
      </c>
      <c r="AL143" s="53">
        <v>42390</v>
      </c>
      <c r="AM143" s="51" t="s">
        <v>100</v>
      </c>
      <c r="AN143" s="51">
        <v>62077315</v>
      </c>
      <c r="AO143" s="53">
        <v>42409</v>
      </c>
      <c r="AP143" s="51" t="s">
        <v>77</v>
      </c>
      <c r="AQ143" s="51" t="s">
        <v>2142</v>
      </c>
    </row>
    <row r="144" spans="1:43" x14ac:dyDescent="0.2">
      <c r="A144" s="51">
        <v>10020516</v>
      </c>
      <c r="B144" s="51">
        <v>10</v>
      </c>
      <c r="C144" s="51" t="s">
        <v>18</v>
      </c>
      <c r="D144" s="51" t="s">
        <v>573</v>
      </c>
      <c r="E144" s="53">
        <v>42390</v>
      </c>
      <c r="F144" s="51">
        <v>93658306</v>
      </c>
      <c r="G144" s="51">
        <v>10</v>
      </c>
      <c r="H144" s="51">
        <v>1201301</v>
      </c>
      <c r="I144" s="51" t="s">
        <v>378</v>
      </c>
      <c r="J144" s="51">
        <v>1058866</v>
      </c>
      <c r="K144" s="51" t="s">
        <v>379</v>
      </c>
      <c r="L144" s="51">
        <v>1171972</v>
      </c>
      <c r="M144" s="51" t="s">
        <v>379</v>
      </c>
      <c r="N144" s="51">
        <v>13122170</v>
      </c>
      <c r="O144" s="51"/>
      <c r="P144" s="51"/>
      <c r="Q144" s="51">
        <v>591322247</v>
      </c>
      <c r="R144" s="51" t="s">
        <v>1728</v>
      </c>
      <c r="S144" s="51" t="s">
        <v>1322</v>
      </c>
      <c r="T144" s="51" t="s">
        <v>1729</v>
      </c>
      <c r="U144" s="51" t="s">
        <v>1331</v>
      </c>
      <c r="V144" s="51"/>
      <c r="W144" s="51">
        <v>10</v>
      </c>
      <c r="X144" s="51">
        <v>1</v>
      </c>
      <c r="Y144" s="51" t="s">
        <v>1332</v>
      </c>
      <c r="Z144" s="51">
        <v>87.34</v>
      </c>
      <c r="AA144" s="51" t="s">
        <v>182</v>
      </c>
      <c r="AB144" s="51">
        <v>873.4</v>
      </c>
      <c r="AC144" s="51">
        <v>87.34</v>
      </c>
      <c r="AD144" s="51" t="s">
        <v>182</v>
      </c>
      <c r="AE144" s="51" t="s">
        <v>181</v>
      </c>
      <c r="AF144" s="51"/>
      <c r="AG144" s="51" t="s">
        <v>63</v>
      </c>
      <c r="AH144" s="51" t="s">
        <v>70</v>
      </c>
      <c r="AI144" s="51" t="s">
        <v>76</v>
      </c>
      <c r="AJ144" s="53">
        <v>42396</v>
      </c>
      <c r="AK144" s="51" t="s">
        <v>64</v>
      </c>
      <c r="AL144" s="53">
        <v>42390</v>
      </c>
      <c r="AM144" s="51"/>
      <c r="AN144" s="51"/>
      <c r="AO144" s="51"/>
      <c r="AP144" s="51" t="s">
        <v>77</v>
      </c>
      <c r="AQ144" s="51" t="s">
        <v>2144</v>
      </c>
    </row>
    <row r="145" spans="1:43" x14ac:dyDescent="0.2">
      <c r="A145" s="51">
        <v>10020517</v>
      </c>
      <c r="B145" s="51">
        <v>30</v>
      </c>
      <c r="C145" s="51" t="s">
        <v>18</v>
      </c>
      <c r="D145" s="51" t="s">
        <v>573</v>
      </c>
      <c r="E145" s="53">
        <v>42390</v>
      </c>
      <c r="F145" s="51">
        <v>93660939</v>
      </c>
      <c r="G145" s="51">
        <v>30</v>
      </c>
      <c r="H145" s="51">
        <v>1201675</v>
      </c>
      <c r="I145" s="51" t="s">
        <v>165</v>
      </c>
      <c r="J145" s="51">
        <v>1201675</v>
      </c>
      <c r="K145" s="51" t="s">
        <v>165</v>
      </c>
      <c r="L145" s="51">
        <v>1172015</v>
      </c>
      <c r="M145" s="51" t="s">
        <v>165</v>
      </c>
      <c r="N145" s="51" t="s">
        <v>2145</v>
      </c>
      <c r="O145" s="51"/>
      <c r="P145" s="51"/>
      <c r="Q145" s="51">
        <v>591376830</v>
      </c>
      <c r="R145" s="51" t="s">
        <v>1590</v>
      </c>
      <c r="S145" s="51" t="s">
        <v>1322</v>
      </c>
      <c r="T145" s="51" t="s">
        <v>1591</v>
      </c>
      <c r="U145" s="51" t="s">
        <v>1331</v>
      </c>
      <c r="V145" s="51" t="s">
        <v>2146</v>
      </c>
      <c r="W145" s="51">
        <v>288</v>
      </c>
      <c r="X145" s="51">
        <v>48</v>
      </c>
      <c r="Y145" s="51" t="s">
        <v>1332</v>
      </c>
      <c r="Z145" s="51">
        <v>265.89999999999998</v>
      </c>
      <c r="AA145" s="51" t="s">
        <v>182</v>
      </c>
      <c r="AB145" s="54">
        <v>76579.199999999997</v>
      </c>
      <c r="AC145" s="54">
        <v>12763.2</v>
      </c>
      <c r="AD145" s="51" t="s">
        <v>182</v>
      </c>
      <c r="AE145" s="51" t="s">
        <v>181</v>
      </c>
      <c r="AF145" s="51"/>
      <c r="AG145" s="51" t="s">
        <v>63</v>
      </c>
      <c r="AH145" s="51" t="s">
        <v>70</v>
      </c>
      <c r="AI145" s="51" t="s">
        <v>76</v>
      </c>
      <c r="AJ145" s="53">
        <v>42396</v>
      </c>
      <c r="AK145" s="51" t="s">
        <v>64</v>
      </c>
      <c r="AL145" s="53">
        <v>42390</v>
      </c>
      <c r="AM145" s="51"/>
      <c r="AN145" s="51"/>
      <c r="AO145" s="51"/>
      <c r="AP145" s="51" t="s">
        <v>77</v>
      </c>
      <c r="AQ145" s="51" t="s">
        <v>2147</v>
      </c>
    </row>
    <row r="146" spans="1:43" x14ac:dyDescent="0.2">
      <c r="A146" s="51">
        <v>10020518</v>
      </c>
      <c r="B146" s="51">
        <v>60</v>
      </c>
      <c r="C146" s="51" t="s">
        <v>26</v>
      </c>
      <c r="D146" s="51" t="s">
        <v>78</v>
      </c>
      <c r="E146" s="53">
        <v>42390</v>
      </c>
      <c r="F146" s="51">
        <v>93649416</v>
      </c>
      <c r="G146" s="51">
        <v>60</v>
      </c>
      <c r="H146" s="51">
        <v>1201120</v>
      </c>
      <c r="I146" s="51" t="s">
        <v>117</v>
      </c>
      <c r="J146" s="51">
        <v>1307782</v>
      </c>
      <c r="K146" s="51" t="s">
        <v>119</v>
      </c>
      <c r="L146" s="51">
        <v>1171090</v>
      </c>
      <c r="M146" s="51" t="s">
        <v>118</v>
      </c>
      <c r="N146" s="51" t="s">
        <v>2148</v>
      </c>
      <c r="O146" s="51"/>
      <c r="P146" s="51"/>
      <c r="Q146" s="51">
        <v>52544003960</v>
      </c>
      <c r="R146" s="51" t="s">
        <v>2149</v>
      </c>
      <c r="S146" s="51" t="s">
        <v>1340</v>
      </c>
      <c r="T146" s="51" t="s">
        <v>2150</v>
      </c>
      <c r="U146" s="51">
        <v>2</v>
      </c>
      <c r="V146" s="51" t="s">
        <v>2151</v>
      </c>
      <c r="W146" s="51">
        <v>48</v>
      </c>
      <c r="X146" s="51">
        <v>6</v>
      </c>
      <c r="Y146" s="51" t="s">
        <v>1332</v>
      </c>
      <c r="Z146" s="51">
        <v>709.78</v>
      </c>
      <c r="AA146" s="51" t="s">
        <v>182</v>
      </c>
      <c r="AB146" s="54">
        <v>34069.440000000002</v>
      </c>
      <c r="AC146" s="54">
        <v>4258.68</v>
      </c>
      <c r="AD146" s="51" t="s">
        <v>182</v>
      </c>
      <c r="AE146" s="51" t="s">
        <v>181</v>
      </c>
      <c r="AF146" s="51"/>
      <c r="AG146" s="51" t="s">
        <v>63</v>
      </c>
      <c r="AH146" s="51" t="s">
        <v>70</v>
      </c>
      <c r="AI146" s="51" t="s">
        <v>82</v>
      </c>
      <c r="AJ146" s="53">
        <v>42402</v>
      </c>
      <c r="AK146" s="51" t="s">
        <v>64</v>
      </c>
      <c r="AL146" s="53">
        <v>42390</v>
      </c>
      <c r="AM146" s="51"/>
      <c r="AN146" s="51"/>
      <c r="AO146" s="51"/>
      <c r="AP146" s="51" t="s">
        <v>2152</v>
      </c>
      <c r="AQ146" s="51" t="s">
        <v>2153</v>
      </c>
    </row>
    <row r="147" spans="1:43" x14ac:dyDescent="0.2">
      <c r="A147" s="51">
        <v>10020519</v>
      </c>
      <c r="B147" s="51">
        <v>620</v>
      </c>
      <c r="C147" s="51" t="s">
        <v>26</v>
      </c>
      <c r="D147" s="51" t="s">
        <v>573</v>
      </c>
      <c r="E147" s="53">
        <v>42390</v>
      </c>
      <c r="F147" s="51">
        <v>93656808</v>
      </c>
      <c r="G147" s="51">
        <v>620</v>
      </c>
      <c r="H147" s="51">
        <v>1201047</v>
      </c>
      <c r="I147" s="51" t="s">
        <v>79</v>
      </c>
      <c r="J147" s="51">
        <v>1307128</v>
      </c>
      <c r="K147" s="51" t="s">
        <v>85</v>
      </c>
      <c r="L147" s="51">
        <v>1171089</v>
      </c>
      <c r="M147" s="51" t="s">
        <v>75</v>
      </c>
      <c r="N147" s="51">
        <v>10498776</v>
      </c>
      <c r="O147" s="51"/>
      <c r="P147" s="51"/>
      <c r="Q147" s="51">
        <v>591058201</v>
      </c>
      <c r="R147" s="51" t="s">
        <v>2154</v>
      </c>
      <c r="S147" s="51" t="s">
        <v>1322</v>
      </c>
      <c r="T147" s="51" t="s">
        <v>2155</v>
      </c>
      <c r="U147" s="51" t="s">
        <v>1331</v>
      </c>
      <c r="V147" s="51" t="s">
        <v>2156</v>
      </c>
      <c r="W147" s="51">
        <v>96</v>
      </c>
      <c r="X147" s="51">
        <v>48</v>
      </c>
      <c r="Y147" s="51" t="s">
        <v>1332</v>
      </c>
      <c r="Z147" s="51">
        <v>38.53</v>
      </c>
      <c r="AA147" s="51" t="s">
        <v>182</v>
      </c>
      <c r="AB147" s="54">
        <v>3698.88</v>
      </c>
      <c r="AC147" s="54">
        <v>1849.44</v>
      </c>
      <c r="AD147" s="51" t="s">
        <v>182</v>
      </c>
      <c r="AE147" s="51" t="s">
        <v>181</v>
      </c>
      <c r="AF147" s="51"/>
      <c r="AG147" s="51" t="s">
        <v>63</v>
      </c>
      <c r="AH147" s="51" t="s">
        <v>81</v>
      </c>
      <c r="AI147" s="51" t="s">
        <v>82</v>
      </c>
      <c r="AJ147" s="53">
        <v>42408</v>
      </c>
      <c r="AK147" s="51" t="s">
        <v>64</v>
      </c>
      <c r="AL147" s="53">
        <v>42390</v>
      </c>
      <c r="AM147" s="51"/>
      <c r="AN147" s="51"/>
      <c r="AO147" s="51"/>
      <c r="AP147" s="51" t="s">
        <v>84</v>
      </c>
      <c r="AQ147" s="51" t="s">
        <v>2157</v>
      </c>
    </row>
    <row r="148" spans="1:43" x14ac:dyDescent="0.2">
      <c r="A148" s="51">
        <v>10020521</v>
      </c>
      <c r="B148" s="51">
        <v>320</v>
      </c>
      <c r="C148" s="51" t="s">
        <v>26</v>
      </c>
      <c r="D148" s="51" t="s">
        <v>573</v>
      </c>
      <c r="E148" s="53">
        <v>42391</v>
      </c>
      <c r="F148" s="51">
        <v>93659575</v>
      </c>
      <c r="G148" s="51">
        <v>320</v>
      </c>
      <c r="H148" s="51">
        <v>1201547</v>
      </c>
      <c r="I148" s="51" t="s">
        <v>305</v>
      </c>
      <c r="J148" s="51">
        <v>1201547</v>
      </c>
      <c r="K148" s="51" t="s">
        <v>305</v>
      </c>
      <c r="L148" s="51">
        <v>1201547</v>
      </c>
      <c r="M148" s="51" t="s">
        <v>305</v>
      </c>
      <c r="N148" s="51">
        <v>96354</v>
      </c>
      <c r="O148" s="51"/>
      <c r="P148" s="51"/>
      <c r="Q148" s="51">
        <v>45963043864</v>
      </c>
      <c r="R148" s="51" t="s">
        <v>2158</v>
      </c>
      <c r="S148" s="51" t="s">
        <v>1322</v>
      </c>
      <c r="T148" s="51" t="s">
        <v>2159</v>
      </c>
      <c r="U148" s="51" t="s">
        <v>1331</v>
      </c>
      <c r="V148" s="51"/>
      <c r="W148" s="51">
        <v>288</v>
      </c>
      <c r="X148" s="51">
        <v>36</v>
      </c>
      <c r="Y148" s="51" t="s">
        <v>1332</v>
      </c>
      <c r="Z148" s="51">
        <v>7.06</v>
      </c>
      <c r="AA148" s="51" t="s">
        <v>182</v>
      </c>
      <c r="AB148" s="54">
        <v>2033.28</v>
      </c>
      <c r="AC148" s="51">
        <v>254.16</v>
      </c>
      <c r="AD148" s="51" t="s">
        <v>182</v>
      </c>
      <c r="AE148" s="51" t="s">
        <v>181</v>
      </c>
      <c r="AF148" s="51"/>
      <c r="AG148" s="51" t="s">
        <v>69</v>
      </c>
      <c r="AH148" s="51" t="s">
        <v>94</v>
      </c>
      <c r="AI148" s="51" t="s">
        <v>95</v>
      </c>
      <c r="AJ148" s="53">
        <v>42402</v>
      </c>
      <c r="AK148" s="51" t="s">
        <v>64</v>
      </c>
      <c r="AL148" s="53">
        <v>42391</v>
      </c>
      <c r="AM148" s="51" t="s">
        <v>100</v>
      </c>
      <c r="AN148" s="51">
        <v>62077304</v>
      </c>
      <c r="AO148" s="53">
        <v>42409</v>
      </c>
      <c r="AP148" s="51" t="s">
        <v>96</v>
      </c>
      <c r="AQ148" s="51" t="s">
        <v>2160</v>
      </c>
    </row>
    <row r="149" spans="1:43" x14ac:dyDescent="0.2">
      <c r="A149" s="51">
        <v>10020522</v>
      </c>
      <c r="B149" s="51">
        <v>1730</v>
      </c>
      <c r="C149" s="51" t="s">
        <v>22</v>
      </c>
      <c r="D149" s="51" t="s">
        <v>432</v>
      </c>
      <c r="E149" s="53">
        <v>42391</v>
      </c>
      <c r="F149" s="51">
        <v>93621169</v>
      </c>
      <c r="G149" s="51">
        <v>1730</v>
      </c>
      <c r="H149" s="51">
        <v>1201432</v>
      </c>
      <c r="I149" s="51" t="s">
        <v>660</v>
      </c>
      <c r="J149" s="51">
        <v>1306711</v>
      </c>
      <c r="K149" s="51" t="s">
        <v>660</v>
      </c>
      <c r="L149" s="51">
        <v>1172008</v>
      </c>
      <c r="M149" s="51" t="s">
        <v>660</v>
      </c>
      <c r="N149" s="51">
        <v>345739</v>
      </c>
      <c r="O149" s="51"/>
      <c r="P149" s="51"/>
      <c r="Q149" s="51">
        <v>591544301</v>
      </c>
      <c r="R149" s="51" t="s">
        <v>2161</v>
      </c>
      <c r="S149" s="51" t="s">
        <v>1322</v>
      </c>
      <c r="T149" s="51" t="s">
        <v>2162</v>
      </c>
      <c r="U149" s="51" t="s">
        <v>1331</v>
      </c>
      <c r="V149" s="51">
        <v>4336316</v>
      </c>
      <c r="W149" s="51">
        <v>72</v>
      </c>
      <c r="X149" s="51">
        <v>48</v>
      </c>
      <c r="Y149" s="51" t="s">
        <v>1332</v>
      </c>
      <c r="Z149" s="51">
        <v>20.72</v>
      </c>
      <c r="AA149" s="51" t="s">
        <v>182</v>
      </c>
      <c r="AB149" s="54">
        <v>1491.84</v>
      </c>
      <c r="AC149" s="51">
        <v>994.56</v>
      </c>
      <c r="AD149" s="51" t="s">
        <v>182</v>
      </c>
      <c r="AE149" s="51" t="s">
        <v>181</v>
      </c>
      <c r="AF149" s="51"/>
      <c r="AG149" s="51" t="s">
        <v>63</v>
      </c>
      <c r="AH149" s="51" t="s">
        <v>94</v>
      </c>
      <c r="AI149" s="51" t="s">
        <v>141</v>
      </c>
      <c r="AJ149" s="53">
        <v>42418</v>
      </c>
      <c r="AK149" s="51" t="s">
        <v>64</v>
      </c>
      <c r="AL149" s="53">
        <v>42391</v>
      </c>
      <c r="AM149" s="51"/>
      <c r="AN149" s="51"/>
      <c r="AO149" s="51"/>
      <c r="AP149" s="51" t="s">
        <v>142</v>
      </c>
      <c r="AQ149" s="51" t="s">
        <v>2163</v>
      </c>
    </row>
    <row r="150" spans="1:43" x14ac:dyDescent="0.2">
      <c r="A150" s="51">
        <v>10020526</v>
      </c>
      <c r="B150" s="51">
        <v>330</v>
      </c>
      <c r="C150" s="51" t="s">
        <v>26</v>
      </c>
      <c r="D150" s="51" t="s">
        <v>573</v>
      </c>
      <c r="E150" s="53">
        <v>42391</v>
      </c>
      <c r="F150" s="51">
        <v>93612222</v>
      </c>
      <c r="G150" s="51">
        <v>330</v>
      </c>
      <c r="H150" s="51">
        <v>1201315</v>
      </c>
      <c r="I150" s="51" t="s">
        <v>256</v>
      </c>
      <c r="J150" s="51">
        <v>1319408</v>
      </c>
      <c r="K150" s="51" t="s">
        <v>256</v>
      </c>
      <c r="L150" s="51">
        <v>1201315</v>
      </c>
      <c r="M150" s="51" t="s">
        <v>256</v>
      </c>
      <c r="N150" s="51">
        <v>5670908</v>
      </c>
      <c r="O150" s="51"/>
      <c r="P150" s="51"/>
      <c r="Q150" s="51">
        <v>591058301</v>
      </c>
      <c r="R150" s="51" t="s">
        <v>2164</v>
      </c>
      <c r="S150" s="51" t="s">
        <v>1322</v>
      </c>
      <c r="T150" s="51" t="s">
        <v>2155</v>
      </c>
      <c r="U150" s="51" t="s">
        <v>1331</v>
      </c>
      <c r="V150" s="51" t="s">
        <v>2165</v>
      </c>
      <c r="W150" s="51">
        <v>2</v>
      </c>
      <c r="X150" s="51">
        <v>1</v>
      </c>
      <c r="Y150" s="51" t="s">
        <v>1332</v>
      </c>
      <c r="Z150" s="51">
        <v>50.66</v>
      </c>
      <c r="AA150" s="51" t="s">
        <v>182</v>
      </c>
      <c r="AB150" s="51">
        <v>101.32</v>
      </c>
      <c r="AC150" s="51">
        <v>50.66</v>
      </c>
      <c r="AD150" s="51" t="s">
        <v>182</v>
      </c>
      <c r="AE150" s="51" t="s">
        <v>181</v>
      </c>
      <c r="AF150" s="51"/>
      <c r="AG150" s="51" t="s">
        <v>69</v>
      </c>
      <c r="AH150" s="51" t="s">
        <v>94</v>
      </c>
      <c r="AI150" s="51" t="s">
        <v>95</v>
      </c>
      <c r="AJ150" s="53">
        <v>42408</v>
      </c>
      <c r="AK150" s="51" t="s">
        <v>64</v>
      </c>
      <c r="AL150" s="53">
        <v>42391</v>
      </c>
      <c r="AM150" s="51" t="s">
        <v>100</v>
      </c>
      <c r="AN150" s="51">
        <v>62085637</v>
      </c>
      <c r="AO150" s="53">
        <v>42422</v>
      </c>
      <c r="AP150" s="51" t="s">
        <v>96</v>
      </c>
      <c r="AQ150" s="51" t="s">
        <v>2166</v>
      </c>
    </row>
    <row r="151" spans="1:43" x14ac:dyDescent="0.2">
      <c r="A151" s="51">
        <v>10020527</v>
      </c>
      <c r="B151" s="51">
        <v>450</v>
      </c>
      <c r="C151" s="51" t="s">
        <v>18</v>
      </c>
      <c r="D151" s="51" t="s">
        <v>573</v>
      </c>
      <c r="E151" s="53">
        <v>42391</v>
      </c>
      <c r="F151" s="51">
        <v>93656977</v>
      </c>
      <c r="G151" s="51">
        <v>450</v>
      </c>
      <c r="H151" s="51">
        <v>1201315</v>
      </c>
      <c r="I151" s="51" t="s">
        <v>256</v>
      </c>
      <c r="J151" s="51">
        <v>1319408</v>
      </c>
      <c r="K151" s="51" t="s">
        <v>256</v>
      </c>
      <c r="L151" s="51">
        <v>1201315</v>
      </c>
      <c r="M151" s="51" t="s">
        <v>256</v>
      </c>
      <c r="N151" s="51">
        <v>5699777</v>
      </c>
      <c r="O151" s="51"/>
      <c r="P151" s="51"/>
      <c r="Q151" s="51">
        <v>45963055550</v>
      </c>
      <c r="R151" s="51" t="s">
        <v>1366</v>
      </c>
      <c r="S151" s="51" t="s">
        <v>1322</v>
      </c>
      <c r="T151" s="51" t="s">
        <v>1367</v>
      </c>
      <c r="U151" s="51" t="s">
        <v>1331</v>
      </c>
      <c r="V151" s="55">
        <v>1.9650000000000001E+154</v>
      </c>
      <c r="W151" s="51">
        <v>36</v>
      </c>
      <c r="X151" s="51">
        <v>2</v>
      </c>
      <c r="Y151" s="51" t="s">
        <v>1332</v>
      </c>
      <c r="Z151" s="51">
        <v>30</v>
      </c>
      <c r="AA151" s="51" t="s">
        <v>182</v>
      </c>
      <c r="AB151" s="54">
        <v>1080</v>
      </c>
      <c r="AC151" s="51">
        <v>60</v>
      </c>
      <c r="AD151" s="51" t="s">
        <v>182</v>
      </c>
      <c r="AE151" s="51" t="s">
        <v>181</v>
      </c>
      <c r="AF151" s="51"/>
      <c r="AG151" s="51" t="s">
        <v>69</v>
      </c>
      <c r="AH151" s="51" t="s">
        <v>70</v>
      </c>
      <c r="AI151" s="51" t="s">
        <v>76</v>
      </c>
      <c r="AJ151" s="53">
        <v>42396</v>
      </c>
      <c r="AK151" s="51" t="s">
        <v>64</v>
      </c>
      <c r="AL151" s="53">
        <v>42391</v>
      </c>
      <c r="AM151" s="51" t="s">
        <v>100</v>
      </c>
      <c r="AN151" s="51">
        <v>62086909</v>
      </c>
      <c r="AO151" s="53">
        <v>42424</v>
      </c>
      <c r="AP151" s="51" t="s">
        <v>77</v>
      </c>
      <c r="AQ151" s="51" t="s">
        <v>211</v>
      </c>
    </row>
    <row r="152" spans="1:43" x14ac:dyDescent="0.2">
      <c r="A152" s="51">
        <v>10020528</v>
      </c>
      <c r="B152" s="51">
        <v>170</v>
      </c>
      <c r="C152" s="51" t="s">
        <v>18</v>
      </c>
      <c r="D152" s="51" t="s">
        <v>573</v>
      </c>
      <c r="E152" s="53">
        <v>42391</v>
      </c>
      <c r="F152" s="51">
        <v>93660728</v>
      </c>
      <c r="G152" s="51">
        <v>170</v>
      </c>
      <c r="H152" s="51">
        <v>1201120</v>
      </c>
      <c r="I152" s="51" t="s">
        <v>117</v>
      </c>
      <c r="J152" s="51">
        <v>1307782</v>
      </c>
      <c r="K152" s="51" t="s">
        <v>119</v>
      </c>
      <c r="L152" s="51">
        <v>1171090</v>
      </c>
      <c r="M152" s="51" t="s">
        <v>118</v>
      </c>
      <c r="N152" s="51" t="s">
        <v>2126</v>
      </c>
      <c r="O152" s="51"/>
      <c r="P152" s="51"/>
      <c r="Q152" s="51">
        <v>16252060144</v>
      </c>
      <c r="R152" s="51" t="s">
        <v>1350</v>
      </c>
      <c r="S152" s="51" t="s">
        <v>1322</v>
      </c>
      <c r="T152" s="51" t="s">
        <v>1351</v>
      </c>
      <c r="U152" s="51" t="s">
        <v>1331</v>
      </c>
      <c r="V152" s="51">
        <v>1151418</v>
      </c>
      <c r="W152" s="51">
        <v>1560</v>
      </c>
      <c r="X152" s="51">
        <v>104</v>
      </c>
      <c r="Y152" s="51" t="s">
        <v>1332</v>
      </c>
      <c r="Z152" s="51">
        <v>3.5</v>
      </c>
      <c r="AA152" s="51" t="s">
        <v>182</v>
      </c>
      <c r="AB152" s="54">
        <v>5460</v>
      </c>
      <c r="AC152" s="51">
        <v>364</v>
      </c>
      <c r="AD152" s="51" t="s">
        <v>182</v>
      </c>
      <c r="AE152" s="51" t="s">
        <v>181</v>
      </c>
      <c r="AF152" s="51" t="s">
        <v>97</v>
      </c>
      <c r="AG152" s="51" t="s">
        <v>69</v>
      </c>
      <c r="AH152" s="51" t="s">
        <v>70</v>
      </c>
      <c r="AI152" s="51" t="s">
        <v>76</v>
      </c>
      <c r="AJ152" s="53">
        <v>42396</v>
      </c>
      <c r="AK152" s="51" t="s">
        <v>64</v>
      </c>
      <c r="AL152" s="53">
        <v>42391</v>
      </c>
      <c r="AM152" s="51" t="s">
        <v>100</v>
      </c>
      <c r="AN152" s="51">
        <v>62080820</v>
      </c>
      <c r="AO152" s="53">
        <v>42415</v>
      </c>
      <c r="AP152" s="51" t="s">
        <v>77</v>
      </c>
      <c r="AQ152" s="51" t="s">
        <v>2167</v>
      </c>
    </row>
    <row r="153" spans="1:43" x14ac:dyDescent="0.2">
      <c r="A153" s="51">
        <v>10020529</v>
      </c>
      <c r="B153" s="51">
        <v>890</v>
      </c>
      <c r="C153" s="51" t="s">
        <v>18</v>
      </c>
      <c r="D153" s="51" t="s">
        <v>573</v>
      </c>
      <c r="E153" s="53">
        <v>42391</v>
      </c>
      <c r="F153" s="51">
        <v>93661900</v>
      </c>
      <c r="G153" s="51">
        <v>890</v>
      </c>
      <c r="H153" s="51">
        <v>1201162</v>
      </c>
      <c r="I153" s="51" t="s">
        <v>137</v>
      </c>
      <c r="J153" s="51">
        <v>1320192</v>
      </c>
      <c r="K153" s="51" t="s">
        <v>450</v>
      </c>
      <c r="L153" s="51">
        <v>1201162</v>
      </c>
      <c r="M153" s="51" t="s">
        <v>137</v>
      </c>
      <c r="N153" s="51" t="s">
        <v>2168</v>
      </c>
      <c r="O153" s="51"/>
      <c r="P153" s="51"/>
      <c r="Q153" s="51">
        <v>62037099905</v>
      </c>
      <c r="R153" s="51" t="s">
        <v>2169</v>
      </c>
      <c r="S153" s="51" t="s">
        <v>1322</v>
      </c>
      <c r="T153" s="51" t="s">
        <v>1396</v>
      </c>
      <c r="U153" s="51" t="s">
        <v>1331</v>
      </c>
      <c r="V153" s="51">
        <v>410586</v>
      </c>
      <c r="W153" s="51">
        <v>4</v>
      </c>
      <c r="X153" s="51">
        <v>1</v>
      </c>
      <c r="Y153" s="51" t="s">
        <v>1332</v>
      </c>
      <c r="Z153" s="51">
        <v>250.96</v>
      </c>
      <c r="AA153" s="51" t="s">
        <v>182</v>
      </c>
      <c r="AB153" s="54">
        <v>1003.84</v>
      </c>
      <c r="AC153" s="51">
        <v>250.96</v>
      </c>
      <c r="AD153" s="51" t="s">
        <v>182</v>
      </c>
      <c r="AE153" s="51" t="s">
        <v>181</v>
      </c>
      <c r="AF153" s="51" t="s">
        <v>97</v>
      </c>
      <c r="AG153" s="51" t="s">
        <v>63</v>
      </c>
      <c r="AH153" s="51" t="s">
        <v>70</v>
      </c>
      <c r="AI153" s="51" t="s">
        <v>76</v>
      </c>
      <c r="AJ153" s="53">
        <v>42396</v>
      </c>
      <c r="AK153" s="51" t="s">
        <v>64</v>
      </c>
      <c r="AL153" s="53">
        <v>42391</v>
      </c>
      <c r="AM153" s="51"/>
      <c r="AN153" s="51"/>
      <c r="AO153" s="51"/>
      <c r="AP153" s="51" t="s">
        <v>77</v>
      </c>
      <c r="AQ153" s="51" t="s">
        <v>2170</v>
      </c>
    </row>
    <row r="154" spans="1:43" x14ac:dyDescent="0.2">
      <c r="A154" s="51">
        <v>10020530</v>
      </c>
      <c r="B154" s="51">
        <v>10</v>
      </c>
      <c r="C154" s="51" t="s">
        <v>26</v>
      </c>
      <c r="D154" s="51" t="s">
        <v>432</v>
      </c>
      <c r="E154" s="53">
        <v>42391</v>
      </c>
      <c r="F154" s="51">
        <v>93660818</v>
      </c>
      <c r="G154" s="51">
        <v>10</v>
      </c>
      <c r="H154" s="51">
        <v>1201399</v>
      </c>
      <c r="I154" s="51" t="s">
        <v>144</v>
      </c>
      <c r="J154" s="51">
        <v>1323198</v>
      </c>
      <c r="K154" s="51" t="s">
        <v>145</v>
      </c>
      <c r="L154" s="51">
        <v>1171970</v>
      </c>
      <c r="M154" s="51" t="s">
        <v>144</v>
      </c>
      <c r="N154" s="51">
        <v>8144835559</v>
      </c>
      <c r="O154" s="51"/>
      <c r="P154" s="51"/>
      <c r="Q154" s="51">
        <v>472034356</v>
      </c>
      <c r="R154" s="51" t="s">
        <v>2171</v>
      </c>
      <c r="S154" s="51" t="s">
        <v>1459</v>
      </c>
      <c r="T154" s="51" t="s">
        <v>2117</v>
      </c>
      <c r="U154" s="51" t="s">
        <v>1459</v>
      </c>
      <c r="V154" s="51"/>
      <c r="W154" s="51">
        <v>288</v>
      </c>
      <c r="X154" s="51">
        <v>48</v>
      </c>
      <c r="Y154" s="51" t="s">
        <v>1332</v>
      </c>
      <c r="Z154" s="51">
        <v>1.32</v>
      </c>
      <c r="AA154" s="51" t="s">
        <v>182</v>
      </c>
      <c r="AB154" s="51">
        <v>380.16</v>
      </c>
      <c r="AC154" s="51">
        <v>63.36</v>
      </c>
      <c r="AD154" s="51" t="s">
        <v>182</v>
      </c>
      <c r="AE154" s="51" t="s">
        <v>181</v>
      </c>
      <c r="AF154" s="51" t="s">
        <v>97</v>
      </c>
      <c r="AG154" s="51" t="s">
        <v>63</v>
      </c>
      <c r="AH154" s="51" t="s">
        <v>94</v>
      </c>
      <c r="AI154" s="51" t="s">
        <v>95</v>
      </c>
      <c r="AJ154" s="53">
        <v>42402</v>
      </c>
      <c r="AK154" s="51" t="s">
        <v>64</v>
      </c>
      <c r="AL154" s="53">
        <v>42391</v>
      </c>
      <c r="AM154" s="51"/>
      <c r="AN154" s="51"/>
      <c r="AO154" s="51"/>
      <c r="AP154" s="51" t="s">
        <v>96</v>
      </c>
      <c r="AQ154" s="51" t="s">
        <v>2172</v>
      </c>
    </row>
    <row r="155" spans="1:43" x14ac:dyDescent="0.2">
      <c r="A155" s="51">
        <v>10020531</v>
      </c>
      <c r="B155" s="51">
        <v>2360</v>
      </c>
      <c r="C155" s="51" t="s">
        <v>26</v>
      </c>
      <c r="D155" s="51" t="s">
        <v>149</v>
      </c>
      <c r="E155" s="53">
        <v>42394</v>
      </c>
      <c r="F155" s="51">
        <v>93659328</v>
      </c>
      <c r="G155" s="51">
        <v>2360</v>
      </c>
      <c r="H155" s="51">
        <v>1201047</v>
      </c>
      <c r="I155" s="51" t="s">
        <v>79</v>
      </c>
      <c r="J155" s="51">
        <v>1051549</v>
      </c>
      <c r="K155" s="51" t="s">
        <v>85</v>
      </c>
      <c r="L155" s="51">
        <v>1171089</v>
      </c>
      <c r="M155" s="51" t="s">
        <v>75</v>
      </c>
      <c r="N155" s="51">
        <v>12920542</v>
      </c>
      <c r="O155" s="51"/>
      <c r="P155" s="51"/>
      <c r="Q155" s="51">
        <v>45963014190</v>
      </c>
      <c r="R155" s="51" t="s">
        <v>1598</v>
      </c>
      <c r="S155" s="51" t="s">
        <v>1322</v>
      </c>
      <c r="T155" s="51" t="s">
        <v>1599</v>
      </c>
      <c r="U155" s="51" t="s">
        <v>1331</v>
      </c>
      <c r="V155" s="51" t="s">
        <v>2173</v>
      </c>
      <c r="W155" s="51">
        <v>564</v>
      </c>
      <c r="X155" s="51">
        <v>312</v>
      </c>
      <c r="Y155" s="51" t="s">
        <v>1332</v>
      </c>
      <c r="Z155" s="51">
        <v>117.45</v>
      </c>
      <c r="AA155" s="51" t="s">
        <v>182</v>
      </c>
      <c r="AB155" s="54">
        <v>66241.8</v>
      </c>
      <c r="AC155" s="54">
        <v>36644.400000000001</v>
      </c>
      <c r="AD155" s="51" t="s">
        <v>182</v>
      </c>
      <c r="AE155" s="51" t="s">
        <v>181</v>
      </c>
      <c r="AF155" s="51" t="s">
        <v>97</v>
      </c>
      <c r="AG155" s="51" t="s">
        <v>63</v>
      </c>
      <c r="AH155" s="51" t="s">
        <v>94</v>
      </c>
      <c r="AI155" s="51" t="s">
        <v>95</v>
      </c>
      <c r="AJ155" s="53">
        <v>42401</v>
      </c>
      <c r="AK155" s="51"/>
      <c r="AL155" s="51"/>
      <c r="AM155" s="51"/>
      <c r="AN155" s="51"/>
      <c r="AO155" s="51"/>
      <c r="AP155" s="51" t="s">
        <v>96</v>
      </c>
      <c r="AQ155" s="51" t="s">
        <v>2174</v>
      </c>
    </row>
    <row r="156" spans="1:43" x14ac:dyDescent="0.2">
      <c r="A156" s="51">
        <v>10020532</v>
      </c>
      <c r="B156" s="51">
        <v>2050</v>
      </c>
      <c r="C156" s="51" t="s">
        <v>26</v>
      </c>
      <c r="D156" s="51" t="s">
        <v>149</v>
      </c>
      <c r="E156" s="53">
        <v>42394</v>
      </c>
      <c r="F156" s="51">
        <v>93659327</v>
      </c>
      <c r="G156" s="51">
        <v>2050</v>
      </c>
      <c r="H156" s="51">
        <v>1201047</v>
      </c>
      <c r="I156" s="51" t="s">
        <v>79</v>
      </c>
      <c r="J156" s="51">
        <v>1300235</v>
      </c>
      <c r="K156" s="51" t="s">
        <v>109</v>
      </c>
      <c r="L156" s="51">
        <v>1171089</v>
      </c>
      <c r="M156" s="51" t="s">
        <v>75</v>
      </c>
      <c r="N156" s="51">
        <v>8380946</v>
      </c>
      <c r="O156" s="51"/>
      <c r="P156" s="51"/>
      <c r="Q156" s="51">
        <v>472390115</v>
      </c>
      <c r="R156" s="51" t="s">
        <v>1660</v>
      </c>
      <c r="S156" s="51" t="s">
        <v>1322</v>
      </c>
      <c r="T156" s="51" t="s">
        <v>1661</v>
      </c>
      <c r="U156" s="51" t="s">
        <v>1331</v>
      </c>
      <c r="V156" s="51">
        <v>66300062</v>
      </c>
      <c r="W156" s="51">
        <v>72</v>
      </c>
      <c r="X156" s="51">
        <v>72</v>
      </c>
      <c r="Y156" s="51" t="s">
        <v>1332</v>
      </c>
      <c r="Z156" s="51">
        <v>36.44</v>
      </c>
      <c r="AA156" s="51" t="s">
        <v>182</v>
      </c>
      <c r="AB156" s="54">
        <v>2623.68</v>
      </c>
      <c r="AC156" s="54">
        <v>2623.68</v>
      </c>
      <c r="AD156" s="51" t="s">
        <v>182</v>
      </c>
      <c r="AE156" s="51" t="s">
        <v>181</v>
      </c>
      <c r="AF156" s="51" t="s">
        <v>97</v>
      </c>
      <c r="AG156" s="51" t="s">
        <v>63</v>
      </c>
      <c r="AH156" s="51" t="s">
        <v>81</v>
      </c>
      <c r="AI156" s="51" t="s">
        <v>88</v>
      </c>
      <c r="AJ156" s="53">
        <v>42408</v>
      </c>
      <c r="AK156" s="51" t="s">
        <v>64</v>
      </c>
      <c r="AL156" s="53">
        <v>42394</v>
      </c>
      <c r="AM156" s="51"/>
      <c r="AN156" s="51"/>
      <c r="AO156" s="51"/>
      <c r="AP156" s="51" t="s">
        <v>89</v>
      </c>
      <c r="AQ156" s="51" t="s">
        <v>300</v>
      </c>
    </row>
    <row r="157" spans="1:43" x14ac:dyDescent="0.2">
      <c r="A157" s="51">
        <v>10020533</v>
      </c>
      <c r="B157" s="51">
        <v>1390</v>
      </c>
      <c r="C157" s="51" t="s">
        <v>18</v>
      </c>
      <c r="D157" s="51" t="s">
        <v>149</v>
      </c>
      <c r="E157" s="53">
        <v>42394</v>
      </c>
      <c r="F157" s="51">
        <v>93634526</v>
      </c>
      <c r="G157" s="51">
        <v>1390</v>
      </c>
      <c r="H157" s="51">
        <v>1201047</v>
      </c>
      <c r="I157" s="51" t="s">
        <v>79</v>
      </c>
      <c r="J157" s="51">
        <v>1051671</v>
      </c>
      <c r="K157" s="51" t="s">
        <v>80</v>
      </c>
      <c r="L157" s="51">
        <v>1171089</v>
      </c>
      <c r="M157" s="51" t="s">
        <v>75</v>
      </c>
      <c r="N157" s="51">
        <v>49767898</v>
      </c>
      <c r="O157" s="51"/>
      <c r="P157" s="51"/>
      <c r="Q157" s="51">
        <v>52544024828</v>
      </c>
      <c r="R157" s="51" t="s">
        <v>1460</v>
      </c>
      <c r="S157" s="51" t="s">
        <v>1344</v>
      </c>
      <c r="T157" s="51" t="s">
        <v>1461</v>
      </c>
      <c r="U157" s="51" t="s">
        <v>1331</v>
      </c>
      <c r="V157" s="51" t="s">
        <v>2175</v>
      </c>
      <c r="W157" s="51">
        <v>432</v>
      </c>
      <c r="X157" s="51">
        <v>1</v>
      </c>
      <c r="Y157" s="51" t="s">
        <v>1332</v>
      </c>
      <c r="Z157" s="51">
        <v>147.38999999999999</v>
      </c>
      <c r="AA157" s="51" t="s">
        <v>182</v>
      </c>
      <c r="AB157" s="54">
        <v>63672.480000000003</v>
      </c>
      <c r="AC157" s="51">
        <v>147.38999999999999</v>
      </c>
      <c r="AD157" s="51" t="s">
        <v>182</v>
      </c>
      <c r="AE157" s="51" t="s">
        <v>181</v>
      </c>
      <c r="AF157" s="51" t="s">
        <v>97</v>
      </c>
      <c r="AG157" s="51" t="s">
        <v>69</v>
      </c>
      <c r="AH157" s="51" t="s">
        <v>70</v>
      </c>
      <c r="AI157" s="51" t="s">
        <v>76</v>
      </c>
      <c r="AJ157" s="53">
        <v>42396</v>
      </c>
      <c r="AK157" s="51" t="s">
        <v>64</v>
      </c>
      <c r="AL157" s="53">
        <v>42394</v>
      </c>
      <c r="AM157" s="51" t="s">
        <v>100</v>
      </c>
      <c r="AN157" s="51">
        <v>62086426</v>
      </c>
      <c r="AO157" s="53">
        <v>42423</v>
      </c>
      <c r="AP157" s="51" t="s">
        <v>77</v>
      </c>
      <c r="AQ157" s="51" t="s">
        <v>323</v>
      </c>
    </row>
    <row r="158" spans="1:43" x14ac:dyDescent="0.2">
      <c r="A158" s="51">
        <v>10020534</v>
      </c>
      <c r="B158" s="51">
        <v>220</v>
      </c>
      <c r="C158" s="51" t="s">
        <v>26</v>
      </c>
      <c r="D158" s="51" t="s">
        <v>78</v>
      </c>
      <c r="E158" s="53">
        <v>42395</v>
      </c>
      <c r="F158" s="51">
        <v>93659447</v>
      </c>
      <c r="G158" s="51">
        <v>220</v>
      </c>
      <c r="H158" s="51">
        <v>1201156</v>
      </c>
      <c r="I158" s="51" t="s">
        <v>131</v>
      </c>
      <c r="J158" s="51">
        <v>1308906</v>
      </c>
      <c r="K158" s="51" t="s">
        <v>349</v>
      </c>
      <c r="L158" s="51">
        <v>1201156</v>
      </c>
      <c r="M158" s="51" t="s">
        <v>131</v>
      </c>
      <c r="N158" s="51">
        <v>5344146</v>
      </c>
      <c r="O158" s="51"/>
      <c r="P158" s="51"/>
      <c r="Q158" s="51">
        <v>591553550</v>
      </c>
      <c r="R158" s="51" t="s">
        <v>2018</v>
      </c>
      <c r="S158" s="51" t="s">
        <v>1322</v>
      </c>
      <c r="T158" s="51" t="s">
        <v>2176</v>
      </c>
      <c r="U158" s="51" t="s">
        <v>1331</v>
      </c>
      <c r="V158" s="51" t="s">
        <v>2177</v>
      </c>
      <c r="W158" s="51">
        <v>144</v>
      </c>
      <c r="X158" s="51">
        <v>48</v>
      </c>
      <c r="Y158" s="51" t="s">
        <v>1332</v>
      </c>
      <c r="Z158" s="51">
        <v>12.11</v>
      </c>
      <c r="AA158" s="51" t="s">
        <v>182</v>
      </c>
      <c r="AB158" s="54">
        <v>1743.84</v>
      </c>
      <c r="AC158" s="51">
        <v>581.28</v>
      </c>
      <c r="AD158" s="51" t="s">
        <v>182</v>
      </c>
      <c r="AE158" s="51" t="s">
        <v>181</v>
      </c>
      <c r="AF158" s="51" t="s">
        <v>97</v>
      </c>
      <c r="AG158" s="51" t="s">
        <v>69</v>
      </c>
      <c r="AH158" s="51" t="s">
        <v>94</v>
      </c>
      <c r="AI158" s="51" t="s">
        <v>95</v>
      </c>
      <c r="AJ158" s="53">
        <v>42402</v>
      </c>
      <c r="AK158" s="51" t="s">
        <v>64</v>
      </c>
      <c r="AL158" s="53">
        <v>42395</v>
      </c>
      <c r="AM158" s="51" t="s">
        <v>100</v>
      </c>
      <c r="AN158" s="51">
        <v>62077307</v>
      </c>
      <c r="AO158" s="53">
        <v>42409</v>
      </c>
      <c r="AP158" s="51" t="s">
        <v>96</v>
      </c>
      <c r="AQ158" s="51" t="s">
        <v>2178</v>
      </c>
    </row>
    <row r="159" spans="1:43" x14ac:dyDescent="0.2">
      <c r="A159" s="51">
        <v>10020535</v>
      </c>
      <c r="B159" s="51">
        <v>270</v>
      </c>
      <c r="C159" s="51" t="s">
        <v>26</v>
      </c>
      <c r="D159" s="51" t="s">
        <v>78</v>
      </c>
      <c r="E159" s="53">
        <v>42395</v>
      </c>
      <c r="F159" s="51">
        <v>93655663</v>
      </c>
      <c r="G159" s="51">
        <v>270</v>
      </c>
      <c r="H159" s="51">
        <v>1201156</v>
      </c>
      <c r="I159" s="51" t="s">
        <v>131</v>
      </c>
      <c r="J159" s="51">
        <v>1308906</v>
      </c>
      <c r="K159" s="51" t="s">
        <v>349</v>
      </c>
      <c r="L159" s="51">
        <v>1201156</v>
      </c>
      <c r="M159" s="51" t="s">
        <v>131</v>
      </c>
      <c r="N159" s="51">
        <v>5341752</v>
      </c>
      <c r="O159" s="51"/>
      <c r="P159" s="51"/>
      <c r="Q159" s="51">
        <v>62037071001</v>
      </c>
      <c r="R159" s="51" t="s">
        <v>1617</v>
      </c>
      <c r="S159" s="51" t="s">
        <v>1322</v>
      </c>
      <c r="T159" s="51" t="s">
        <v>1396</v>
      </c>
      <c r="U159" s="51" t="s">
        <v>1331</v>
      </c>
      <c r="V159" s="51" t="s">
        <v>2179</v>
      </c>
      <c r="W159" s="51">
        <v>624</v>
      </c>
      <c r="X159" s="51">
        <v>96</v>
      </c>
      <c r="Y159" s="51" t="s">
        <v>1332</v>
      </c>
      <c r="Z159" s="51">
        <v>15.49</v>
      </c>
      <c r="AA159" s="51" t="s">
        <v>182</v>
      </c>
      <c r="AB159" s="54">
        <v>9665.76</v>
      </c>
      <c r="AC159" s="54">
        <v>1487.04</v>
      </c>
      <c r="AD159" s="51" t="s">
        <v>182</v>
      </c>
      <c r="AE159" s="51" t="s">
        <v>181</v>
      </c>
      <c r="AF159" s="51" t="s">
        <v>97</v>
      </c>
      <c r="AG159" s="51" t="s">
        <v>63</v>
      </c>
      <c r="AH159" s="51" t="s">
        <v>81</v>
      </c>
      <c r="AI159" s="51" t="s">
        <v>88</v>
      </c>
      <c r="AJ159" s="53">
        <v>42405</v>
      </c>
      <c r="AK159" s="51" t="s">
        <v>64</v>
      </c>
      <c r="AL159" s="53">
        <v>42395</v>
      </c>
      <c r="AM159" s="51"/>
      <c r="AN159" s="51"/>
      <c r="AO159" s="51"/>
      <c r="AP159" s="51" t="s">
        <v>89</v>
      </c>
      <c r="AQ159" s="51" t="s">
        <v>2180</v>
      </c>
    </row>
    <row r="160" spans="1:43" x14ac:dyDescent="0.2">
      <c r="A160" s="51">
        <v>10020536</v>
      </c>
      <c r="B160" s="51">
        <v>500</v>
      </c>
      <c r="C160" s="51" t="s">
        <v>18</v>
      </c>
      <c r="D160" s="51" t="s">
        <v>592</v>
      </c>
      <c r="E160" s="53">
        <v>42395</v>
      </c>
      <c r="F160" s="51">
        <v>93657103</v>
      </c>
      <c r="G160" s="51">
        <v>500</v>
      </c>
      <c r="H160" s="51">
        <v>1201766</v>
      </c>
      <c r="I160" s="51" t="s">
        <v>143</v>
      </c>
      <c r="J160" s="51">
        <v>1157939</v>
      </c>
      <c r="K160" s="51" t="s">
        <v>143</v>
      </c>
      <c r="L160" s="51">
        <v>1201766</v>
      </c>
      <c r="M160" s="51" t="s">
        <v>143</v>
      </c>
      <c r="N160" s="51">
        <v>63369</v>
      </c>
      <c r="O160" s="51"/>
      <c r="P160" s="51"/>
      <c r="Q160" s="51">
        <v>591207030</v>
      </c>
      <c r="R160" s="51" t="s">
        <v>1475</v>
      </c>
      <c r="S160" s="51" t="s">
        <v>1322</v>
      </c>
      <c r="T160" s="51" t="s">
        <v>1476</v>
      </c>
      <c r="U160" s="51" t="s">
        <v>1331</v>
      </c>
      <c r="V160" s="51"/>
      <c r="W160" s="51">
        <v>2256</v>
      </c>
      <c r="X160" s="51">
        <v>3</v>
      </c>
      <c r="Y160" s="51" t="s">
        <v>1332</v>
      </c>
      <c r="Z160" s="51">
        <v>20.43</v>
      </c>
      <c r="AA160" s="51" t="s">
        <v>182</v>
      </c>
      <c r="AB160" s="54">
        <v>46090.080000000002</v>
      </c>
      <c r="AC160" s="51">
        <v>61.29</v>
      </c>
      <c r="AD160" s="51" t="s">
        <v>182</v>
      </c>
      <c r="AE160" s="51" t="s">
        <v>181</v>
      </c>
      <c r="AF160" s="51" t="s">
        <v>97</v>
      </c>
      <c r="AG160" s="51" t="s">
        <v>69</v>
      </c>
      <c r="AH160" s="51" t="s">
        <v>70</v>
      </c>
      <c r="AI160" s="51" t="s">
        <v>76</v>
      </c>
      <c r="AJ160" s="53">
        <v>42396</v>
      </c>
      <c r="AK160" s="51" t="s">
        <v>64</v>
      </c>
      <c r="AL160" s="53">
        <v>42395</v>
      </c>
      <c r="AM160" s="51" t="s">
        <v>100</v>
      </c>
      <c r="AN160" s="51">
        <v>62083560</v>
      </c>
      <c r="AO160" s="53">
        <v>42418</v>
      </c>
      <c r="AP160" s="51" t="s">
        <v>77</v>
      </c>
      <c r="AQ160" s="51" t="s">
        <v>228</v>
      </c>
    </row>
    <row r="161" spans="1:43" x14ac:dyDescent="0.2">
      <c r="A161" s="51">
        <v>10020537</v>
      </c>
      <c r="B161" s="51">
        <v>100</v>
      </c>
      <c r="C161" s="51" t="s">
        <v>18</v>
      </c>
      <c r="D161" s="51" t="s">
        <v>78</v>
      </c>
      <c r="E161" s="53">
        <v>42395</v>
      </c>
      <c r="F161" s="51">
        <v>93656699</v>
      </c>
      <c r="G161" s="51">
        <v>100</v>
      </c>
      <c r="H161" s="51">
        <v>1022013</v>
      </c>
      <c r="I161" s="51" t="s">
        <v>114</v>
      </c>
      <c r="J161" s="51">
        <v>1335507</v>
      </c>
      <c r="K161" s="51" t="s">
        <v>114</v>
      </c>
      <c r="L161" s="51">
        <v>1022013</v>
      </c>
      <c r="M161" s="51" t="s">
        <v>114</v>
      </c>
      <c r="N161" s="51">
        <v>77302</v>
      </c>
      <c r="O161" s="51"/>
      <c r="P161" s="51"/>
      <c r="Q161" s="51">
        <v>591379783</v>
      </c>
      <c r="R161" s="51" t="s">
        <v>1674</v>
      </c>
      <c r="S161" s="51" t="s">
        <v>1322</v>
      </c>
      <c r="T161" s="51" t="s">
        <v>1412</v>
      </c>
      <c r="U161" s="51" t="s">
        <v>1331</v>
      </c>
      <c r="V161" s="51"/>
      <c r="W161" s="51">
        <v>3144</v>
      </c>
      <c r="X161" s="51">
        <v>9</v>
      </c>
      <c r="Y161" s="51" t="s">
        <v>1332</v>
      </c>
      <c r="Z161" s="51">
        <v>2.11</v>
      </c>
      <c r="AA161" s="51" t="s">
        <v>182</v>
      </c>
      <c r="AB161" s="54">
        <v>6633.84</v>
      </c>
      <c r="AC161" s="51">
        <v>18.989999999999998</v>
      </c>
      <c r="AD161" s="51" t="s">
        <v>182</v>
      </c>
      <c r="AE161" s="51" t="s">
        <v>181</v>
      </c>
      <c r="AF161" s="51" t="s">
        <v>97</v>
      </c>
      <c r="AG161" s="51" t="s">
        <v>69</v>
      </c>
      <c r="AH161" s="51" t="s">
        <v>70</v>
      </c>
      <c r="AI161" s="51" t="s">
        <v>76</v>
      </c>
      <c r="AJ161" s="53">
        <v>42396</v>
      </c>
      <c r="AK161" s="51" t="s">
        <v>64</v>
      </c>
      <c r="AL161" s="53">
        <v>42395</v>
      </c>
      <c r="AM161" s="51" t="s">
        <v>100</v>
      </c>
      <c r="AN161" s="51">
        <v>62086423</v>
      </c>
      <c r="AO161" s="53">
        <v>42423</v>
      </c>
      <c r="AP161" s="51" t="s">
        <v>77</v>
      </c>
      <c r="AQ161" s="51" t="s">
        <v>184</v>
      </c>
    </row>
    <row r="162" spans="1:43" x14ac:dyDescent="0.2">
      <c r="A162" s="51">
        <v>10020538</v>
      </c>
      <c r="B162" s="51">
        <v>70</v>
      </c>
      <c r="C162" s="51" t="s">
        <v>18</v>
      </c>
      <c r="D162" s="51" t="s">
        <v>78</v>
      </c>
      <c r="E162" s="53">
        <v>42395</v>
      </c>
      <c r="F162" s="51">
        <v>93666318</v>
      </c>
      <c r="G162" s="51">
        <v>70</v>
      </c>
      <c r="H162" s="51">
        <v>1201120</v>
      </c>
      <c r="I162" s="51" t="s">
        <v>117</v>
      </c>
      <c r="J162" s="51">
        <v>1307782</v>
      </c>
      <c r="K162" s="51" t="s">
        <v>119</v>
      </c>
      <c r="L162" s="51">
        <v>1171090</v>
      </c>
      <c r="M162" s="51" t="s">
        <v>118</v>
      </c>
      <c r="N162" s="51" t="s">
        <v>2181</v>
      </c>
      <c r="O162" s="51"/>
      <c r="P162" s="51"/>
      <c r="Q162" s="51">
        <v>591381760</v>
      </c>
      <c r="R162" s="51" t="s">
        <v>1357</v>
      </c>
      <c r="S162" s="51" t="s">
        <v>1322</v>
      </c>
      <c r="T162" s="51" t="s">
        <v>1358</v>
      </c>
      <c r="U162" s="51" t="s">
        <v>1331</v>
      </c>
      <c r="V162" s="51"/>
      <c r="W162" s="51">
        <v>7200</v>
      </c>
      <c r="X162" s="51">
        <v>336</v>
      </c>
      <c r="Y162" s="51" t="s">
        <v>1332</v>
      </c>
      <c r="Z162" s="51">
        <v>24</v>
      </c>
      <c r="AA162" s="51" t="s">
        <v>182</v>
      </c>
      <c r="AB162" s="54">
        <v>172800</v>
      </c>
      <c r="AC162" s="54">
        <v>8064</v>
      </c>
      <c r="AD162" s="51" t="s">
        <v>182</v>
      </c>
      <c r="AE162" s="51" t="s">
        <v>181</v>
      </c>
      <c r="AF162" s="51" t="s">
        <v>97</v>
      </c>
      <c r="AG162" s="51" t="s">
        <v>69</v>
      </c>
      <c r="AH162" s="51" t="s">
        <v>70</v>
      </c>
      <c r="AI162" s="51" t="s">
        <v>71</v>
      </c>
      <c r="AJ162" s="53">
        <v>42419</v>
      </c>
      <c r="AK162" s="51" t="s">
        <v>83</v>
      </c>
      <c r="AL162" s="53">
        <v>42425</v>
      </c>
      <c r="AM162" s="51" t="s">
        <v>100</v>
      </c>
      <c r="AN162" s="51">
        <v>62090295</v>
      </c>
      <c r="AO162" s="53">
        <v>42430</v>
      </c>
      <c r="AP162" s="51" t="s">
        <v>73</v>
      </c>
      <c r="AQ162" s="51" t="s">
        <v>2182</v>
      </c>
    </row>
    <row r="163" spans="1:43" x14ac:dyDescent="0.2">
      <c r="A163" s="51">
        <v>10020538</v>
      </c>
      <c r="B163" s="51">
        <v>80</v>
      </c>
      <c r="C163" s="51" t="s">
        <v>18</v>
      </c>
      <c r="D163" s="51" t="s">
        <v>78</v>
      </c>
      <c r="E163" s="53">
        <v>42395</v>
      </c>
      <c r="F163" s="51">
        <v>93666318</v>
      </c>
      <c r="G163" s="51">
        <v>80</v>
      </c>
      <c r="H163" s="51">
        <v>1201120</v>
      </c>
      <c r="I163" s="51" t="s">
        <v>117</v>
      </c>
      <c r="J163" s="51">
        <v>1307782</v>
      </c>
      <c r="K163" s="51" t="s">
        <v>119</v>
      </c>
      <c r="L163" s="51">
        <v>1171090</v>
      </c>
      <c r="M163" s="51" t="s">
        <v>118</v>
      </c>
      <c r="N163" s="51" t="s">
        <v>2181</v>
      </c>
      <c r="O163" s="51"/>
      <c r="P163" s="51"/>
      <c r="Q163" s="51">
        <v>591381730</v>
      </c>
      <c r="R163" s="51" t="s">
        <v>1373</v>
      </c>
      <c r="S163" s="51" t="s">
        <v>1322</v>
      </c>
      <c r="T163" s="51" t="s">
        <v>1358</v>
      </c>
      <c r="U163" s="51" t="s">
        <v>1331</v>
      </c>
      <c r="V163" s="51"/>
      <c r="W163" s="51">
        <v>12480</v>
      </c>
      <c r="X163" s="51">
        <v>192</v>
      </c>
      <c r="Y163" s="51" t="s">
        <v>1332</v>
      </c>
      <c r="Z163" s="51">
        <v>12</v>
      </c>
      <c r="AA163" s="51" t="s">
        <v>182</v>
      </c>
      <c r="AB163" s="54">
        <v>149760</v>
      </c>
      <c r="AC163" s="54">
        <v>2304</v>
      </c>
      <c r="AD163" s="51" t="s">
        <v>182</v>
      </c>
      <c r="AE163" s="51" t="s">
        <v>181</v>
      </c>
      <c r="AF163" s="51" t="s">
        <v>97</v>
      </c>
      <c r="AG163" s="51" t="s">
        <v>69</v>
      </c>
      <c r="AH163" s="51" t="s">
        <v>70</v>
      </c>
      <c r="AI163" s="51" t="s">
        <v>71</v>
      </c>
      <c r="AJ163" s="53">
        <v>42419</v>
      </c>
      <c r="AK163" s="51" t="s">
        <v>83</v>
      </c>
      <c r="AL163" s="53">
        <v>42425</v>
      </c>
      <c r="AM163" s="51" t="s">
        <v>100</v>
      </c>
      <c r="AN163" s="51">
        <v>62090295</v>
      </c>
      <c r="AO163" s="53">
        <v>42430</v>
      </c>
      <c r="AP163" s="51" t="s">
        <v>73</v>
      </c>
      <c r="AQ163" s="51" t="s">
        <v>2182</v>
      </c>
    </row>
    <row r="164" spans="1:43" x14ac:dyDescent="0.2">
      <c r="A164" s="51">
        <v>10020538</v>
      </c>
      <c r="B164" s="51">
        <v>1520</v>
      </c>
      <c r="C164" s="51" t="s">
        <v>18</v>
      </c>
      <c r="D164" s="51" t="s">
        <v>78</v>
      </c>
      <c r="E164" s="53">
        <v>42395</v>
      </c>
      <c r="F164" s="51">
        <v>93666318</v>
      </c>
      <c r="G164" s="51">
        <v>1520</v>
      </c>
      <c r="H164" s="51">
        <v>1201120</v>
      </c>
      <c r="I164" s="51" t="s">
        <v>117</v>
      </c>
      <c r="J164" s="51">
        <v>1307782</v>
      </c>
      <c r="K164" s="51" t="s">
        <v>119</v>
      </c>
      <c r="L164" s="51">
        <v>1171090</v>
      </c>
      <c r="M164" s="51" t="s">
        <v>118</v>
      </c>
      <c r="N164" s="51" t="s">
        <v>2181</v>
      </c>
      <c r="O164" s="51"/>
      <c r="P164" s="51"/>
      <c r="Q164" s="51">
        <v>591379860</v>
      </c>
      <c r="R164" s="51" t="s">
        <v>1580</v>
      </c>
      <c r="S164" s="51" t="s">
        <v>1322</v>
      </c>
      <c r="T164" s="51" t="s">
        <v>1581</v>
      </c>
      <c r="U164" s="51" t="s">
        <v>1331</v>
      </c>
      <c r="V164" s="51"/>
      <c r="W164" s="51">
        <v>4608</v>
      </c>
      <c r="X164" s="51">
        <v>12</v>
      </c>
      <c r="Y164" s="51" t="s">
        <v>1332</v>
      </c>
      <c r="Z164" s="51">
        <v>9</v>
      </c>
      <c r="AA164" s="51" t="s">
        <v>182</v>
      </c>
      <c r="AB164" s="54">
        <v>41472</v>
      </c>
      <c r="AC164" s="51">
        <v>108</v>
      </c>
      <c r="AD164" s="51" t="s">
        <v>182</v>
      </c>
      <c r="AE164" s="51" t="s">
        <v>181</v>
      </c>
      <c r="AF164" s="51" t="s">
        <v>97</v>
      </c>
      <c r="AG164" s="51" t="s">
        <v>69</v>
      </c>
      <c r="AH164" s="51" t="s">
        <v>70</v>
      </c>
      <c r="AI164" s="51" t="s">
        <v>71</v>
      </c>
      <c r="AJ164" s="53">
        <v>42419</v>
      </c>
      <c r="AK164" s="51" t="s">
        <v>83</v>
      </c>
      <c r="AL164" s="53">
        <v>42425</v>
      </c>
      <c r="AM164" s="51" t="s">
        <v>100</v>
      </c>
      <c r="AN164" s="51">
        <v>62090295</v>
      </c>
      <c r="AO164" s="53">
        <v>42430</v>
      </c>
      <c r="AP164" s="51" t="s">
        <v>73</v>
      </c>
      <c r="AQ164" s="51" t="s">
        <v>2182</v>
      </c>
    </row>
    <row r="165" spans="1:43" x14ac:dyDescent="0.2">
      <c r="A165" s="51">
        <v>10020541</v>
      </c>
      <c r="B165" s="51">
        <v>130</v>
      </c>
      <c r="C165" s="51" t="s">
        <v>18</v>
      </c>
      <c r="D165" s="51" t="s">
        <v>78</v>
      </c>
      <c r="E165" s="53">
        <v>42395</v>
      </c>
      <c r="F165" s="51">
        <v>93662933</v>
      </c>
      <c r="G165" s="51">
        <v>130</v>
      </c>
      <c r="H165" s="51">
        <v>1201047</v>
      </c>
      <c r="I165" s="51" t="s">
        <v>79</v>
      </c>
      <c r="J165" s="51">
        <v>1311011</v>
      </c>
      <c r="K165" s="51" t="s">
        <v>85</v>
      </c>
      <c r="L165" s="51">
        <v>1171089</v>
      </c>
      <c r="M165" s="51" t="s">
        <v>75</v>
      </c>
      <c r="N165" s="51">
        <v>19635500</v>
      </c>
      <c r="O165" s="51"/>
      <c r="P165" s="51"/>
      <c r="Q165" s="51">
        <v>52544021928</v>
      </c>
      <c r="R165" s="51" t="s">
        <v>2108</v>
      </c>
      <c r="S165" s="51" t="s">
        <v>1344</v>
      </c>
      <c r="T165" s="51" t="s">
        <v>2109</v>
      </c>
      <c r="U165" s="51" t="s">
        <v>1331</v>
      </c>
      <c r="V165" s="51" t="s">
        <v>2110</v>
      </c>
      <c r="W165" s="51">
        <v>12</v>
      </c>
      <c r="X165" s="51">
        <v>4</v>
      </c>
      <c r="Y165" s="51" t="s">
        <v>1332</v>
      </c>
      <c r="Z165" s="51">
        <v>169.98</v>
      </c>
      <c r="AA165" s="51" t="s">
        <v>182</v>
      </c>
      <c r="AB165" s="54">
        <v>2039.76</v>
      </c>
      <c r="AC165" s="51">
        <v>679.92</v>
      </c>
      <c r="AD165" s="51" t="s">
        <v>182</v>
      </c>
      <c r="AE165" s="51" t="s">
        <v>181</v>
      </c>
      <c r="AF165" s="51" t="s">
        <v>97</v>
      </c>
      <c r="AG165" s="51" t="s">
        <v>69</v>
      </c>
      <c r="AH165" s="51" t="s">
        <v>70</v>
      </c>
      <c r="AI165" s="51" t="s">
        <v>76</v>
      </c>
      <c r="AJ165" s="53">
        <v>42396</v>
      </c>
      <c r="AK165" s="51" t="s">
        <v>64</v>
      </c>
      <c r="AL165" s="53">
        <v>42395</v>
      </c>
      <c r="AM165" s="51" t="s">
        <v>100</v>
      </c>
      <c r="AN165" s="51">
        <v>62086424</v>
      </c>
      <c r="AO165" s="53">
        <v>42423</v>
      </c>
      <c r="AP165" s="51" t="s">
        <v>77</v>
      </c>
      <c r="AQ165" s="51" t="s">
        <v>655</v>
      </c>
    </row>
    <row r="166" spans="1:43" x14ac:dyDescent="0.2">
      <c r="A166" s="51">
        <v>10020542</v>
      </c>
      <c r="B166" s="51">
        <v>10</v>
      </c>
      <c r="C166" s="51" t="s">
        <v>18</v>
      </c>
      <c r="D166" s="51" t="s">
        <v>592</v>
      </c>
      <c r="E166" s="53">
        <v>42395</v>
      </c>
      <c r="F166" s="51">
        <v>93663221</v>
      </c>
      <c r="G166" s="51">
        <v>10</v>
      </c>
      <c r="H166" s="51">
        <v>1201766</v>
      </c>
      <c r="I166" s="51" t="s">
        <v>143</v>
      </c>
      <c r="J166" s="51">
        <v>1157939</v>
      </c>
      <c r="K166" s="51" t="s">
        <v>143</v>
      </c>
      <c r="L166" s="51">
        <v>1201766</v>
      </c>
      <c r="M166" s="51" t="s">
        <v>143</v>
      </c>
      <c r="N166" s="51">
        <v>63511</v>
      </c>
      <c r="O166" s="51"/>
      <c r="P166" s="51"/>
      <c r="Q166" s="51">
        <v>591379783</v>
      </c>
      <c r="R166" s="51" t="s">
        <v>1674</v>
      </c>
      <c r="S166" s="51" t="s">
        <v>1322</v>
      </c>
      <c r="T166" s="51" t="s">
        <v>1412</v>
      </c>
      <c r="U166" s="51" t="s">
        <v>1331</v>
      </c>
      <c r="V166" s="51"/>
      <c r="W166" s="51">
        <v>1488</v>
      </c>
      <c r="X166" s="51">
        <v>8</v>
      </c>
      <c r="Y166" s="51" t="s">
        <v>1332</v>
      </c>
      <c r="Z166" s="51">
        <v>2.4300000000000002</v>
      </c>
      <c r="AA166" s="51" t="s">
        <v>182</v>
      </c>
      <c r="AB166" s="54">
        <v>3615.84</v>
      </c>
      <c r="AC166" s="51">
        <v>19.440000000000001</v>
      </c>
      <c r="AD166" s="51" t="s">
        <v>182</v>
      </c>
      <c r="AE166" s="51" t="s">
        <v>181</v>
      </c>
      <c r="AF166" s="51" t="s">
        <v>97</v>
      </c>
      <c r="AG166" s="51" t="s">
        <v>69</v>
      </c>
      <c r="AH166" s="51" t="s">
        <v>70</v>
      </c>
      <c r="AI166" s="51" t="s">
        <v>76</v>
      </c>
      <c r="AJ166" s="53">
        <v>42396</v>
      </c>
      <c r="AK166" s="51" t="s">
        <v>64</v>
      </c>
      <c r="AL166" s="53">
        <v>42395</v>
      </c>
      <c r="AM166" s="51" t="s">
        <v>100</v>
      </c>
      <c r="AN166" s="51">
        <v>62083557</v>
      </c>
      <c r="AO166" s="53">
        <v>42418</v>
      </c>
      <c r="AP166" s="51" t="s">
        <v>77</v>
      </c>
      <c r="AQ166" s="51" t="s">
        <v>1289</v>
      </c>
    </row>
    <row r="167" spans="1:43" x14ac:dyDescent="0.2">
      <c r="A167" s="51">
        <v>10020543</v>
      </c>
      <c r="B167" s="51">
        <v>2660</v>
      </c>
      <c r="C167" s="51" t="s">
        <v>22</v>
      </c>
      <c r="D167" s="51" t="s">
        <v>78</v>
      </c>
      <c r="E167" s="53">
        <v>42395</v>
      </c>
      <c r="F167" s="51">
        <v>93641524</v>
      </c>
      <c r="G167" s="51">
        <v>2660</v>
      </c>
      <c r="H167" s="51">
        <v>1201047</v>
      </c>
      <c r="I167" s="51" t="s">
        <v>79</v>
      </c>
      <c r="J167" s="51">
        <v>1003713</v>
      </c>
      <c r="K167" s="51" t="s">
        <v>80</v>
      </c>
      <c r="L167" s="51">
        <v>1171089</v>
      </c>
      <c r="M167" s="51" t="s">
        <v>75</v>
      </c>
      <c r="N167" s="51">
        <v>32767264</v>
      </c>
      <c r="O167" s="51"/>
      <c r="P167" s="51"/>
      <c r="Q167" s="51">
        <v>62037084920</v>
      </c>
      <c r="R167" s="51" t="s">
        <v>1616</v>
      </c>
      <c r="S167" s="51" t="s">
        <v>1322</v>
      </c>
      <c r="T167" s="51" t="s">
        <v>1944</v>
      </c>
      <c r="U167" s="51" t="s">
        <v>1331</v>
      </c>
      <c r="V167" s="51"/>
      <c r="W167" s="51">
        <v>195</v>
      </c>
      <c r="X167" s="51">
        <v>70</v>
      </c>
      <c r="Y167" s="51" t="s">
        <v>1332</v>
      </c>
      <c r="Z167" s="51">
        <v>220</v>
      </c>
      <c r="AA167" s="51" t="s">
        <v>182</v>
      </c>
      <c r="AB167" s="54">
        <v>42900</v>
      </c>
      <c r="AC167" s="54">
        <v>15400</v>
      </c>
      <c r="AD167" s="51" t="s">
        <v>182</v>
      </c>
      <c r="AE167" s="51" t="s">
        <v>181</v>
      </c>
      <c r="AF167" s="51" t="s">
        <v>97</v>
      </c>
      <c r="AG167" s="51" t="s">
        <v>63</v>
      </c>
      <c r="AH167" s="51" t="s">
        <v>94</v>
      </c>
      <c r="AI167" s="51" t="s">
        <v>141</v>
      </c>
      <c r="AJ167" s="53">
        <v>42408</v>
      </c>
      <c r="AK167" s="51" t="s">
        <v>64</v>
      </c>
      <c r="AL167" s="53">
        <v>42395</v>
      </c>
      <c r="AM167" s="51"/>
      <c r="AN167" s="51"/>
      <c r="AO167" s="51"/>
      <c r="AP167" s="51" t="s">
        <v>142</v>
      </c>
      <c r="AQ167" s="51" t="s">
        <v>2183</v>
      </c>
    </row>
    <row r="168" spans="1:43" x14ac:dyDescent="0.2">
      <c r="A168" s="51">
        <v>10020545</v>
      </c>
      <c r="B168" s="51">
        <v>760</v>
      </c>
      <c r="C168" s="51" t="s">
        <v>18</v>
      </c>
      <c r="D168" s="51" t="s">
        <v>432</v>
      </c>
      <c r="E168" s="53">
        <v>42396</v>
      </c>
      <c r="F168" s="51">
        <v>93658344</v>
      </c>
      <c r="G168" s="51">
        <v>760</v>
      </c>
      <c r="H168" s="51">
        <v>1201399</v>
      </c>
      <c r="I168" s="51" t="s">
        <v>144</v>
      </c>
      <c r="J168" s="51">
        <v>1334926</v>
      </c>
      <c r="K168" s="51" t="s">
        <v>145</v>
      </c>
      <c r="L168" s="51">
        <v>1171970</v>
      </c>
      <c r="M168" s="51" t="s">
        <v>144</v>
      </c>
      <c r="N168" s="51">
        <v>8106683272</v>
      </c>
      <c r="O168" s="51"/>
      <c r="P168" s="51"/>
      <c r="Q168" s="51">
        <v>52544094028</v>
      </c>
      <c r="R168" s="51" t="s">
        <v>2184</v>
      </c>
      <c r="S168" s="51" t="s">
        <v>1344</v>
      </c>
      <c r="T168" s="51" t="s">
        <v>2185</v>
      </c>
      <c r="U168" s="51" t="s">
        <v>1331</v>
      </c>
      <c r="V168" s="51"/>
      <c r="W168" s="51">
        <v>240</v>
      </c>
      <c r="X168" s="51">
        <v>12</v>
      </c>
      <c r="Y168" s="51" t="s">
        <v>1332</v>
      </c>
      <c r="Z168" s="51">
        <v>259.02999999999997</v>
      </c>
      <c r="AA168" s="51" t="s">
        <v>182</v>
      </c>
      <c r="AB168" s="54">
        <v>62167.199999999997</v>
      </c>
      <c r="AC168" s="54">
        <v>3108.36</v>
      </c>
      <c r="AD168" s="51" t="s">
        <v>182</v>
      </c>
      <c r="AE168" s="51" t="s">
        <v>181</v>
      </c>
      <c r="AF168" s="51" t="s">
        <v>97</v>
      </c>
      <c r="AG168" s="51" t="s">
        <v>69</v>
      </c>
      <c r="AH168" s="51" t="s">
        <v>70</v>
      </c>
      <c r="AI168" s="51" t="s">
        <v>76</v>
      </c>
      <c r="AJ168" s="53">
        <v>42396</v>
      </c>
      <c r="AK168" s="51" t="s">
        <v>64</v>
      </c>
      <c r="AL168" s="53">
        <v>42396</v>
      </c>
      <c r="AM168" s="51" t="s">
        <v>100</v>
      </c>
      <c r="AN168" s="51">
        <v>62086919</v>
      </c>
      <c r="AO168" s="53">
        <v>42424</v>
      </c>
      <c r="AP168" s="51" t="s">
        <v>77</v>
      </c>
      <c r="AQ168" s="51" t="s">
        <v>376</v>
      </c>
    </row>
    <row r="169" spans="1:43" x14ac:dyDescent="0.2">
      <c r="A169" s="51">
        <v>10020546</v>
      </c>
      <c r="B169" s="51">
        <v>510</v>
      </c>
      <c r="C169" s="51" t="s">
        <v>26</v>
      </c>
      <c r="D169" s="51" t="s">
        <v>573</v>
      </c>
      <c r="E169" s="53">
        <v>42396</v>
      </c>
      <c r="F169" s="51">
        <v>93622918</v>
      </c>
      <c r="G169" s="51">
        <v>510</v>
      </c>
      <c r="H169" s="51">
        <v>1201605</v>
      </c>
      <c r="I169" s="51" t="s">
        <v>155</v>
      </c>
      <c r="J169" s="51">
        <v>1023292</v>
      </c>
      <c r="K169" s="51" t="s">
        <v>155</v>
      </c>
      <c r="L169" s="51">
        <v>1172017</v>
      </c>
      <c r="M169" s="51" t="s">
        <v>155</v>
      </c>
      <c r="N169" s="51">
        <v>550895</v>
      </c>
      <c r="O169" s="51"/>
      <c r="P169" s="51"/>
      <c r="Q169" s="51">
        <v>60758011905</v>
      </c>
      <c r="R169" s="51" t="s">
        <v>1511</v>
      </c>
      <c r="S169" s="51" t="s">
        <v>1322</v>
      </c>
      <c r="T169" s="51" t="s">
        <v>1400</v>
      </c>
      <c r="U169" s="51" t="s">
        <v>1331</v>
      </c>
      <c r="V169" s="51">
        <v>89701</v>
      </c>
      <c r="W169" s="51">
        <v>144</v>
      </c>
      <c r="X169" s="51">
        <v>1</v>
      </c>
      <c r="Y169" s="51" t="s">
        <v>1369</v>
      </c>
      <c r="Z169" s="51">
        <v>44</v>
      </c>
      <c r="AA169" s="51" t="s">
        <v>182</v>
      </c>
      <c r="AB169" s="54">
        <v>6336</v>
      </c>
      <c r="AC169" s="54">
        <v>3168</v>
      </c>
      <c r="AD169" s="51" t="s">
        <v>182</v>
      </c>
      <c r="AE169" s="51" t="s">
        <v>181</v>
      </c>
      <c r="AF169" s="51" t="s">
        <v>97</v>
      </c>
      <c r="AG169" s="51" t="s">
        <v>63</v>
      </c>
      <c r="AH169" s="51" t="s">
        <v>94</v>
      </c>
      <c r="AI169" s="51" t="s">
        <v>95</v>
      </c>
      <c r="AJ169" s="53">
        <v>42408</v>
      </c>
      <c r="AK169" s="51" t="s">
        <v>64</v>
      </c>
      <c r="AL169" s="53">
        <v>42396</v>
      </c>
      <c r="AM169" s="51"/>
      <c r="AN169" s="51"/>
      <c r="AO169" s="51"/>
      <c r="AP169" s="51" t="s">
        <v>96</v>
      </c>
      <c r="AQ169" s="51" t="s">
        <v>2186</v>
      </c>
    </row>
    <row r="170" spans="1:43" x14ac:dyDescent="0.2">
      <c r="A170" s="51">
        <v>10020547</v>
      </c>
      <c r="B170" s="51">
        <v>110</v>
      </c>
      <c r="C170" s="51" t="s">
        <v>24</v>
      </c>
      <c r="D170" s="51" t="s">
        <v>573</v>
      </c>
      <c r="E170" s="53">
        <v>42396</v>
      </c>
      <c r="F170" s="51">
        <v>93622918</v>
      </c>
      <c r="G170" s="51">
        <v>110</v>
      </c>
      <c r="H170" s="51">
        <v>1201605</v>
      </c>
      <c r="I170" s="51" t="s">
        <v>155</v>
      </c>
      <c r="J170" s="51">
        <v>1023292</v>
      </c>
      <c r="K170" s="51" t="s">
        <v>155</v>
      </c>
      <c r="L170" s="51">
        <v>1172017</v>
      </c>
      <c r="M170" s="51" t="s">
        <v>155</v>
      </c>
      <c r="N170" s="51">
        <v>550895</v>
      </c>
      <c r="O170" s="51"/>
      <c r="P170" s="51"/>
      <c r="Q170" s="51">
        <v>60758090810</v>
      </c>
      <c r="R170" s="51" t="s">
        <v>2187</v>
      </c>
      <c r="S170" s="51" t="s">
        <v>1322</v>
      </c>
      <c r="T170" s="51" t="s">
        <v>2188</v>
      </c>
      <c r="U170" s="51" t="s">
        <v>1331</v>
      </c>
      <c r="V170" s="51">
        <v>89935</v>
      </c>
      <c r="W170" s="51">
        <v>144</v>
      </c>
      <c r="X170" s="51">
        <v>1</v>
      </c>
      <c r="Y170" s="51" t="s">
        <v>1369</v>
      </c>
      <c r="Z170" s="51">
        <v>10.89</v>
      </c>
      <c r="AA170" s="51" t="s">
        <v>182</v>
      </c>
      <c r="AB170" s="54">
        <v>1568.16</v>
      </c>
      <c r="AC170" s="51">
        <v>784.08</v>
      </c>
      <c r="AD170" s="51" t="s">
        <v>182</v>
      </c>
      <c r="AE170" s="51" t="s">
        <v>181</v>
      </c>
      <c r="AF170" s="51" t="s">
        <v>97</v>
      </c>
      <c r="AG170" s="51" t="s">
        <v>63</v>
      </c>
      <c r="AH170" s="51" t="s">
        <v>81</v>
      </c>
      <c r="AI170" s="51" t="s">
        <v>82</v>
      </c>
      <c r="AJ170" s="53">
        <v>42409</v>
      </c>
      <c r="AK170" s="51" t="s">
        <v>64</v>
      </c>
      <c r="AL170" s="53">
        <v>42396</v>
      </c>
      <c r="AM170" s="51"/>
      <c r="AN170" s="51"/>
      <c r="AO170" s="51"/>
      <c r="AP170" s="51" t="s">
        <v>142</v>
      </c>
      <c r="AQ170" s="51" t="s">
        <v>2189</v>
      </c>
    </row>
    <row r="171" spans="1:43" x14ac:dyDescent="0.2">
      <c r="A171" s="51">
        <v>10020548</v>
      </c>
      <c r="B171" s="51">
        <v>10</v>
      </c>
      <c r="C171" s="51" t="s">
        <v>18</v>
      </c>
      <c r="D171" s="51" t="s">
        <v>78</v>
      </c>
      <c r="E171" s="53">
        <v>42396</v>
      </c>
      <c r="F171" s="51">
        <v>93663193</v>
      </c>
      <c r="G171" s="51">
        <v>10</v>
      </c>
      <c r="H171" s="51">
        <v>1201646</v>
      </c>
      <c r="I171" s="51" t="s">
        <v>164</v>
      </c>
      <c r="J171" s="51">
        <v>1201646</v>
      </c>
      <c r="K171" s="51" t="s">
        <v>164</v>
      </c>
      <c r="L171" s="51">
        <v>1201646</v>
      </c>
      <c r="M171" s="51" t="s">
        <v>164</v>
      </c>
      <c r="N171" s="51">
        <v>8047112</v>
      </c>
      <c r="O171" s="51"/>
      <c r="P171" s="51"/>
      <c r="Q171" s="51">
        <v>591379783</v>
      </c>
      <c r="R171" s="51" t="s">
        <v>1674</v>
      </c>
      <c r="S171" s="51" t="s">
        <v>1322</v>
      </c>
      <c r="T171" s="51" t="s">
        <v>1412</v>
      </c>
      <c r="U171" s="51" t="s">
        <v>1331</v>
      </c>
      <c r="V171" s="51"/>
      <c r="W171" s="51">
        <v>1440</v>
      </c>
      <c r="X171" s="51">
        <v>7</v>
      </c>
      <c r="Y171" s="51" t="s">
        <v>1332</v>
      </c>
      <c r="Z171" s="51">
        <v>2.17</v>
      </c>
      <c r="AA171" s="51" t="s">
        <v>182</v>
      </c>
      <c r="AB171" s="54">
        <v>3124.8</v>
      </c>
      <c r="AC171" s="51">
        <v>15.19</v>
      </c>
      <c r="AD171" s="51" t="s">
        <v>182</v>
      </c>
      <c r="AE171" s="51" t="s">
        <v>181</v>
      </c>
      <c r="AF171" s="51" t="s">
        <v>97</v>
      </c>
      <c r="AG171" s="51" t="s">
        <v>69</v>
      </c>
      <c r="AH171" s="51" t="s">
        <v>70</v>
      </c>
      <c r="AI171" s="51" t="s">
        <v>76</v>
      </c>
      <c r="AJ171" s="53">
        <v>42405</v>
      </c>
      <c r="AK171" s="51" t="s">
        <v>64</v>
      </c>
      <c r="AL171" s="53">
        <v>42396</v>
      </c>
      <c r="AM171" s="51" t="s">
        <v>100</v>
      </c>
      <c r="AN171" s="51">
        <v>62086908</v>
      </c>
      <c r="AO171" s="53">
        <v>42424</v>
      </c>
      <c r="AP171" s="51" t="s">
        <v>77</v>
      </c>
      <c r="AQ171" s="51" t="s">
        <v>1035</v>
      </c>
    </row>
    <row r="172" spans="1:43" x14ac:dyDescent="0.2">
      <c r="A172" s="51">
        <v>10020549</v>
      </c>
      <c r="B172" s="51">
        <v>60</v>
      </c>
      <c r="C172" s="51" t="s">
        <v>24</v>
      </c>
      <c r="D172" s="51" t="s">
        <v>78</v>
      </c>
      <c r="E172" s="53">
        <v>42396</v>
      </c>
      <c r="F172" s="51">
        <v>93660710</v>
      </c>
      <c r="G172" s="51">
        <v>60</v>
      </c>
      <c r="H172" s="51">
        <v>1201086</v>
      </c>
      <c r="I172" s="51" t="s">
        <v>116</v>
      </c>
      <c r="J172" s="51">
        <v>1201086</v>
      </c>
      <c r="K172" s="51" t="s">
        <v>116</v>
      </c>
      <c r="L172" s="51">
        <v>1201086</v>
      </c>
      <c r="M172" s="51" t="s">
        <v>116</v>
      </c>
      <c r="N172" s="51">
        <v>1057530</v>
      </c>
      <c r="O172" s="51"/>
      <c r="P172" s="51"/>
      <c r="Q172" s="51">
        <v>45963055550</v>
      </c>
      <c r="R172" s="51" t="s">
        <v>1366</v>
      </c>
      <c r="S172" s="51" t="s">
        <v>1322</v>
      </c>
      <c r="T172" s="51" t="s">
        <v>2190</v>
      </c>
      <c r="U172" s="51" t="s">
        <v>1331</v>
      </c>
      <c r="V172" s="51" t="s">
        <v>2191</v>
      </c>
      <c r="W172" s="51">
        <v>144</v>
      </c>
      <c r="X172" s="51">
        <v>6</v>
      </c>
      <c r="Y172" s="51" t="s">
        <v>1332</v>
      </c>
      <c r="Z172" s="51">
        <v>8.16</v>
      </c>
      <c r="AA172" s="51" t="s">
        <v>182</v>
      </c>
      <c r="AB172" s="54">
        <v>1175.04</v>
      </c>
      <c r="AC172" s="51">
        <v>48.96</v>
      </c>
      <c r="AD172" s="51" t="s">
        <v>182</v>
      </c>
      <c r="AE172" s="51" t="s">
        <v>181</v>
      </c>
      <c r="AF172" s="51" t="s">
        <v>97</v>
      </c>
      <c r="AG172" s="51" t="s">
        <v>69</v>
      </c>
      <c r="AH172" s="51" t="s">
        <v>70</v>
      </c>
      <c r="AI172" s="51" t="s">
        <v>71</v>
      </c>
      <c r="AJ172" s="53">
        <v>42397</v>
      </c>
      <c r="AK172" s="51" t="s">
        <v>64</v>
      </c>
      <c r="AL172" s="53">
        <v>42396</v>
      </c>
      <c r="AM172" s="51" t="s">
        <v>72</v>
      </c>
      <c r="AN172" s="51">
        <v>62072129</v>
      </c>
      <c r="AO172" s="53">
        <v>42402</v>
      </c>
      <c r="AP172" s="51" t="s">
        <v>73</v>
      </c>
      <c r="AQ172" s="51" t="s">
        <v>112</v>
      </c>
    </row>
    <row r="173" spans="1:43" x14ac:dyDescent="0.2">
      <c r="A173" s="51">
        <v>10020549</v>
      </c>
      <c r="B173" s="51">
        <v>70</v>
      </c>
      <c r="C173" s="51" t="s">
        <v>24</v>
      </c>
      <c r="D173" s="51" t="s">
        <v>78</v>
      </c>
      <c r="E173" s="53">
        <v>42396</v>
      </c>
      <c r="F173" s="51">
        <v>93660710</v>
      </c>
      <c r="G173" s="51">
        <v>70</v>
      </c>
      <c r="H173" s="51">
        <v>1201086</v>
      </c>
      <c r="I173" s="51" t="s">
        <v>116</v>
      </c>
      <c r="J173" s="51">
        <v>1201086</v>
      </c>
      <c r="K173" s="51" t="s">
        <v>116</v>
      </c>
      <c r="L173" s="51">
        <v>1201086</v>
      </c>
      <c r="M173" s="51" t="s">
        <v>116</v>
      </c>
      <c r="N173" s="51">
        <v>1057530</v>
      </c>
      <c r="O173" s="51"/>
      <c r="P173" s="51"/>
      <c r="Q173" s="51">
        <v>45963055650</v>
      </c>
      <c r="R173" s="51" t="s">
        <v>2192</v>
      </c>
      <c r="S173" s="51" t="s">
        <v>1322</v>
      </c>
      <c r="T173" s="51" t="s">
        <v>2190</v>
      </c>
      <c r="U173" s="51" t="s">
        <v>1331</v>
      </c>
      <c r="V173" s="51"/>
      <c r="W173" s="51">
        <v>144</v>
      </c>
      <c r="X173" s="51">
        <v>6</v>
      </c>
      <c r="Y173" s="51" t="s">
        <v>1332</v>
      </c>
      <c r="Z173" s="51">
        <v>16.850000000000001</v>
      </c>
      <c r="AA173" s="51" t="s">
        <v>182</v>
      </c>
      <c r="AB173" s="54">
        <v>2426.4</v>
      </c>
      <c r="AC173" s="51">
        <v>101.1</v>
      </c>
      <c r="AD173" s="51" t="s">
        <v>182</v>
      </c>
      <c r="AE173" s="51" t="s">
        <v>181</v>
      </c>
      <c r="AF173" s="51" t="s">
        <v>97</v>
      </c>
      <c r="AG173" s="51" t="s">
        <v>69</v>
      </c>
      <c r="AH173" s="51" t="s">
        <v>70</v>
      </c>
      <c r="AI173" s="51" t="s">
        <v>71</v>
      </c>
      <c r="AJ173" s="53">
        <v>42397</v>
      </c>
      <c r="AK173" s="51" t="s">
        <v>64</v>
      </c>
      <c r="AL173" s="53">
        <v>42396</v>
      </c>
      <c r="AM173" s="51" t="s">
        <v>72</v>
      </c>
      <c r="AN173" s="51">
        <v>62072129</v>
      </c>
      <c r="AO173" s="53">
        <v>42402</v>
      </c>
      <c r="AP173" s="51" t="s">
        <v>73</v>
      </c>
      <c r="AQ173" s="51" t="s">
        <v>112</v>
      </c>
    </row>
    <row r="174" spans="1:43" x14ac:dyDescent="0.2">
      <c r="A174" s="51">
        <v>10020550</v>
      </c>
      <c r="B174" s="51">
        <v>90</v>
      </c>
      <c r="C174" s="51" t="s">
        <v>18</v>
      </c>
      <c r="D174" s="51" t="s">
        <v>149</v>
      </c>
      <c r="E174" s="53">
        <v>42396</v>
      </c>
      <c r="F174" s="51">
        <v>93641530</v>
      </c>
      <c r="G174" s="51">
        <v>90</v>
      </c>
      <c r="H174" s="51">
        <v>1201047</v>
      </c>
      <c r="I174" s="51" t="s">
        <v>79</v>
      </c>
      <c r="J174" s="51">
        <v>1034532</v>
      </c>
      <c r="K174" s="51" t="s">
        <v>301</v>
      </c>
      <c r="L174" s="51">
        <v>1171089</v>
      </c>
      <c r="M174" s="51" t="s">
        <v>75</v>
      </c>
      <c r="N174" s="51">
        <v>25437534</v>
      </c>
      <c r="O174" s="51"/>
      <c r="P174" s="51"/>
      <c r="Q174" s="51">
        <v>228266650</v>
      </c>
      <c r="R174" s="51" t="s">
        <v>2192</v>
      </c>
      <c r="S174" s="51" t="s">
        <v>1322</v>
      </c>
      <c r="T174" s="51" t="s">
        <v>2190</v>
      </c>
      <c r="U174" s="51" t="s">
        <v>1331</v>
      </c>
      <c r="V174" s="51"/>
      <c r="W174" s="51">
        <v>252</v>
      </c>
      <c r="X174" s="51">
        <v>2</v>
      </c>
      <c r="Y174" s="51" t="s">
        <v>1332</v>
      </c>
      <c r="Z174" s="51">
        <v>43.75</v>
      </c>
      <c r="AA174" s="51" t="s">
        <v>182</v>
      </c>
      <c r="AB174" s="54">
        <v>11025</v>
      </c>
      <c r="AC174" s="51">
        <v>87.5</v>
      </c>
      <c r="AD174" s="51" t="s">
        <v>182</v>
      </c>
      <c r="AE174" s="51" t="s">
        <v>181</v>
      </c>
      <c r="AF174" s="51" t="s">
        <v>97</v>
      </c>
      <c r="AG174" s="51" t="s">
        <v>63</v>
      </c>
      <c r="AH174" s="51" t="s">
        <v>70</v>
      </c>
      <c r="AI174" s="51" t="s">
        <v>76</v>
      </c>
      <c r="AJ174" s="53">
        <v>42405</v>
      </c>
      <c r="AK174" s="51" t="s">
        <v>64</v>
      </c>
      <c r="AL174" s="53">
        <v>42396</v>
      </c>
      <c r="AM174" s="51"/>
      <c r="AN174" s="51"/>
      <c r="AO174" s="51"/>
      <c r="AP174" s="51" t="s">
        <v>77</v>
      </c>
      <c r="AQ174" s="51" t="s">
        <v>211</v>
      </c>
    </row>
    <row r="175" spans="1:43" x14ac:dyDescent="0.2">
      <c r="A175" s="51">
        <v>10020551</v>
      </c>
      <c r="B175" s="51">
        <v>300</v>
      </c>
      <c r="C175" s="51" t="s">
        <v>18</v>
      </c>
      <c r="D175" s="51" t="s">
        <v>573</v>
      </c>
      <c r="E175" s="53">
        <v>42396</v>
      </c>
      <c r="F175" s="51">
        <v>93667877</v>
      </c>
      <c r="G175" s="51">
        <v>300</v>
      </c>
      <c r="H175" s="51">
        <v>1201120</v>
      </c>
      <c r="I175" s="51" t="s">
        <v>117</v>
      </c>
      <c r="J175" s="51">
        <v>1307782</v>
      </c>
      <c r="K175" s="51" t="s">
        <v>119</v>
      </c>
      <c r="L175" s="51">
        <v>1171090</v>
      </c>
      <c r="M175" s="51" t="s">
        <v>118</v>
      </c>
      <c r="N175" s="51" t="s">
        <v>2181</v>
      </c>
      <c r="O175" s="51"/>
      <c r="P175" s="51"/>
      <c r="Q175" s="51">
        <v>472037015</v>
      </c>
      <c r="R175" s="51" t="s">
        <v>1521</v>
      </c>
      <c r="S175" s="51" t="s">
        <v>1322</v>
      </c>
      <c r="T175" s="51" t="s">
        <v>2193</v>
      </c>
      <c r="U175" s="51" t="s">
        <v>1331</v>
      </c>
      <c r="V175" s="51" t="s">
        <v>1523</v>
      </c>
      <c r="W175" s="51">
        <v>1152</v>
      </c>
      <c r="X175" s="51">
        <v>15</v>
      </c>
      <c r="Y175" s="51" t="s">
        <v>1332</v>
      </c>
      <c r="Z175" s="51">
        <v>12.96</v>
      </c>
      <c r="AA175" s="51" t="s">
        <v>182</v>
      </c>
      <c r="AB175" s="54">
        <v>14929.92</v>
      </c>
      <c r="AC175" s="51">
        <v>194.4</v>
      </c>
      <c r="AD175" s="51" t="s">
        <v>182</v>
      </c>
      <c r="AE175" s="51" t="s">
        <v>181</v>
      </c>
      <c r="AF175" s="51" t="s">
        <v>97</v>
      </c>
      <c r="AG175" s="51" t="s">
        <v>69</v>
      </c>
      <c r="AH175" s="51" t="s">
        <v>70</v>
      </c>
      <c r="AI175" s="51" t="s">
        <v>76</v>
      </c>
      <c r="AJ175" s="53">
        <v>42405</v>
      </c>
      <c r="AK175" s="51" t="s">
        <v>64</v>
      </c>
      <c r="AL175" s="53">
        <v>42396</v>
      </c>
      <c r="AM175" s="51" t="s">
        <v>100</v>
      </c>
      <c r="AN175" s="51">
        <v>62083556</v>
      </c>
      <c r="AO175" s="53">
        <v>42418</v>
      </c>
      <c r="AP175" s="51" t="s">
        <v>77</v>
      </c>
      <c r="AQ175" s="51" t="s">
        <v>1934</v>
      </c>
    </row>
    <row r="176" spans="1:43" x14ac:dyDescent="0.2">
      <c r="A176" s="51">
        <v>10020552</v>
      </c>
      <c r="B176" s="51">
        <v>20</v>
      </c>
      <c r="C176" s="51" t="s">
        <v>22</v>
      </c>
      <c r="D176" s="51" t="s">
        <v>432</v>
      </c>
      <c r="E176" s="53">
        <v>42396</v>
      </c>
      <c r="F176" s="51">
        <v>93668141</v>
      </c>
      <c r="G176" s="51">
        <v>20</v>
      </c>
      <c r="H176" s="51">
        <v>1341503</v>
      </c>
      <c r="I176" s="51" t="s">
        <v>2194</v>
      </c>
      <c r="J176" s="51">
        <v>1341503</v>
      </c>
      <c r="K176" s="51" t="s">
        <v>2194</v>
      </c>
      <c r="L176" s="51">
        <v>1341503</v>
      </c>
      <c r="M176" s="51" t="s">
        <v>2194</v>
      </c>
      <c r="N176" s="51">
        <v>4501</v>
      </c>
      <c r="O176" s="51"/>
      <c r="P176" s="51"/>
      <c r="Q176" s="51">
        <v>591213651</v>
      </c>
      <c r="R176" s="51" t="s">
        <v>2195</v>
      </c>
      <c r="S176" s="51" t="s">
        <v>1322</v>
      </c>
      <c r="T176" s="51" t="s">
        <v>2196</v>
      </c>
      <c r="U176" s="51" t="s">
        <v>1331</v>
      </c>
      <c r="V176" s="51" t="s">
        <v>2197</v>
      </c>
      <c r="W176" s="51">
        <v>3</v>
      </c>
      <c r="X176" s="51">
        <v>6</v>
      </c>
      <c r="Y176" s="51" t="s">
        <v>1332</v>
      </c>
      <c r="Z176" s="51">
        <v>88.47</v>
      </c>
      <c r="AA176" s="51" t="s">
        <v>182</v>
      </c>
      <c r="AB176" s="51">
        <v>265.41000000000003</v>
      </c>
      <c r="AC176" s="51">
        <v>530.82000000000005</v>
      </c>
      <c r="AD176" s="51" t="s">
        <v>182</v>
      </c>
      <c r="AE176" s="51" t="s">
        <v>181</v>
      </c>
      <c r="AF176" s="51" t="s">
        <v>97</v>
      </c>
      <c r="AG176" s="51" t="s">
        <v>63</v>
      </c>
      <c r="AH176" s="51"/>
      <c r="AI176" s="51"/>
      <c r="AJ176" s="51"/>
      <c r="AK176" s="51" t="s">
        <v>64</v>
      </c>
      <c r="AL176" s="53">
        <v>42396</v>
      </c>
      <c r="AM176" s="51"/>
      <c r="AN176" s="51"/>
      <c r="AO176" s="51"/>
      <c r="AP176" s="51"/>
      <c r="AQ176" s="51"/>
    </row>
    <row r="177" spans="1:43" x14ac:dyDescent="0.2">
      <c r="A177" s="51">
        <v>10020552</v>
      </c>
      <c r="B177" s="51">
        <v>30</v>
      </c>
      <c r="C177" s="51" t="s">
        <v>22</v>
      </c>
      <c r="D177" s="51" t="s">
        <v>432</v>
      </c>
      <c r="E177" s="53">
        <v>42396</v>
      </c>
      <c r="F177" s="51">
        <v>93668141</v>
      </c>
      <c r="G177" s="51">
        <v>30</v>
      </c>
      <c r="H177" s="51">
        <v>1341503</v>
      </c>
      <c r="I177" s="51" t="s">
        <v>2194</v>
      </c>
      <c r="J177" s="51">
        <v>1341503</v>
      </c>
      <c r="K177" s="51" t="s">
        <v>2194</v>
      </c>
      <c r="L177" s="51">
        <v>1341503</v>
      </c>
      <c r="M177" s="51" t="s">
        <v>2194</v>
      </c>
      <c r="N177" s="51">
        <v>4501</v>
      </c>
      <c r="O177" s="51"/>
      <c r="P177" s="51"/>
      <c r="Q177" s="51">
        <v>591213668</v>
      </c>
      <c r="R177" s="51" t="s">
        <v>2198</v>
      </c>
      <c r="S177" s="51" t="s">
        <v>1322</v>
      </c>
      <c r="T177" s="51" t="s">
        <v>2196</v>
      </c>
      <c r="U177" s="51" t="s">
        <v>1331</v>
      </c>
      <c r="V177" s="51" t="s">
        <v>2199</v>
      </c>
      <c r="W177" s="51">
        <v>3</v>
      </c>
      <c r="X177" s="51">
        <v>6</v>
      </c>
      <c r="Y177" s="51" t="s">
        <v>1324</v>
      </c>
      <c r="Z177" s="51">
        <v>88.47</v>
      </c>
      <c r="AA177" s="51" t="s">
        <v>182</v>
      </c>
      <c r="AB177" s="51">
        <v>265.41000000000003</v>
      </c>
      <c r="AC177" s="51">
        <v>530.82000000000005</v>
      </c>
      <c r="AD177" s="51" t="s">
        <v>182</v>
      </c>
      <c r="AE177" s="51" t="s">
        <v>181</v>
      </c>
      <c r="AF177" s="51" t="s">
        <v>97</v>
      </c>
      <c r="AG177" s="51" t="s">
        <v>63</v>
      </c>
      <c r="AH177" s="51"/>
      <c r="AI177" s="51"/>
      <c r="AJ177" s="51"/>
      <c r="AK177" s="51" t="s">
        <v>64</v>
      </c>
      <c r="AL177" s="53">
        <v>42396</v>
      </c>
      <c r="AM177" s="51"/>
      <c r="AN177" s="51"/>
      <c r="AO177" s="51"/>
      <c r="AP177" s="51"/>
      <c r="AQ177" s="51"/>
    </row>
    <row r="178" spans="1:43" x14ac:dyDescent="0.2">
      <c r="A178" s="51">
        <v>10020553</v>
      </c>
      <c r="B178" s="51">
        <v>50</v>
      </c>
      <c r="C178" s="51" t="s">
        <v>26</v>
      </c>
      <c r="D178" s="51" t="s">
        <v>149</v>
      </c>
      <c r="E178" s="53">
        <v>42396</v>
      </c>
      <c r="F178" s="51">
        <v>93656749</v>
      </c>
      <c r="G178" s="51">
        <v>50</v>
      </c>
      <c r="H178" s="51">
        <v>1201047</v>
      </c>
      <c r="I178" s="51" t="s">
        <v>79</v>
      </c>
      <c r="J178" s="51">
        <v>1321618</v>
      </c>
      <c r="K178" s="51" t="s">
        <v>85</v>
      </c>
      <c r="L178" s="51">
        <v>1171089</v>
      </c>
      <c r="M178" s="51" t="s">
        <v>75</v>
      </c>
      <c r="N178" s="51">
        <v>55532516</v>
      </c>
      <c r="O178" s="51"/>
      <c r="P178" s="51"/>
      <c r="Q178" s="51">
        <v>62037057101</v>
      </c>
      <c r="R178" s="51" t="s">
        <v>2200</v>
      </c>
      <c r="S178" s="51" t="s">
        <v>1322</v>
      </c>
      <c r="T178" s="51" t="s">
        <v>1464</v>
      </c>
      <c r="U178" s="51" t="s">
        <v>1331</v>
      </c>
      <c r="V178" s="51" t="s">
        <v>2201</v>
      </c>
      <c r="W178" s="51">
        <v>192</v>
      </c>
      <c r="X178" s="51">
        <v>96</v>
      </c>
      <c r="Y178" s="51" t="s">
        <v>1332</v>
      </c>
      <c r="Z178" s="51">
        <v>8.7100000000000009</v>
      </c>
      <c r="AA178" s="51" t="s">
        <v>182</v>
      </c>
      <c r="AB178" s="54">
        <v>1672.32</v>
      </c>
      <c r="AC178" s="51">
        <v>836.16</v>
      </c>
      <c r="AD178" s="51" t="s">
        <v>182</v>
      </c>
      <c r="AE178" s="51" t="s">
        <v>181</v>
      </c>
      <c r="AF178" s="51" t="s">
        <v>97</v>
      </c>
      <c r="AG178" s="51" t="s">
        <v>63</v>
      </c>
      <c r="AH178" s="51" t="s">
        <v>94</v>
      </c>
      <c r="AI178" s="51" t="s">
        <v>95</v>
      </c>
      <c r="AJ178" s="53">
        <v>42405</v>
      </c>
      <c r="AK178" s="51" t="s">
        <v>64</v>
      </c>
      <c r="AL178" s="53">
        <v>42396</v>
      </c>
      <c r="AM178" s="51"/>
      <c r="AN178" s="51"/>
      <c r="AO178" s="51"/>
      <c r="AP178" s="51" t="s">
        <v>96</v>
      </c>
      <c r="AQ178" s="51" t="s">
        <v>2202</v>
      </c>
    </row>
    <row r="179" spans="1:43" x14ac:dyDescent="0.2">
      <c r="A179" s="51">
        <v>10020554</v>
      </c>
      <c r="B179" s="51">
        <v>70</v>
      </c>
      <c r="C179" s="51" t="s">
        <v>18</v>
      </c>
      <c r="D179" s="51" t="s">
        <v>432</v>
      </c>
      <c r="E179" s="53">
        <v>42396</v>
      </c>
      <c r="F179" s="51">
        <v>93664724</v>
      </c>
      <c r="G179" s="51">
        <v>70</v>
      </c>
      <c r="H179" s="51">
        <v>1201399</v>
      </c>
      <c r="I179" s="51" t="s">
        <v>144</v>
      </c>
      <c r="J179" s="51">
        <v>1335374</v>
      </c>
      <c r="K179" s="51" t="s">
        <v>146</v>
      </c>
      <c r="L179" s="51">
        <v>1171970</v>
      </c>
      <c r="M179" s="51" t="s">
        <v>144</v>
      </c>
      <c r="N179" s="51">
        <v>2100045960</v>
      </c>
      <c r="O179" s="51"/>
      <c r="P179" s="51"/>
      <c r="Q179" s="51">
        <v>45963060868</v>
      </c>
      <c r="R179" s="51" t="s">
        <v>2203</v>
      </c>
      <c r="S179" s="51" t="s">
        <v>1322</v>
      </c>
      <c r="T179" s="51" t="s">
        <v>2204</v>
      </c>
      <c r="U179" s="51" t="s">
        <v>1331</v>
      </c>
      <c r="V179" s="51" t="s">
        <v>2205</v>
      </c>
      <c r="W179" s="51">
        <v>10</v>
      </c>
      <c r="X179" s="51">
        <v>10</v>
      </c>
      <c r="Y179" s="51" t="s">
        <v>1332</v>
      </c>
      <c r="Z179" s="51">
        <v>48.4</v>
      </c>
      <c r="AA179" s="51" t="s">
        <v>182</v>
      </c>
      <c r="AB179" s="51">
        <v>484</v>
      </c>
      <c r="AC179" s="51">
        <v>484</v>
      </c>
      <c r="AD179" s="51" t="s">
        <v>182</v>
      </c>
      <c r="AE179" s="51" t="s">
        <v>181</v>
      </c>
      <c r="AF179" s="51" t="s">
        <v>97</v>
      </c>
      <c r="AG179" s="51" t="s">
        <v>69</v>
      </c>
      <c r="AH179" s="51" t="s">
        <v>70</v>
      </c>
      <c r="AI179" s="51" t="s">
        <v>76</v>
      </c>
      <c r="AJ179" s="53">
        <v>42405</v>
      </c>
      <c r="AK179" s="51" t="s">
        <v>64</v>
      </c>
      <c r="AL179" s="53">
        <v>42396</v>
      </c>
      <c r="AM179" s="51" t="s">
        <v>100</v>
      </c>
      <c r="AN179" s="51">
        <v>62083582</v>
      </c>
      <c r="AO179" s="53">
        <v>42418</v>
      </c>
      <c r="AP179" s="51" t="s">
        <v>77</v>
      </c>
      <c r="AQ179" s="51" t="s">
        <v>2206</v>
      </c>
    </row>
    <row r="180" spans="1:43" x14ac:dyDescent="0.2">
      <c r="A180" s="51">
        <v>10020555</v>
      </c>
      <c r="B180" s="51">
        <v>110</v>
      </c>
      <c r="C180" s="51" t="s">
        <v>26</v>
      </c>
      <c r="D180" s="51" t="s">
        <v>252</v>
      </c>
      <c r="E180" s="53">
        <v>42396</v>
      </c>
      <c r="F180" s="51">
        <v>93649440</v>
      </c>
      <c r="G180" s="51">
        <v>110</v>
      </c>
      <c r="H180" s="51">
        <v>1201156</v>
      </c>
      <c r="I180" s="51" t="s">
        <v>131</v>
      </c>
      <c r="J180" s="51">
        <v>1335316</v>
      </c>
      <c r="K180" s="51" t="s">
        <v>132</v>
      </c>
      <c r="L180" s="51">
        <v>1201156</v>
      </c>
      <c r="M180" s="51" t="s">
        <v>131</v>
      </c>
      <c r="N180" s="51">
        <v>7303764</v>
      </c>
      <c r="O180" s="51"/>
      <c r="P180" s="51"/>
      <c r="Q180" s="51">
        <v>591090030</v>
      </c>
      <c r="R180" s="51" t="s">
        <v>2074</v>
      </c>
      <c r="S180" s="51" t="s">
        <v>1322</v>
      </c>
      <c r="T180" s="51" t="s">
        <v>1470</v>
      </c>
      <c r="U180" s="51" t="s">
        <v>1331</v>
      </c>
      <c r="V180" s="51">
        <v>3135247</v>
      </c>
      <c r="W180" s="51">
        <v>432</v>
      </c>
      <c r="X180" s="51">
        <v>144</v>
      </c>
      <c r="Y180" s="51" t="s">
        <v>1332</v>
      </c>
      <c r="Z180" s="51">
        <v>2.2799999999999998</v>
      </c>
      <c r="AA180" s="51" t="s">
        <v>182</v>
      </c>
      <c r="AB180" s="51">
        <v>984.96</v>
      </c>
      <c r="AC180" s="51">
        <v>328.32</v>
      </c>
      <c r="AD180" s="51" t="s">
        <v>182</v>
      </c>
      <c r="AE180" s="51" t="s">
        <v>181</v>
      </c>
      <c r="AF180" s="51" t="s">
        <v>97</v>
      </c>
      <c r="AG180" s="51" t="s">
        <v>69</v>
      </c>
      <c r="AH180" s="51" t="s">
        <v>94</v>
      </c>
      <c r="AI180" s="51" t="s">
        <v>95</v>
      </c>
      <c r="AJ180" s="53">
        <v>42402</v>
      </c>
      <c r="AK180" s="51" t="s">
        <v>64</v>
      </c>
      <c r="AL180" s="53">
        <v>42396</v>
      </c>
      <c r="AM180" s="51" t="s">
        <v>100</v>
      </c>
      <c r="AN180" s="51">
        <v>62077308</v>
      </c>
      <c r="AO180" s="53">
        <v>42409</v>
      </c>
      <c r="AP180" s="51" t="s">
        <v>96</v>
      </c>
      <c r="AQ180" s="51" t="s">
        <v>2207</v>
      </c>
    </row>
    <row r="181" spans="1:43" x14ac:dyDescent="0.2">
      <c r="A181" s="51">
        <v>10020557</v>
      </c>
      <c r="B181" s="51">
        <v>270</v>
      </c>
      <c r="C181" s="51" t="s">
        <v>18</v>
      </c>
      <c r="D181" s="51" t="s">
        <v>592</v>
      </c>
      <c r="E181" s="53">
        <v>42397</v>
      </c>
      <c r="F181" s="51">
        <v>93651602</v>
      </c>
      <c r="G181" s="51">
        <v>270</v>
      </c>
      <c r="H181" s="51">
        <v>1201766</v>
      </c>
      <c r="I181" s="51" t="s">
        <v>143</v>
      </c>
      <c r="J181" s="51">
        <v>1157939</v>
      </c>
      <c r="K181" s="51" t="s">
        <v>143</v>
      </c>
      <c r="L181" s="51">
        <v>1201766</v>
      </c>
      <c r="M181" s="51" t="s">
        <v>143</v>
      </c>
      <c r="N181" s="51">
        <v>63141</v>
      </c>
      <c r="O181" s="51"/>
      <c r="P181" s="51"/>
      <c r="Q181" s="51">
        <v>62037086620</v>
      </c>
      <c r="R181" s="51" t="s">
        <v>1946</v>
      </c>
      <c r="S181" s="51" t="s">
        <v>1322</v>
      </c>
      <c r="T181" s="51" t="s">
        <v>1944</v>
      </c>
      <c r="U181" s="51" t="s">
        <v>1331</v>
      </c>
      <c r="V181" s="51" t="s">
        <v>2208</v>
      </c>
      <c r="W181" s="51">
        <v>25</v>
      </c>
      <c r="X181" s="51">
        <v>1</v>
      </c>
      <c r="Y181" s="51" t="s">
        <v>1332</v>
      </c>
      <c r="Z181" s="51">
        <v>219.77</v>
      </c>
      <c r="AA181" s="51" t="s">
        <v>182</v>
      </c>
      <c r="AB181" s="54">
        <v>5494.25</v>
      </c>
      <c r="AC181" s="51">
        <v>219.77</v>
      </c>
      <c r="AD181" s="51" t="s">
        <v>182</v>
      </c>
      <c r="AE181" s="51" t="s">
        <v>181</v>
      </c>
      <c r="AF181" s="51" t="s">
        <v>97</v>
      </c>
      <c r="AG181" s="51" t="s">
        <v>69</v>
      </c>
      <c r="AH181" s="51" t="s">
        <v>70</v>
      </c>
      <c r="AI181" s="51" t="s">
        <v>76</v>
      </c>
      <c r="AJ181" s="53">
        <v>42405</v>
      </c>
      <c r="AK181" s="51" t="s">
        <v>64</v>
      </c>
      <c r="AL181" s="53">
        <v>42397</v>
      </c>
      <c r="AM181" s="51" t="s">
        <v>100</v>
      </c>
      <c r="AN181" s="51">
        <v>62083558</v>
      </c>
      <c r="AO181" s="53">
        <v>42418</v>
      </c>
      <c r="AP181" s="51" t="s">
        <v>77</v>
      </c>
      <c r="AQ181" s="51" t="s">
        <v>196</v>
      </c>
    </row>
    <row r="182" spans="1:43" x14ac:dyDescent="0.2">
      <c r="A182" s="51">
        <v>10020558</v>
      </c>
      <c r="B182" s="51">
        <v>2070</v>
      </c>
      <c r="C182" s="51" t="s">
        <v>26</v>
      </c>
      <c r="D182" s="51" t="s">
        <v>573</v>
      </c>
      <c r="E182" s="53">
        <v>42397</v>
      </c>
      <c r="F182" s="51">
        <v>93666319</v>
      </c>
      <c r="G182" s="51">
        <v>2070</v>
      </c>
      <c r="H182" s="51">
        <v>1201120</v>
      </c>
      <c r="I182" s="51" t="s">
        <v>117</v>
      </c>
      <c r="J182" s="51">
        <v>1307782</v>
      </c>
      <c r="K182" s="51" t="s">
        <v>119</v>
      </c>
      <c r="L182" s="51">
        <v>1171090</v>
      </c>
      <c r="M182" s="51" t="s">
        <v>118</v>
      </c>
      <c r="N182" s="51" t="s">
        <v>2181</v>
      </c>
      <c r="O182" s="51"/>
      <c r="P182" s="51"/>
      <c r="Q182" s="51">
        <v>591046201</v>
      </c>
      <c r="R182" s="51" t="s">
        <v>2209</v>
      </c>
      <c r="S182" s="51" t="s">
        <v>1322</v>
      </c>
      <c r="T182" s="51" t="s">
        <v>2210</v>
      </c>
      <c r="U182" s="51" t="s">
        <v>1331</v>
      </c>
      <c r="V182" s="51" t="s">
        <v>2211</v>
      </c>
      <c r="W182" s="51">
        <v>72</v>
      </c>
      <c r="X182" s="51">
        <v>24</v>
      </c>
      <c r="Y182" s="51" t="s">
        <v>1332</v>
      </c>
      <c r="Z182" s="51">
        <v>3.33</v>
      </c>
      <c r="AA182" s="51" t="s">
        <v>182</v>
      </c>
      <c r="AB182" s="51">
        <v>239.76</v>
      </c>
      <c r="AC182" s="51">
        <v>79.92</v>
      </c>
      <c r="AD182" s="51" t="s">
        <v>182</v>
      </c>
      <c r="AE182" s="51" t="s">
        <v>181</v>
      </c>
      <c r="AF182" s="51" t="s">
        <v>97</v>
      </c>
      <c r="AG182" s="51" t="s">
        <v>63</v>
      </c>
      <c r="AH182" s="51" t="s">
        <v>81</v>
      </c>
      <c r="AI182" s="51" t="s">
        <v>82</v>
      </c>
      <c r="AJ182" s="53">
        <v>42408</v>
      </c>
      <c r="AK182" s="51" t="s">
        <v>64</v>
      </c>
      <c r="AL182" s="53">
        <v>42397</v>
      </c>
      <c r="AM182" s="51"/>
      <c r="AN182" s="51"/>
      <c r="AO182" s="51"/>
      <c r="AP182" s="51" t="s">
        <v>84</v>
      </c>
      <c r="AQ182" s="51" t="s">
        <v>2212</v>
      </c>
    </row>
    <row r="183" spans="1:43" x14ac:dyDescent="0.2">
      <c r="A183" s="51">
        <v>10020559</v>
      </c>
      <c r="B183" s="51">
        <v>30</v>
      </c>
      <c r="C183" s="51" t="s">
        <v>18</v>
      </c>
      <c r="D183" s="51" t="s">
        <v>78</v>
      </c>
      <c r="E183" s="53">
        <v>42397</v>
      </c>
      <c r="F183" s="51">
        <v>93654465</v>
      </c>
      <c r="G183" s="51">
        <v>30</v>
      </c>
      <c r="H183" s="51">
        <v>1201494</v>
      </c>
      <c r="I183" s="51" t="s">
        <v>161</v>
      </c>
      <c r="J183" s="51">
        <v>1064093</v>
      </c>
      <c r="K183" s="51" t="s">
        <v>390</v>
      </c>
      <c r="L183" s="51">
        <v>1172005</v>
      </c>
      <c r="M183" s="51" t="s">
        <v>161</v>
      </c>
      <c r="N183" s="51">
        <v>11702</v>
      </c>
      <c r="O183" s="51"/>
      <c r="P183" s="51"/>
      <c r="Q183" s="51">
        <v>60758011905</v>
      </c>
      <c r="R183" s="51" t="s">
        <v>1511</v>
      </c>
      <c r="S183" s="51" t="s">
        <v>1322</v>
      </c>
      <c r="T183" s="51" t="s">
        <v>1400</v>
      </c>
      <c r="U183" s="51" t="s">
        <v>1331</v>
      </c>
      <c r="V183" s="51">
        <v>89791</v>
      </c>
      <c r="W183" s="51">
        <v>1440</v>
      </c>
      <c r="X183" s="51">
        <v>5</v>
      </c>
      <c r="Y183" s="51" t="s">
        <v>1332</v>
      </c>
      <c r="Z183" s="51">
        <v>28.5</v>
      </c>
      <c r="AA183" s="51" t="s">
        <v>182</v>
      </c>
      <c r="AB183" s="54">
        <v>41040</v>
      </c>
      <c r="AC183" s="51">
        <v>142.5</v>
      </c>
      <c r="AD183" s="51" t="s">
        <v>182</v>
      </c>
      <c r="AE183" s="51" t="s">
        <v>181</v>
      </c>
      <c r="AF183" s="51" t="s">
        <v>97</v>
      </c>
      <c r="AG183" s="51" t="s">
        <v>69</v>
      </c>
      <c r="AH183" s="51" t="s">
        <v>70</v>
      </c>
      <c r="AI183" s="51" t="s">
        <v>76</v>
      </c>
      <c r="AJ183" s="53">
        <v>42405</v>
      </c>
      <c r="AK183" s="51" t="s">
        <v>64</v>
      </c>
      <c r="AL183" s="53">
        <v>42397</v>
      </c>
      <c r="AM183" s="51" t="s">
        <v>100</v>
      </c>
      <c r="AN183" s="51">
        <v>62090284</v>
      </c>
      <c r="AO183" s="53">
        <v>42430</v>
      </c>
      <c r="AP183" s="51" t="s">
        <v>77</v>
      </c>
      <c r="AQ183" s="51" t="s">
        <v>187</v>
      </c>
    </row>
    <row r="184" spans="1:43" x14ac:dyDescent="0.2">
      <c r="A184" s="51">
        <v>10020567</v>
      </c>
      <c r="B184" s="51">
        <v>970</v>
      </c>
      <c r="C184" s="51" t="s">
        <v>26</v>
      </c>
      <c r="D184" s="51" t="s">
        <v>78</v>
      </c>
      <c r="E184" s="53">
        <v>42398</v>
      </c>
      <c r="F184" s="51">
        <v>93627242</v>
      </c>
      <c r="G184" s="51">
        <v>970</v>
      </c>
      <c r="H184" s="51">
        <v>1201458</v>
      </c>
      <c r="I184" s="51" t="s">
        <v>594</v>
      </c>
      <c r="J184" s="51">
        <v>1201458</v>
      </c>
      <c r="K184" s="51" t="s">
        <v>594</v>
      </c>
      <c r="L184" s="51">
        <v>1201458</v>
      </c>
      <c r="M184" s="51" t="s">
        <v>594</v>
      </c>
      <c r="N184" s="51">
        <v>277621</v>
      </c>
      <c r="O184" s="51"/>
      <c r="P184" s="51"/>
      <c r="Q184" s="51">
        <v>228255196</v>
      </c>
      <c r="R184" s="51" t="s">
        <v>2213</v>
      </c>
      <c r="S184" s="51" t="s">
        <v>1322</v>
      </c>
      <c r="T184" s="51" t="s">
        <v>1967</v>
      </c>
      <c r="U184" s="51" t="s">
        <v>1331</v>
      </c>
      <c r="V184" s="51"/>
      <c r="W184" s="51">
        <v>72</v>
      </c>
      <c r="X184" s="51">
        <v>6</v>
      </c>
      <c r="Y184" s="51" t="s">
        <v>1332</v>
      </c>
      <c r="Z184" s="51">
        <v>378.3</v>
      </c>
      <c r="AA184" s="51" t="s">
        <v>182</v>
      </c>
      <c r="AB184" s="54">
        <v>27237.599999999999</v>
      </c>
      <c r="AC184" s="54">
        <v>2269.8000000000002</v>
      </c>
      <c r="AD184" s="51" t="s">
        <v>182</v>
      </c>
      <c r="AE184" s="51" t="s">
        <v>181</v>
      </c>
      <c r="AF184" s="51" t="s">
        <v>97</v>
      </c>
      <c r="AG184" s="51" t="s">
        <v>63</v>
      </c>
      <c r="AH184" s="51" t="s">
        <v>94</v>
      </c>
      <c r="AI184" s="51" t="s">
        <v>95</v>
      </c>
      <c r="AJ184" s="53">
        <v>42408</v>
      </c>
      <c r="AK184" s="51" t="s">
        <v>64</v>
      </c>
      <c r="AL184" s="53">
        <v>42398</v>
      </c>
      <c r="AM184" s="51"/>
      <c r="AN184" s="51"/>
      <c r="AO184" s="51"/>
      <c r="AP184" s="51" t="s">
        <v>96</v>
      </c>
      <c r="AQ184" s="51" t="s">
        <v>2214</v>
      </c>
    </row>
    <row r="185" spans="1:43" x14ac:dyDescent="0.2">
      <c r="A185" s="51">
        <v>10020568</v>
      </c>
      <c r="B185" s="51">
        <v>10</v>
      </c>
      <c r="C185" s="51" t="s">
        <v>26</v>
      </c>
      <c r="D185" s="51" t="s">
        <v>78</v>
      </c>
      <c r="E185" s="53">
        <v>42398</v>
      </c>
      <c r="F185" s="51">
        <v>93653153</v>
      </c>
      <c r="G185" s="51">
        <v>10</v>
      </c>
      <c r="H185" s="51">
        <v>1322827</v>
      </c>
      <c r="I185" s="51" t="s">
        <v>253</v>
      </c>
      <c r="J185" s="51">
        <v>1322879</v>
      </c>
      <c r="K185" s="51" t="s">
        <v>253</v>
      </c>
      <c r="L185" s="51">
        <v>1322827</v>
      </c>
      <c r="M185" s="51" t="s">
        <v>253</v>
      </c>
      <c r="N185" s="51">
        <v>1351775</v>
      </c>
      <c r="O185" s="51"/>
      <c r="P185" s="51"/>
      <c r="Q185" s="51">
        <v>60758018805</v>
      </c>
      <c r="R185" s="51" t="s">
        <v>1471</v>
      </c>
      <c r="S185" s="51" t="s">
        <v>1322</v>
      </c>
      <c r="T185" s="51" t="s">
        <v>1472</v>
      </c>
      <c r="U185" s="51" t="s">
        <v>1331</v>
      </c>
      <c r="V185" s="51">
        <v>90319</v>
      </c>
      <c r="W185" s="51">
        <v>96</v>
      </c>
      <c r="X185" s="51">
        <v>12</v>
      </c>
      <c r="Y185" s="51" t="s">
        <v>1332</v>
      </c>
      <c r="Z185" s="51">
        <v>129</v>
      </c>
      <c r="AA185" s="51" t="s">
        <v>182</v>
      </c>
      <c r="AB185" s="51">
        <v>123.84</v>
      </c>
      <c r="AC185" s="51">
        <v>15.48</v>
      </c>
      <c r="AD185" s="51" t="s">
        <v>182</v>
      </c>
      <c r="AE185" s="51" t="s">
        <v>181</v>
      </c>
      <c r="AF185" s="51" t="s">
        <v>97</v>
      </c>
      <c r="AG185" s="51" t="s">
        <v>69</v>
      </c>
      <c r="AH185" s="51" t="s">
        <v>81</v>
      </c>
      <c r="AI185" s="51" t="s">
        <v>88</v>
      </c>
      <c r="AJ185" s="53">
        <v>42408</v>
      </c>
      <c r="AK185" s="51" t="s">
        <v>64</v>
      </c>
      <c r="AL185" s="53">
        <v>42398</v>
      </c>
      <c r="AM185" s="51" t="s">
        <v>100</v>
      </c>
      <c r="AN185" s="51">
        <v>62078334</v>
      </c>
      <c r="AO185" s="53">
        <v>42410</v>
      </c>
      <c r="AP185" s="51" t="s">
        <v>89</v>
      </c>
      <c r="AQ185" s="51" t="s">
        <v>2215</v>
      </c>
    </row>
    <row r="186" spans="1:43" x14ac:dyDescent="0.2">
      <c r="A186" s="51">
        <v>10020569</v>
      </c>
      <c r="B186" s="51">
        <v>20</v>
      </c>
      <c r="C186" s="51" t="s">
        <v>26</v>
      </c>
      <c r="D186" s="51" t="s">
        <v>432</v>
      </c>
      <c r="E186" s="53">
        <v>42398</v>
      </c>
      <c r="F186" s="51">
        <v>93667974</v>
      </c>
      <c r="G186" s="51">
        <v>20</v>
      </c>
      <c r="H186" s="51">
        <v>1201399</v>
      </c>
      <c r="I186" s="51" t="s">
        <v>144</v>
      </c>
      <c r="J186" s="51">
        <v>1064898</v>
      </c>
      <c r="K186" s="51" t="s">
        <v>145</v>
      </c>
      <c r="L186" s="51">
        <v>1171970</v>
      </c>
      <c r="M186" s="51" t="s">
        <v>144</v>
      </c>
      <c r="N186" s="51">
        <v>8107658331</v>
      </c>
      <c r="O186" s="51"/>
      <c r="P186" s="51"/>
      <c r="Q186" s="51">
        <v>591319872</v>
      </c>
      <c r="R186" s="51" t="s">
        <v>1870</v>
      </c>
      <c r="S186" s="51" t="s">
        <v>1322</v>
      </c>
      <c r="T186" s="51" t="s">
        <v>1732</v>
      </c>
      <c r="U186" s="51">
        <v>2</v>
      </c>
      <c r="V186" s="51" t="s">
        <v>2216</v>
      </c>
      <c r="W186" s="51">
        <v>24</v>
      </c>
      <c r="X186" s="51">
        <v>1</v>
      </c>
      <c r="Y186" s="51" t="s">
        <v>1332</v>
      </c>
      <c r="Z186" s="51">
        <v>35.65</v>
      </c>
      <c r="AA186" s="51" t="s">
        <v>182</v>
      </c>
      <c r="AB186" s="51">
        <v>855.6</v>
      </c>
      <c r="AC186" s="51">
        <v>35.65</v>
      </c>
      <c r="AD186" s="51" t="s">
        <v>182</v>
      </c>
      <c r="AE186" s="51" t="s">
        <v>181</v>
      </c>
      <c r="AF186" s="51" t="s">
        <v>97</v>
      </c>
      <c r="AG186" s="51" t="s">
        <v>63</v>
      </c>
      <c r="AH186" s="51" t="s">
        <v>105</v>
      </c>
      <c r="AI186" s="51" t="s">
        <v>82</v>
      </c>
      <c r="AJ186" s="53">
        <v>42402</v>
      </c>
      <c r="AK186" s="51" t="s">
        <v>83</v>
      </c>
      <c r="AL186" s="53">
        <v>42404</v>
      </c>
      <c r="AM186" s="51"/>
      <c r="AN186" s="51"/>
      <c r="AO186" s="51"/>
      <c r="AP186" s="51" t="s">
        <v>89</v>
      </c>
      <c r="AQ186" s="51" t="s">
        <v>2217</v>
      </c>
    </row>
    <row r="187" spans="1:43" x14ac:dyDescent="0.2">
      <c r="A187" s="51">
        <v>10020570</v>
      </c>
      <c r="B187" s="51">
        <v>10</v>
      </c>
      <c r="C187" s="51" t="s">
        <v>27</v>
      </c>
      <c r="D187" s="51" t="s">
        <v>78</v>
      </c>
      <c r="E187" s="53">
        <v>42398</v>
      </c>
      <c r="F187" s="51">
        <v>93663191</v>
      </c>
      <c r="G187" s="51">
        <v>10</v>
      </c>
      <c r="H187" s="51">
        <v>1201643</v>
      </c>
      <c r="I187" s="51" t="s">
        <v>162</v>
      </c>
      <c r="J187" s="51">
        <v>1329411</v>
      </c>
      <c r="K187" s="51" t="s">
        <v>163</v>
      </c>
      <c r="L187" s="51">
        <v>1201643</v>
      </c>
      <c r="M187" s="51" t="s">
        <v>162</v>
      </c>
      <c r="N187" s="51">
        <v>25406</v>
      </c>
      <c r="O187" s="51"/>
      <c r="P187" s="51"/>
      <c r="Q187" s="51">
        <v>45963041261</v>
      </c>
      <c r="R187" s="51" t="s">
        <v>2218</v>
      </c>
      <c r="S187" s="51" t="s">
        <v>1322</v>
      </c>
      <c r="T187" s="51" t="s">
        <v>2219</v>
      </c>
      <c r="U187" s="51" t="s">
        <v>1331</v>
      </c>
      <c r="V187" s="51" t="s">
        <v>2220</v>
      </c>
      <c r="W187" s="51">
        <v>720</v>
      </c>
      <c r="X187" s="51">
        <v>648</v>
      </c>
      <c r="Y187" s="51" t="s">
        <v>1332</v>
      </c>
      <c r="Z187" s="51">
        <v>13.34</v>
      </c>
      <c r="AA187" s="51" t="s">
        <v>182</v>
      </c>
      <c r="AB187" s="54">
        <v>9604.7999999999993</v>
      </c>
      <c r="AC187" s="54">
        <v>8644.32</v>
      </c>
      <c r="AD187" s="51" t="s">
        <v>182</v>
      </c>
      <c r="AE187" s="51" t="s">
        <v>181</v>
      </c>
      <c r="AF187" s="51" t="s">
        <v>97</v>
      </c>
      <c r="AG187" s="51" t="s">
        <v>63</v>
      </c>
      <c r="AH187" s="51"/>
      <c r="AI187" s="51"/>
      <c r="AJ187" s="51"/>
      <c r="AK187" s="51" t="s">
        <v>64</v>
      </c>
      <c r="AL187" s="53">
        <v>42398</v>
      </c>
      <c r="AM187" s="51"/>
      <c r="AN187" s="51"/>
      <c r="AO187" s="51"/>
      <c r="AP187" s="51"/>
      <c r="AQ187" s="51"/>
    </row>
    <row r="188" spans="1:43" x14ac:dyDescent="0.2">
      <c r="A188" s="51">
        <v>10020571</v>
      </c>
      <c r="B188" s="51">
        <v>110</v>
      </c>
      <c r="C188" s="51" t="s">
        <v>18</v>
      </c>
      <c r="D188" s="51" t="s">
        <v>432</v>
      </c>
      <c r="E188" s="53">
        <v>42398</v>
      </c>
      <c r="F188" s="51">
        <v>93669291</v>
      </c>
      <c r="G188" s="51">
        <v>110</v>
      </c>
      <c r="H188" s="51">
        <v>1201399</v>
      </c>
      <c r="I188" s="51" t="s">
        <v>144</v>
      </c>
      <c r="J188" s="51">
        <v>1334926</v>
      </c>
      <c r="K188" s="51" t="s">
        <v>145</v>
      </c>
      <c r="L188" s="51">
        <v>1171970</v>
      </c>
      <c r="M188" s="51" t="s">
        <v>144</v>
      </c>
      <c r="N188" s="51">
        <v>8106684522</v>
      </c>
      <c r="O188" s="51"/>
      <c r="P188" s="51"/>
      <c r="Q188" s="51">
        <v>591377031</v>
      </c>
      <c r="R188" s="51" t="s">
        <v>2221</v>
      </c>
      <c r="S188" s="51" t="s">
        <v>1322</v>
      </c>
      <c r="T188" s="51" t="s">
        <v>2222</v>
      </c>
      <c r="U188" s="51" t="s">
        <v>1331</v>
      </c>
      <c r="V188" s="51" t="s">
        <v>2223</v>
      </c>
      <c r="W188" s="51">
        <v>72</v>
      </c>
      <c r="X188" s="51">
        <v>24</v>
      </c>
      <c r="Y188" s="51" t="s">
        <v>1332</v>
      </c>
      <c r="Z188" s="51">
        <v>332.95</v>
      </c>
      <c r="AA188" s="51" t="s">
        <v>182</v>
      </c>
      <c r="AB188" s="54">
        <v>23972.400000000001</v>
      </c>
      <c r="AC188" s="54">
        <v>7990.8</v>
      </c>
      <c r="AD188" s="51" t="s">
        <v>182</v>
      </c>
      <c r="AE188" s="51" t="s">
        <v>181</v>
      </c>
      <c r="AF188" s="51" t="s">
        <v>97</v>
      </c>
      <c r="AG188" s="51" t="s">
        <v>69</v>
      </c>
      <c r="AH188" s="51" t="s">
        <v>70</v>
      </c>
      <c r="AI188" s="51" t="s">
        <v>76</v>
      </c>
      <c r="AJ188" s="53">
        <v>42405</v>
      </c>
      <c r="AK188" s="51" t="s">
        <v>64</v>
      </c>
      <c r="AL188" s="53">
        <v>42398</v>
      </c>
      <c r="AM188" s="51" t="s">
        <v>100</v>
      </c>
      <c r="AN188" s="51">
        <v>62086920</v>
      </c>
      <c r="AO188" s="53">
        <v>42424</v>
      </c>
      <c r="AP188" s="51" t="s">
        <v>77</v>
      </c>
      <c r="AQ188" s="51" t="s">
        <v>370</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258"/>
  <sheetViews>
    <sheetView workbookViewId="0">
      <selection sqref="A1:XFD1048576"/>
    </sheetView>
  </sheetViews>
  <sheetFormatPr defaultRowHeight="12.75" x14ac:dyDescent="0.2"/>
  <cols>
    <col min="1" max="1" width="9" style="52" bestFit="1" customWidth="1"/>
    <col min="2" max="2" width="7.140625" style="52" bestFit="1" customWidth="1"/>
    <col min="3" max="3" width="9" style="52" bestFit="1" customWidth="1"/>
    <col min="4" max="4" width="11.28515625" style="52" bestFit="1" customWidth="1"/>
    <col min="5" max="5" width="10" style="52" bestFit="1" customWidth="1"/>
    <col min="6" max="6" width="13.28515625" style="52" bestFit="1" customWidth="1"/>
    <col min="7" max="7" width="5" style="52" bestFit="1" customWidth="1"/>
    <col min="8" max="8" width="8" style="52" bestFit="1" customWidth="1"/>
    <col min="9" max="9" width="37" style="52" bestFit="1" customWidth="1"/>
    <col min="10" max="10" width="8" style="52" bestFit="1" customWidth="1"/>
    <col min="11" max="11" width="44.140625" style="52" bestFit="1" customWidth="1"/>
    <col min="12" max="12" width="8" style="52" bestFit="1" customWidth="1"/>
    <col min="13" max="13" width="37" style="52" bestFit="1" customWidth="1"/>
    <col min="14" max="14" width="14.42578125" style="52" bestFit="1" customWidth="1"/>
    <col min="15" max="15" width="12" style="52" bestFit="1" customWidth="1"/>
    <col min="16" max="16" width="46" style="52" bestFit="1" customWidth="1"/>
    <col min="17" max="17" width="19.28515625" style="52" bestFit="1" customWidth="1"/>
    <col min="18" max="18" width="26.42578125" style="52" bestFit="1" customWidth="1"/>
    <col min="19" max="19" width="8.7109375" style="52" bestFit="1" customWidth="1"/>
    <col min="20" max="20" width="11.42578125" style="52" bestFit="1" customWidth="1"/>
    <col min="21" max="21" width="7.5703125" style="52" bestFit="1" customWidth="1"/>
    <col min="22" max="22" width="7.28515625" style="52" bestFit="1" customWidth="1"/>
    <col min="23" max="23" width="5.28515625" style="52" bestFit="1" customWidth="1"/>
    <col min="24" max="24" width="8.7109375" style="52" bestFit="1" customWidth="1"/>
    <col min="25" max="25" width="4.85546875" style="52" bestFit="1" customWidth="1"/>
    <col min="26" max="27" width="10.140625" style="52" bestFit="1" customWidth="1"/>
    <col min="28" max="28" width="4.85546875" style="52" bestFit="1" customWidth="1"/>
    <col min="29" max="29" width="5.85546875" style="52" bestFit="1" customWidth="1"/>
    <col min="30" max="30" width="6.42578125" style="52" bestFit="1" customWidth="1"/>
    <col min="31" max="31" width="9.85546875" style="52" bestFit="1" customWidth="1"/>
    <col min="32" max="32" width="12.7109375" style="52" bestFit="1" customWidth="1"/>
    <col min="33" max="33" width="37" style="52" bestFit="1" customWidth="1"/>
    <col min="34" max="34" width="16.85546875" style="52" bestFit="1" customWidth="1"/>
    <col min="35" max="35" width="15.85546875" style="52" bestFit="1" customWidth="1"/>
    <col min="36" max="36" width="18.28515625" style="52" bestFit="1" customWidth="1"/>
    <col min="37" max="37" width="11.5703125" style="52" bestFit="1" customWidth="1"/>
    <col min="38" max="38" width="12.5703125" style="52" bestFit="1" customWidth="1"/>
    <col min="39" max="39" width="17.85546875" style="52" bestFit="1" customWidth="1"/>
    <col min="40" max="40" width="40.42578125" style="52" bestFit="1" customWidth="1"/>
    <col min="41" max="41" width="118.28515625" style="52" bestFit="1" customWidth="1"/>
    <col min="42" max="16384" width="9.140625" style="52"/>
  </cols>
  <sheetData>
    <row r="1" spans="1:41" x14ac:dyDescent="0.2">
      <c r="A1" s="51" t="s">
        <v>31</v>
      </c>
      <c r="B1" s="51" t="s">
        <v>1303</v>
      </c>
      <c r="C1" s="51" t="s">
        <v>4</v>
      </c>
      <c r="D1" s="51" t="s">
        <v>32</v>
      </c>
      <c r="E1" s="51" t="s">
        <v>33</v>
      </c>
      <c r="F1" s="51" t="s">
        <v>175</v>
      </c>
      <c r="G1" s="51" t="s">
        <v>1304</v>
      </c>
      <c r="H1" s="51" t="s">
        <v>35</v>
      </c>
      <c r="I1" s="51" t="s">
        <v>36</v>
      </c>
      <c r="J1" s="51" t="s">
        <v>37</v>
      </c>
      <c r="K1" s="51" t="s">
        <v>38</v>
      </c>
      <c r="L1" s="51" t="s">
        <v>39</v>
      </c>
      <c r="M1" s="51" t="s">
        <v>40</v>
      </c>
      <c r="N1" s="51" t="s">
        <v>41</v>
      </c>
      <c r="O1" s="51" t="s">
        <v>1305</v>
      </c>
      <c r="P1" s="51" t="s">
        <v>1306</v>
      </c>
      <c r="Q1" s="51" t="s">
        <v>1307</v>
      </c>
      <c r="R1" s="51" t="s">
        <v>1308</v>
      </c>
      <c r="S1" s="51" t="s">
        <v>1309</v>
      </c>
      <c r="T1" s="51" t="s">
        <v>1310</v>
      </c>
      <c r="U1" s="51" t="s">
        <v>1311</v>
      </c>
      <c r="V1" s="51" t="s">
        <v>1312</v>
      </c>
      <c r="W1" s="51" t="s">
        <v>1313</v>
      </c>
      <c r="X1" s="51" t="s">
        <v>1316</v>
      </c>
      <c r="Y1" s="51" t="s">
        <v>1317</v>
      </c>
      <c r="Z1" s="51" t="s">
        <v>1318</v>
      </c>
      <c r="AA1" s="51" t="s">
        <v>1319</v>
      </c>
      <c r="AB1" s="51" t="s">
        <v>1317</v>
      </c>
      <c r="AC1" s="51" t="s">
        <v>178</v>
      </c>
      <c r="AD1" s="51" t="s">
        <v>43</v>
      </c>
      <c r="AE1" s="51" t="s">
        <v>46</v>
      </c>
      <c r="AF1" s="51" t="s">
        <v>47</v>
      </c>
      <c r="AG1" s="51" t="s">
        <v>48</v>
      </c>
      <c r="AH1" s="51" t="s">
        <v>49</v>
      </c>
      <c r="AI1" s="51" t="s">
        <v>50</v>
      </c>
      <c r="AJ1" s="51" t="s">
        <v>51</v>
      </c>
      <c r="AK1" s="51" t="s">
        <v>52</v>
      </c>
      <c r="AL1" s="51" t="s">
        <v>53</v>
      </c>
      <c r="AM1" s="51" t="s">
        <v>54</v>
      </c>
      <c r="AN1" s="51" t="s">
        <v>56</v>
      </c>
      <c r="AO1" s="51" t="s">
        <v>57</v>
      </c>
    </row>
    <row r="2" spans="1:41" x14ac:dyDescent="0.2">
      <c r="A2" s="56">
        <v>10020575</v>
      </c>
      <c r="B2" s="56">
        <v>80</v>
      </c>
      <c r="C2" s="56" t="s">
        <v>26</v>
      </c>
      <c r="D2" s="56" t="s">
        <v>149</v>
      </c>
      <c r="E2" s="57">
        <v>42401</v>
      </c>
      <c r="F2" s="56">
        <v>93668028</v>
      </c>
      <c r="G2" s="56">
        <v>80</v>
      </c>
      <c r="H2" s="56">
        <v>1201547</v>
      </c>
      <c r="I2" s="56" t="s">
        <v>305</v>
      </c>
      <c r="J2" s="56">
        <v>1201547</v>
      </c>
      <c r="K2" s="56" t="s">
        <v>305</v>
      </c>
      <c r="L2" s="56">
        <v>1201547</v>
      </c>
      <c r="M2" s="56" t="s">
        <v>305</v>
      </c>
      <c r="N2" s="56">
        <v>92591</v>
      </c>
      <c r="O2" s="56">
        <v>472390160</v>
      </c>
      <c r="P2" s="56" t="s">
        <v>2224</v>
      </c>
      <c r="Q2" s="56" t="s">
        <v>1322</v>
      </c>
      <c r="R2" s="56" t="s">
        <v>2225</v>
      </c>
      <c r="S2" s="56" t="s">
        <v>1331</v>
      </c>
      <c r="T2" s="56"/>
      <c r="U2" s="56">
        <v>144</v>
      </c>
      <c r="V2" s="56">
        <v>6</v>
      </c>
      <c r="W2" s="56" t="s">
        <v>1332</v>
      </c>
      <c r="X2" s="56">
        <v>145.75</v>
      </c>
      <c r="Y2" s="56" t="s">
        <v>182</v>
      </c>
      <c r="Z2" s="58">
        <v>20988</v>
      </c>
      <c r="AA2" s="56">
        <v>874.5</v>
      </c>
      <c r="AB2" s="56" t="s">
        <v>182</v>
      </c>
      <c r="AC2" s="56" t="s">
        <v>181</v>
      </c>
      <c r="AD2" s="56" t="s">
        <v>97</v>
      </c>
      <c r="AE2" s="56" t="s">
        <v>63</v>
      </c>
      <c r="AF2" s="56" t="s">
        <v>81</v>
      </c>
      <c r="AG2" s="56" t="s">
        <v>88</v>
      </c>
      <c r="AH2" s="57">
        <v>42410</v>
      </c>
      <c r="AI2" s="56" t="s">
        <v>64</v>
      </c>
      <c r="AJ2" s="57">
        <v>42401</v>
      </c>
      <c r="AK2" s="56"/>
      <c r="AL2" s="56"/>
      <c r="AM2" s="56"/>
      <c r="AN2" s="56" t="s">
        <v>89</v>
      </c>
      <c r="AO2" s="56" t="s">
        <v>2215</v>
      </c>
    </row>
    <row r="3" spans="1:41" x14ac:dyDescent="0.2">
      <c r="A3" s="51">
        <v>10020576</v>
      </c>
      <c r="B3" s="51">
        <v>2180</v>
      </c>
      <c r="C3" s="51" t="s">
        <v>26</v>
      </c>
      <c r="D3" s="51" t="s">
        <v>149</v>
      </c>
      <c r="E3" s="53">
        <v>42401</v>
      </c>
      <c r="F3" s="51">
        <v>93666182</v>
      </c>
      <c r="G3" s="51">
        <v>2180</v>
      </c>
      <c r="H3" s="51">
        <v>1201047</v>
      </c>
      <c r="I3" s="51" t="s">
        <v>79</v>
      </c>
      <c r="J3" s="51">
        <v>1051549</v>
      </c>
      <c r="K3" s="51" t="s">
        <v>85</v>
      </c>
      <c r="L3" s="51">
        <v>1171089</v>
      </c>
      <c r="M3" s="51" t="s">
        <v>75</v>
      </c>
      <c r="N3" s="51">
        <v>12921292</v>
      </c>
      <c r="O3" s="51">
        <v>62037083920</v>
      </c>
      <c r="P3" s="51" t="s">
        <v>1427</v>
      </c>
      <c r="Q3" s="51" t="s">
        <v>1322</v>
      </c>
      <c r="R3" s="51" t="s">
        <v>1944</v>
      </c>
      <c r="S3" s="51" t="s">
        <v>1331</v>
      </c>
      <c r="T3" s="51" t="s">
        <v>2226</v>
      </c>
      <c r="U3" s="51">
        <v>100</v>
      </c>
      <c r="V3" s="51">
        <v>5</v>
      </c>
      <c r="W3" s="51" t="s">
        <v>1332</v>
      </c>
      <c r="X3" s="51">
        <v>165</v>
      </c>
      <c r="Y3" s="51" t="s">
        <v>182</v>
      </c>
      <c r="Z3" s="54">
        <v>16500</v>
      </c>
      <c r="AA3" s="51">
        <v>825</v>
      </c>
      <c r="AB3" s="51" t="s">
        <v>182</v>
      </c>
      <c r="AC3" s="51" t="s">
        <v>181</v>
      </c>
      <c r="AD3" s="51" t="s">
        <v>97</v>
      </c>
      <c r="AE3" s="51" t="s">
        <v>63</v>
      </c>
      <c r="AF3" s="51" t="s">
        <v>81</v>
      </c>
      <c r="AG3" s="51" t="s">
        <v>88</v>
      </c>
      <c r="AH3" s="53">
        <v>42408</v>
      </c>
      <c r="AI3" s="51" t="s">
        <v>64</v>
      </c>
      <c r="AJ3" s="53">
        <v>42401</v>
      </c>
      <c r="AK3" s="51"/>
      <c r="AL3" s="51"/>
      <c r="AM3" s="51"/>
      <c r="AN3" s="51" t="s">
        <v>89</v>
      </c>
      <c r="AO3" s="51" t="s">
        <v>274</v>
      </c>
    </row>
    <row r="4" spans="1:41" x14ac:dyDescent="0.2">
      <c r="A4" s="51">
        <v>10020577</v>
      </c>
      <c r="B4" s="51">
        <v>1560</v>
      </c>
      <c r="C4" s="51" t="s">
        <v>26</v>
      </c>
      <c r="D4" s="51" t="s">
        <v>149</v>
      </c>
      <c r="E4" s="53">
        <v>42401</v>
      </c>
      <c r="F4" s="51">
        <v>93666191</v>
      </c>
      <c r="G4" s="51">
        <v>1560</v>
      </c>
      <c r="H4" s="51">
        <v>1201047</v>
      </c>
      <c r="I4" s="51" t="s">
        <v>79</v>
      </c>
      <c r="J4" s="51">
        <v>1051549</v>
      </c>
      <c r="K4" s="51" t="s">
        <v>85</v>
      </c>
      <c r="L4" s="51">
        <v>1171089</v>
      </c>
      <c r="M4" s="51" t="s">
        <v>75</v>
      </c>
      <c r="N4" s="51">
        <v>12921292</v>
      </c>
      <c r="O4" s="51">
        <v>472015030</v>
      </c>
      <c r="P4" s="51" t="s">
        <v>2227</v>
      </c>
      <c r="Q4" s="51" t="s">
        <v>1322</v>
      </c>
      <c r="R4" s="51" t="s">
        <v>1436</v>
      </c>
      <c r="S4" s="51" t="s">
        <v>1331</v>
      </c>
      <c r="T4" s="51">
        <v>67700001</v>
      </c>
      <c r="U4" s="51">
        <v>192</v>
      </c>
      <c r="V4" s="51">
        <v>1</v>
      </c>
      <c r="W4" s="51" t="s">
        <v>1332</v>
      </c>
      <c r="X4" s="51">
        <v>127.61</v>
      </c>
      <c r="Y4" s="51" t="s">
        <v>182</v>
      </c>
      <c r="Z4" s="54">
        <v>24501.119999999999</v>
      </c>
      <c r="AA4" s="51">
        <v>127.61</v>
      </c>
      <c r="AB4" s="51" t="s">
        <v>182</v>
      </c>
      <c r="AC4" s="51" t="s">
        <v>181</v>
      </c>
      <c r="AD4" s="51" t="s">
        <v>97</v>
      </c>
      <c r="AE4" s="51" t="s">
        <v>63</v>
      </c>
      <c r="AF4" s="51" t="s">
        <v>81</v>
      </c>
      <c r="AG4" s="51" t="s">
        <v>88</v>
      </c>
      <c r="AH4" s="53">
        <v>42408</v>
      </c>
      <c r="AI4" s="51" t="s">
        <v>64</v>
      </c>
      <c r="AJ4" s="53">
        <v>42401</v>
      </c>
      <c r="AK4" s="51"/>
      <c r="AL4" s="51"/>
      <c r="AM4" s="51"/>
      <c r="AN4" s="51" t="s">
        <v>89</v>
      </c>
      <c r="AO4" s="51" t="s">
        <v>274</v>
      </c>
    </row>
    <row r="5" spans="1:41" x14ac:dyDescent="0.2">
      <c r="A5" s="51">
        <v>10020578</v>
      </c>
      <c r="B5" s="51">
        <v>500</v>
      </c>
      <c r="C5" s="51" t="s">
        <v>18</v>
      </c>
      <c r="D5" s="51" t="s">
        <v>149</v>
      </c>
      <c r="E5" s="53">
        <v>42401</v>
      </c>
      <c r="F5" s="51">
        <v>93666191</v>
      </c>
      <c r="G5" s="51">
        <v>500</v>
      </c>
      <c r="H5" s="51">
        <v>1201047</v>
      </c>
      <c r="I5" s="51" t="s">
        <v>79</v>
      </c>
      <c r="J5" s="51">
        <v>1051549</v>
      </c>
      <c r="K5" s="51" t="s">
        <v>85</v>
      </c>
      <c r="L5" s="51">
        <v>1171089</v>
      </c>
      <c r="M5" s="51" t="s">
        <v>75</v>
      </c>
      <c r="N5" s="51">
        <v>12921292</v>
      </c>
      <c r="O5" s="51">
        <v>52544094928</v>
      </c>
      <c r="P5" s="51" t="s">
        <v>1973</v>
      </c>
      <c r="Q5" s="51" t="s">
        <v>1344</v>
      </c>
      <c r="R5" s="51" t="s">
        <v>1974</v>
      </c>
      <c r="S5" s="51" t="s">
        <v>1331</v>
      </c>
      <c r="T5" s="51" t="s">
        <v>2228</v>
      </c>
      <c r="U5" s="51">
        <v>240</v>
      </c>
      <c r="V5" s="51">
        <v>2</v>
      </c>
      <c r="W5" s="51" t="s">
        <v>1332</v>
      </c>
      <c r="X5" s="51">
        <v>142.19</v>
      </c>
      <c r="Y5" s="51" t="s">
        <v>182</v>
      </c>
      <c r="Z5" s="54">
        <v>34125.599999999999</v>
      </c>
      <c r="AA5" s="51">
        <v>284.38</v>
      </c>
      <c r="AB5" s="51" t="s">
        <v>182</v>
      </c>
      <c r="AC5" s="51" t="s">
        <v>181</v>
      </c>
      <c r="AD5" s="51" t="s">
        <v>97</v>
      </c>
      <c r="AE5" s="51" t="s">
        <v>69</v>
      </c>
      <c r="AF5" s="51" t="s">
        <v>70</v>
      </c>
      <c r="AG5" s="51" t="s">
        <v>76</v>
      </c>
      <c r="AH5" s="53">
        <v>42405</v>
      </c>
      <c r="AI5" s="51" t="s">
        <v>64</v>
      </c>
      <c r="AJ5" s="53">
        <v>42401</v>
      </c>
      <c r="AK5" s="51" t="s">
        <v>100</v>
      </c>
      <c r="AL5" s="51">
        <v>62086427</v>
      </c>
      <c r="AM5" s="53">
        <v>42423</v>
      </c>
      <c r="AN5" s="51" t="s">
        <v>77</v>
      </c>
      <c r="AO5" s="51" t="s">
        <v>211</v>
      </c>
    </row>
    <row r="6" spans="1:41" x14ac:dyDescent="0.2">
      <c r="A6" s="51">
        <v>10020579</v>
      </c>
      <c r="B6" s="51">
        <v>110</v>
      </c>
      <c r="C6" s="51" t="s">
        <v>18</v>
      </c>
      <c r="D6" s="51" t="s">
        <v>149</v>
      </c>
      <c r="E6" s="53">
        <v>42401</v>
      </c>
      <c r="F6" s="51">
        <v>93667891</v>
      </c>
      <c r="G6" s="51">
        <v>110</v>
      </c>
      <c r="H6" s="51">
        <v>1201120</v>
      </c>
      <c r="I6" s="51" t="s">
        <v>117</v>
      </c>
      <c r="J6" s="51">
        <v>1307782</v>
      </c>
      <c r="K6" s="51" t="s">
        <v>119</v>
      </c>
      <c r="L6" s="51">
        <v>1171090</v>
      </c>
      <c r="M6" s="51" t="s">
        <v>118</v>
      </c>
      <c r="N6" s="51" t="s">
        <v>2229</v>
      </c>
      <c r="O6" s="51">
        <v>591222215</v>
      </c>
      <c r="P6" s="51" t="s">
        <v>1873</v>
      </c>
      <c r="Q6" s="51" t="s">
        <v>1322</v>
      </c>
      <c r="R6" s="51" t="s">
        <v>1874</v>
      </c>
      <c r="S6" s="51" t="s">
        <v>1331</v>
      </c>
      <c r="T6" s="51">
        <v>1152687</v>
      </c>
      <c r="U6" s="51">
        <v>60</v>
      </c>
      <c r="V6" s="51">
        <v>5</v>
      </c>
      <c r="W6" s="51" t="s">
        <v>1332</v>
      </c>
      <c r="X6" s="51">
        <v>32.979999999999997</v>
      </c>
      <c r="Y6" s="51" t="s">
        <v>182</v>
      </c>
      <c r="Z6" s="54">
        <v>1978.8</v>
      </c>
      <c r="AA6" s="51">
        <v>164.9</v>
      </c>
      <c r="AB6" s="51" t="s">
        <v>182</v>
      </c>
      <c r="AC6" s="51" t="s">
        <v>181</v>
      </c>
      <c r="AD6" s="51" t="s">
        <v>97</v>
      </c>
      <c r="AE6" s="51" t="s">
        <v>69</v>
      </c>
      <c r="AF6" s="51" t="s">
        <v>70</v>
      </c>
      <c r="AG6" s="51" t="s">
        <v>76</v>
      </c>
      <c r="AH6" s="53">
        <v>42405</v>
      </c>
      <c r="AI6" s="51" t="s">
        <v>64</v>
      </c>
      <c r="AJ6" s="53">
        <v>42401</v>
      </c>
      <c r="AK6" s="51" t="s">
        <v>100</v>
      </c>
      <c r="AL6" s="51">
        <v>62086428</v>
      </c>
      <c r="AM6" s="53">
        <v>42423</v>
      </c>
      <c r="AN6" s="51" t="s">
        <v>77</v>
      </c>
      <c r="AO6" s="51" t="s">
        <v>717</v>
      </c>
    </row>
    <row r="7" spans="1:41" x14ac:dyDescent="0.2">
      <c r="A7" s="51">
        <v>10020580</v>
      </c>
      <c r="B7" s="51">
        <v>10</v>
      </c>
      <c r="C7" s="51" t="s">
        <v>22</v>
      </c>
      <c r="D7" s="51" t="s">
        <v>78</v>
      </c>
      <c r="E7" s="53">
        <v>42401</v>
      </c>
      <c r="F7" s="51">
        <v>93640930</v>
      </c>
      <c r="G7" s="51">
        <v>10</v>
      </c>
      <c r="H7" s="51">
        <v>1201120</v>
      </c>
      <c r="I7" s="51" t="s">
        <v>117</v>
      </c>
      <c r="J7" s="51">
        <v>1307782</v>
      </c>
      <c r="K7" s="51" t="s">
        <v>119</v>
      </c>
      <c r="L7" s="51">
        <v>1171090</v>
      </c>
      <c r="M7" s="51" t="s">
        <v>118</v>
      </c>
      <c r="N7" s="51" t="s">
        <v>2230</v>
      </c>
      <c r="O7" s="51">
        <v>591250887</v>
      </c>
      <c r="P7" s="51" t="s">
        <v>2231</v>
      </c>
      <c r="Q7" s="51" t="s">
        <v>1322</v>
      </c>
      <c r="R7" s="51" t="s">
        <v>2232</v>
      </c>
      <c r="S7" s="51" t="s">
        <v>1331</v>
      </c>
      <c r="T7" s="51">
        <v>152238.1</v>
      </c>
      <c r="U7" s="51">
        <v>129</v>
      </c>
      <c r="V7" s="51">
        <v>1</v>
      </c>
      <c r="W7" s="51" t="s">
        <v>1332</v>
      </c>
      <c r="X7" s="51">
        <v>318</v>
      </c>
      <c r="Y7" s="51" t="s">
        <v>182</v>
      </c>
      <c r="Z7" s="54">
        <v>41022</v>
      </c>
      <c r="AA7" s="51">
        <v>318</v>
      </c>
      <c r="AB7" s="51" t="s">
        <v>182</v>
      </c>
      <c r="AC7" s="51" t="s">
        <v>181</v>
      </c>
      <c r="AD7" s="51" t="s">
        <v>97</v>
      </c>
      <c r="AE7" s="51" t="s">
        <v>63</v>
      </c>
      <c r="AF7" s="51"/>
      <c r="AG7" s="51"/>
      <c r="AH7" s="51"/>
      <c r="AI7" s="51" t="s">
        <v>64</v>
      </c>
      <c r="AJ7" s="53">
        <v>42401</v>
      </c>
      <c r="AK7" s="51"/>
      <c r="AL7" s="51"/>
      <c r="AM7" s="51"/>
      <c r="AN7" s="51"/>
      <c r="AO7" s="51"/>
    </row>
    <row r="8" spans="1:41" x14ac:dyDescent="0.2">
      <c r="A8" s="51">
        <v>10020581</v>
      </c>
      <c r="B8" s="51">
        <v>830</v>
      </c>
      <c r="C8" s="51" t="s">
        <v>18</v>
      </c>
      <c r="D8" s="51" t="s">
        <v>149</v>
      </c>
      <c r="E8" s="53">
        <v>42401</v>
      </c>
      <c r="F8" s="51">
        <v>93670722</v>
      </c>
      <c r="G8" s="51">
        <v>830</v>
      </c>
      <c r="H8" s="51">
        <v>1201047</v>
      </c>
      <c r="I8" s="51" t="s">
        <v>79</v>
      </c>
      <c r="J8" s="51">
        <v>1307128</v>
      </c>
      <c r="K8" s="51" t="s">
        <v>85</v>
      </c>
      <c r="L8" s="51">
        <v>1171089</v>
      </c>
      <c r="M8" s="51" t="s">
        <v>75</v>
      </c>
      <c r="N8" s="51">
        <v>10500277</v>
      </c>
      <c r="O8" s="51">
        <v>52544095428</v>
      </c>
      <c r="P8" s="51" t="s">
        <v>1798</v>
      </c>
      <c r="Q8" s="51" t="s">
        <v>1344</v>
      </c>
      <c r="R8" s="51" t="s">
        <v>1799</v>
      </c>
      <c r="S8" s="51" t="s">
        <v>1331</v>
      </c>
      <c r="T8" s="51" t="s">
        <v>2233</v>
      </c>
      <c r="U8" s="51">
        <v>228</v>
      </c>
      <c r="V8" s="51">
        <v>4</v>
      </c>
      <c r="W8" s="51" t="s">
        <v>1332</v>
      </c>
      <c r="X8" s="51">
        <v>122.64</v>
      </c>
      <c r="Y8" s="51" t="s">
        <v>182</v>
      </c>
      <c r="Z8" s="54">
        <v>27961.919999999998</v>
      </c>
      <c r="AA8" s="51">
        <v>490.56</v>
      </c>
      <c r="AB8" s="51" t="s">
        <v>182</v>
      </c>
      <c r="AC8" s="51" t="s">
        <v>181</v>
      </c>
      <c r="AD8" s="51" t="s">
        <v>97</v>
      </c>
      <c r="AE8" s="51" t="s">
        <v>69</v>
      </c>
      <c r="AF8" s="51" t="s">
        <v>70</v>
      </c>
      <c r="AG8" s="51" t="s">
        <v>76</v>
      </c>
      <c r="AH8" s="53">
        <v>42405</v>
      </c>
      <c r="AI8" s="51" t="s">
        <v>64</v>
      </c>
      <c r="AJ8" s="53">
        <v>42401</v>
      </c>
      <c r="AK8" s="51" t="s">
        <v>100</v>
      </c>
      <c r="AL8" s="51">
        <v>62086922</v>
      </c>
      <c r="AM8" s="53">
        <v>42424</v>
      </c>
      <c r="AN8" s="51" t="s">
        <v>77</v>
      </c>
      <c r="AO8" s="51" t="s">
        <v>655</v>
      </c>
    </row>
    <row r="9" spans="1:41" x14ac:dyDescent="0.2">
      <c r="A9" s="51">
        <v>10020582</v>
      </c>
      <c r="B9" s="51">
        <v>3180</v>
      </c>
      <c r="C9" s="51" t="s">
        <v>26</v>
      </c>
      <c r="D9" s="51" t="s">
        <v>78</v>
      </c>
      <c r="E9" s="53">
        <v>42401</v>
      </c>
      <c r="F9" s="51">
        <v>93673621</v>
      </c>
      <c r="G9" s="51">
        <v>3180</v>
      </c>
      <c r="H9" s="51">
        <v>1201120</v>
      </c>
      <c r="I9" s="51" t="s">
        <v>117</v>
      </c>
      <c r="J9" s="51">
        <v>1307782</v>
      </c>
      <c r="K9" s="51" t="s">
        <v>119</v>
      </c>
      <c r="L9" s="51">
        <v>1171090</v>
      </c>
      <c r="M9" s="51" t="s">
        <v>118</v>
      </c>
      <c r="N9" s="51" t="s">
        <v>2234</v>
      </c>
      <c r="O9" s="51">
        <v>591288601</v>
      </c>
      <c r="P9" s="51" t="s">
        <v>2235</v>
      </c>
      <c r="Q9" s="51" t="s">
        <v>1322</v>
      </c>
      <c r="R9" s="51" t="s">
        <v>2236</v>
      </c>
      <c r="S9" s="51" t="s">
        <v>1331</v>
      </c>
      <c r="T9" s="51"/>
      <c r="U9" s="51">
        <v>1392</v>
      </c>
      <c r="V9" s="51">
        <v>480</v>
      </c>
      <c r="W9" s="51" t="s">
        <v>1332</v>
      </c>
      <c r="X9" s="51">
        <v>303.35000000000002</v>
      </c>
      <c r="Y9" s="51" t="s">
        <v>182</v>
      </c>
      <c r="Z9" s="54">
        <v>422263.2</v>
      </c>
      <c r="AA9" s="54">
        <v>145608</v>
      </c>
      <c r="AB9" s="51" t="s">
        <v>182</v>
      </c>
      <c r="AC9" s="51" t="s">
        <v>181</v>
      </c>
      <c r="AD9" s="51" t="s">
        <v>97</v>
      </c>
      <c r="AE9" s="51" t="s">
        <v>69</v>
      </c>
      <c r="AF9" s="51" t="s">
        <v>94</v>
      </c>
      <c r="AG9" s="51" t="s">
        <v>71</v>
      </c>
      <c r="AH9" s="53">
        <v>42402</v>
      </c>
      <c r="AI9" s="51" t="s">
        <v>83</v>
      </c>
      <c r="AJ9" s="53">
        <v>42402</v>
      </c>
      <c r="AK9" s="51" t="s">
        <v>72</v>
      </c>
      <c r="AL9" s="51">
        <v>62072130</v>
      </c>
      <c r="AM9" s="53">
        <v>42402</v>
      </c>
      <c r="AN9" s="51" t="s">
        <v>96</v>
      </c>
      <c r="AO9" s="51" t="s">
        <v>2237</v>
      </c>
    </row>
    <row r="10" spans="1:41" x14ac:dyDescent="0.2">
      <c r="A10" s="51">
        <v>10020583</v>
      </c>
      <c r="B10" s="51">
        <v>1590</v>
      </c>
      <c r="C10" s="51" t="s">
        <v>18</v>
      </c>
      <c r="D10" s="51" t="s">
        <v>149</v>
      </c>
      <c r="E10" s="53">
        <v>42401</v>
      </c>
      <c r="F10" s="51">
        <v>93670723</v>
      </c>
      <c r="G10" s="51">
        <v>1590</v>
      </c>
      <c r="H10" s="51">
        <v>1201047</v>
      </c>
      <c r="I10" s="51" t="s">
        <v>79</v>
      </c>
      <c r="J10" s="51">
        <v>1307128</v>
      </c>
      <c r="K10" s="51" t="s">
        <v>85</v>
      </c>
      <c r="L10" s="51">
        <v>1171089</v>
      </c>
      <c r="M10" s="51" t="s">
        <v>75</v>
      </c>
      <c r="N10" s="51">
        <v>10500277</v>
      </c>
      <c r="O10" s="51">
        <v>52544084828</v>
      </c>
      <c r="P10" s="51" t="s">
        <v>2238</v>
      </c>
      <c r="Q10" s="51" t="s">
        <v>1344</v>
      </c>
      <c r="R10" s="51" t="s">
        <v>2239</v>
      </c>
      <c r="S10" s="51" t="s">
        <v>1331</v>
      </c>
      <c r="T10" s="51" t="s">
        <v>2240</v>
      </c>
      <c r="U10" s="51">
        <v>24</v>
      </c>
      <c r="V10" s="51">
        <v>12</v>
      </c>
      <c r="W10" s="51" t="s">
        <v>1332</v>
      </c>
      <c r="X10" s="51">
        <v>101.06</v>
      </c>
      <c r="Y10" s="51" t="s">
        <v>182</v>
      </c>
      <c r="Z10" s="54">
        <v>2425.44</v>
      </c>
      <c r="AA10" s="54">
        <v>1212.72</v>
      </c>
      <c r="AB10" s="51" t="s">
        <v>182</v>
      </c>
      <c r="AC10" s="51" t="s">
        <v>181</v>
      </c>
      <c r="AD10" s="51" t="s">
        <v>97</v>
      </c>
      <c r="AE10" s="51" t="s">
        <v>69</v>
      </c>
      <c r="AF10" s="51" t="s">
        <v>70</v>
      </c>
      <c r="AG10" s="51" t="s">
        <v>76</v>
      </c>
      <c r="AH10" s="53">
        <v>42405</v>
      </c>
      <c r="AI10" s="51" t="s">
        <v>64</v>
      </c>
      <c r="AJ10" s="53">
        <v>42401</v>
      </c>
      <c r="AK10" s="51" t="s">
        <v>100</v>
      </c>
      <c r="AL10" s="51">
        <v>62086923</v>
      </c>
      <c r="AM10" s="53">
        <v>42424</v>
      </c>
      <c r="AN10" s="51" t="s">
        <v>77</v>
      </c>
      <c r="AO10" s="51" t="s">
        <v>803</v>
      </c>
    </row>
    <row r="11" spans="1:41" x14ac:dyDescent="0.2">
      <c r="A11" s="51">
        <v>10020588</v>
      </c>
      <c r="B11" s="51">
        <v>190</v>
      </c>
      <c r="C11" s="51" t="s">
        <v>26</v>
      </c>
      <c r="D11" s="51" t="s">
        <v>78</v>
      </c>
      <c r="E11" s="53">
        <v>42401</v>
      </c>
      <c r="F11" s="51">
        <v>93570217</v>
      </c>
      <c r="G11" s="51">
        <v>190</v>
      </c>
      <c r="H11" s="51">
        <v>1201156</v>
      </c>
      <c r="I11" s="51" t="s">
        <v>131</v>
      </c>
      <c r="J11" s="51">
        <v>1307233</v>
      </c>
      <c r="K11" s="51" t="s">
        <v>132</v>
      </c>
      <c r="L11" s="51">
        <v>1201156</v>
      </c>
      <c r="M11" s="51" t="s">
        <v>131</v>
      </c>
      <c r="N11" s="51">
        <v>9165509</v>
      </c>
      <c r="O11" s="51">
        <v>52544024531</v>
      </c>
      <c r="P11" s="51" t="s">
        <v>2097</v>
      </c>
      <c r="Q11" s="51" t="s">
        <v>1344</v>
      </c>
      <c r="R11" s="51" t="s">
        <v>1614</v>
      </c>
      <c r="S11" s="51" t="s">
        <v>1331</v>
      </c>
      <c r="T11" s="51" t="s">
        <v>2241</v>
      </c>
      <c r="U11" s="51">
        <v>12</v>
      </c>
      <c r="V11" s="51">
        <v>36</v>
      </c>
      <c r="W11" s="51" t="s">
        <v>1621</v>
      </c>
      <c r="X11" s="51">
        <v>22.11</v>
      </c>
      <c r="Y11" s="51" t="s">
        <v>182</v>
      </c>
      <c r="Z11" s="51">
        <v>265.32</v>
      </c>
      <c r="AA11" s="51">
        <v>795.96</v>
      </c>
      <c r="AB11" s="51" t="s">
        <v>182</v>
      </c>
      <c r="AC11" s="51" t="s">
        <v>181</v>
      </c>
      <c r="AD11" s="51" t="s">
        <v>61</v>
      </c>
      <c r="AE11" s="51" t="s">
        <v>63</v>
      </c>
      <c r="AF11" s="51" t="s">
        <v>81</v>
      </c>
      <c r="AG11" s="51" t="s">
        <v>88</v>
      </c>
      <c r="AH11" s="53">
        <v>42408</v>
      </c>
      <c r="AI11" s="51" t="s">
        <v>64</v>
      </c>
      <c r="AJ11" s="53">
        <v>42401</v>
      </c>
      <c r="AK11" s="51"/>
      <c r="AL11" s="51"/>
      <c r="AM11" s="51"/>
      <c r="AN11" s="51" t="s">
        <v>89</v>
      </c>
      <c r="AO11" s="51" t="s">
        <v>274</v>
      </c>
    </row>
    <row r="12" spans="1:41" x14ac:dyDescent="0.2">
      <c r="A12" s="51">
        <v>10020589</v>
      </c>
      <c r="B12" s="51">
        <v>390</v>
      </c>
      <c r="C12" s="51" t="s">
        <v>24</v>
      </c>
      <c r="D12" s="51" t="s">
        <v>78</v>
      </c>
      <c r="E12" s="53">
        <v>42401</v>
      </c>
      <c r="F12" s="51">
        <v>93659446</v>
      </c>
      <c r="G12" s="51">
        <v>390</v>
      </c>
      <c r="H12" s="51">
        <v>1201156</v>
      </c>
      <c r="I12" s="51" t="s">
        <v>131</v>
      </c>
      <c r="J12" s="51">
        <v>1319569</v>
      </c>
      <c r="K12" s="51" t="s">
        <v>132</v>
      </c>
      <c r="L12" s="51">
        <v>1201156</v>
      </c>
      <c r="M12" s="51" t="s">
        <v>131</v>
      </c>
      <c r="N12" s="51">
        <v>8349510</v>
      </c>
      <c r="O12" s="51">
        <v>62037099901</v>
      </c>
      <c r="P12" s="51" t="s">
        <v>1395</v>
      </c>
      <c r="Q12" s="51" t="s">
        <v>1322</v>
      </c>
      <c r="R12" s="51" t="s">
        <v>1396</v>
      </c>
      <c r="S12" s="51" t="s">
        <v>1331</v>
      </c>
      <c r="T12" s="51"/>
      <c r="U12" s="51">
        <v>1440</v>
      </c>
      <c r="V12" s="51">
        <v>1</v>
      </c>
      <c r="W12" s="51" t="s">
        <v>1369</v>
      </c>
      <c r="X12" s="51">
        <v>16.3</v>
      </c>
      <c r="Y12" s="51" t="s">
        <v>182</v>
      </c>
      <c r="Z12" s="54">
        <v>23472</v>
      </c>
      <c r="AA12" s="51">
        <v>391.2</v>
      </c>
      <c r="AB12" s="51" t="s">
        <v>182</v>
      </c>
      <c r="AC12" s="51" t="s">
        <v>181</v>
      </c>
      <c r="AD12" s="51" t="s">
        <v>61</v>
      </c>
      <c r="AE12" s="51" t="s">
        <v>63</v>
      </c>
      <c r="AF12" s="51"/>
      <c r="AG12" s="51"/>
      <c r="AH12" s="51"/>
      <c r="AI12" s="51" t="s">
        <v>64</v>
      </c>
      <c r="AJ12" s="53">
        <v>42401</v>
      </c>
      <c r="AK12" s="51"/>
      <c r="AL12" s="51"/>
      <c r="AM12" s="51"/>
      <c r="AN12" s="51"/>
      <c r="AO12" s="51"/>
    </row>
    <row r="13" spans="1:41" x14ac:dyDescent="0.2">
      <c r="A13" s="51">
        <v>10020599</v>
      </c>
      <c r="B13" s="51">
        <v>40</v>
      </c>
      <c r="C13" s="51" t="s">
        <v>26</v>
      </c>
      <c r="D13" s="51" t="s">
        <v>149</v>
      </c>
      <c r="E13" s="53">
        <v>42401</v>
      </c>
      <c r="F13" s="51">
        <v>93670805</v>
      </c>
      <c r="G13" s="51">
        <v>40</v>
      </c>
      <c r="H13" s="51">
        <v>1201215</v>
      </c>
      <c r="I13" s="51" t="s">
        <v>138</v>
      </c>
      <c r="J13" s="51">
        <v>1337407</v>
      </c>
      <c r="K13" s="51" t="s">
        <v>822</v>
      </c>
      <c r="L13" s="51">
        <v>1201215</v>
      </c>
      <c r="M13" s="51" t="s">
        <v>138</v>
      </c>
      <c r="N13" s="51">
        <v>6003295316</v>
      </c>
      <c r="O13" s="51">
        <v>228285011</v>
      </c>
      <c r="P13" s="51" t="s">
        <v>1605</v>
      </c>
      <c r="Q13" s="51" t="s">
        <v>1322</v>
      </c>
      <c r="R13" s="51" t="s">
        <v>1606</v>
      </c>
      <c r="S13" s="51" t="s">
        <v>1331</v>
      </c>
      <c r="T13" s="51" t="s">
        <v>2242</v>
      </c>
      <c r="U13" s="51">
        <v>39</v>
      </c>
      <c r="V13" s="51">
        <v>24</v>
      </c>
      <c r="W13" s="51" t="s">
        <v>1332</v>
      </c>
      <c r="X13" s="51">
        <v>30.82</v>
      </c>
      <c r="Y13" s="51" t="s">
        <v>182</v>
      </c>
      <c r="Z13" s="54">
        <v>1201.98</v>
      </c>
      <c r="AA13" s="51">
        <v>739.68</v>
      </c>
      <c r="AB13" s="51" t="s">
        <v>182</v>
      </c>
      <c r="AC13" s="51" t="s">
        <v>181</v>
      </c>
      <c r="AD13" s="51" t="s">
        <v>91</v>
      </c>
      <c r="AE13" s="51" t="s">
        <v>63</v>
      </c>
      <c r="AF13" s="51" t="s">
        <v>94</v>
      </c>
      <c r="AG13" s="51" t="s">
        <v>95</v>
      </c>
      <c r="AH13" s="53">
        <v>42405</v>
      </c>
      <c r="AI13" s="51" t="s">
        <v>64</v>
      </c>
      <c r="AJ13" s="53">
        <v>42401</v>
      </c>
      <c r="AK13" s="51"/>
      <c r="AL13" s="51"/>
      <c r="AM13" s="51"/>
      <c r="AN13" s="51" t="s">
        <v>96</v>
      </c>
      <c r="AO13" s="51" t="s">
        <v>2243</v>
      </c>
    </row>
    <row r="14" spans="1:41" x14ac:dyDescent="0.2">
      <c r="A14" s="51">
        <v>10020602</v>
      </c>
      <c r="B14" s="51">
        <v>260</v>
      </c>
      <c r="C14" s="51" t="s">
        <v>26</v>
      </c>
      <c r="D14" s="51" t="s">
        <v>78</v>
      </c>
      <c r="E14" s="53">
        <v>42401</v>
      </c>
      <c r="F14" s="51">
        <v>93664559</v>
      </c>
      <c r="G14" s="51">
        <v>260</v>
      </c>
      <c r="H14" s="51">
        <v>1201047</v>
      </c>
      <c r="I14" s="51" t="s">
        <v>79</v>
      </c>
      <c r="J14" s="51">
        <v>1307128</v>
      </c>
      <c r="K14" s="51" t="s">
        <v>85</v>
      </c>
      <c r="L14" s="51">
        <v>1171089</v>
      </c>
      <c r="M14" s="51" t="s">
        <v>75</v>
      </c>
      <c r="N14" s="51">
        <v>10499538</v>
      </c>
      <c r="O14" s="51">
        <v>16252060144</v>
      </c>
      <c r="P14" s="51" t="s">
        <v>1350</v>
      </c>
      <c r="Q14" s="51" t="s">
        <v>1322</v>
      </c>
      <c r="R14" s="51" t="s">
        <v>1351</v>
      </c>
      <c r="S14" s="51" t="s">
        <v>1331</v>
      </c>
      <c r="T14" s="51"/>
      <c r="U14" s="51">
        <v>3000</v>
      </c>
      <c r="V14" s="51">
        <v>2</v>
      </c>
      <c r="W14" s="51" t="s">
        <v>1332</v>
      </c>
      <c r="X14" s="51">
        <v>3.5</v>
      </c>
      <c r="Y14" s="51" t="s">
        <v>182</v>
      </c>
      <c r="Z14" s="54">
        <v>10500</v>
      </c>
      <c r="AA14" s="51">
        <v>7</v>
      </c>
      <c r="AB14" s="51" t="s">
        <v>182</v>
      </c>
      <c r="AC14" s="51" t="s">
        <v>181</v>
      </c>
      <c r="AD14" s="51" t="s">
        <v>91</v>
      </c>
      <c r="AE14" s="51" t="s">
        <v>63</v>
      </c>
      <c r="AF14" s="51" t="s">
        <v>94</v>
      </c>
      <c r="AG14" s="51" t="s">
        <v>95</v>
      </c>
      <c r="AH14" s="53">
        <v>42402</v>
      </c>
      <c r="AI14" s="51" t="s">
        <v>64</v>
      </c>
      <c r="AJ14" s="53">
        <v>42401</v>
      </c>
      <c r="AK14" s="51"/>
      <c r="AL14" s="51"/>
      <c r="AM14" s="51"/>
      <c r="AN14" s="51" t="s">
        <v>96</v>
      </c>
      <c r="AO14" s="51" t="s">
        <v>2244</v>
      </c>
    </row>
    <row r="15" spans="1:41" x14ac:dyDescent="0.2">
      <c r="A15" s="51">
        <v>10020605</v>
      </c>
      <c r="B15" s="51">
        <v>20</v>
      </c>
      <c r="C15" s="51" t="s">
        <v>22</v>
      </c>
      <c r="D15" s="51" t="s">
        <v>78</v>
      </c>
      <c r="E15" s="53">
        <v>42401</v>
      </c>
      <c r="F15" s="51">
        <v>93668026</v>
      </c>
      <c r="G15" s="51">
        <v>20</v>
      </c>
      <c r="H15" s="51">
        <v>1201540</v>
      </c>
      <c r="I15" s="51" t="s">
        <v>150</v>
      </c>
      <c r="J15" s="51">
        <v>1312297</v>
      </c>
      <c r="K15" s="51" t="s">
        <v>151</v>
      </c>
      <c r="L15" s="51">
        <v>1201540</v>
      </c>
      <c r="M15" s="51" t="s">
        <v>150</v>
      </c>
      <c r="N15" s="51" t="s">
        <v>2245</v>
      </c>
      <c r="O15" s="51">
        <v>591264101</v>
      </c>
      <c r="P15" s="51" t="s">
        <v>2246</v>
      </c>
      <c r="Q15" s="51" t="s">
        <v>1322</v>
      </c>
      <c r="R15" s="51" t="s">
        <v>2247</v>
      </c>
      <c r="S15" s="51">
        <v>3</v>
      </c>
      <c r="T15" s="51">
        <v>337393</v>
      </c>
      <c r="U15" s="51">
        <v>1</v>
      </c>
      <c r="V15" s="51">
        <v>12</v>
      </c>
      <c r="W15" s="51" t="s">
        <v>1332</v>
      </c>
      <c r="X15" s="51">
        <v>470.81</v>
      </c>
      <c r="Y15" s="51" t="s">
        <v>182</v>
      </c>
      <c r="Z15" s="54">
        <v>5649.72</v>
      </c>
      <c r="AA15" s="54">
        <v>5649.72</v>
      </c>
      <c r="AB15" s="51" t="s">
        <v>182</v>
      </c>
      <c r="AC15" s="51" t="s">
        <v>181</v>
      </c>
      <c r="AD15" s="51" t="s">
        <v>91</v>
      </c>
      <c r="AE15" s="51" t="s">
        <v>63</v>
      </c>
      <c r="AF15" s="51" t="s">
        <v>81</v>
      </c>
      <c r="AG15" s="51" t="s">
        <v>82</v>
      </c>
      <c r="AH15" s="53">
        <v>42429</v>
      </c>
      <c r="AI15" s="51" t="s">
        <v>64</v>
      </c>
      <c r="AJ15" s="53">
        <v>42401</v>
      </c>
      <c r="AK15" s="51"/>
      <c r="AL15" s="51"/>
      <c r="AM15" s="51"/>
      <c r="AN15" s="51" t="s">
        <v>84</v>
      </c>
      <c r="AO15" s="51" t="s">
        <v>2248</v>
      </c>
    </row>
    <row r="16" spans="1:41" x14ac:dyDescent="0.2">
      <c r="A16" s="51">
        <v>10020608</v>
      </c>
      <c r="B16" s="51">
        <v>50</v>
      </c>
      <c r="C16" s="51" t="s">
        <v>18</v>
      </c>
      <c r="D16" s="51" t="s">
        <v>78</v>
      </c>
      <c r="E16" s="53">
        <v>42401</v>
      </c>
      <c r="F16" s="51">
        <v>93673616</v>
      </c>
      <c r="G16" s="51">
        <v>50</v>
      </c>
      <c r="H16" s="51">
        <v>1201120</v>
      </c>
      <c r="I16" s="51" t="s">
        <v>117</v>
      </c>
      <c r="J16" s="51">
        <v>1307782</v>
      </c>
      <c r="K16" s="51" t="s">
        <v>119</v>
      </c>
      <c r="L16" s="51">
        <v>1171090</v>
      </c>
      <c r="M16" s="51" t="s">
        <v>118</v>
      </c>
      <c r="N16" s="51" t="s">
        <v>2249</v>
      </c>
      <c r="O16" s="51">
        <v>472125594</v>
      </c>
      <c r="P16" s="51" t="s">
        <v>1509</v>
      </c>
      <c r="Q16" s="51" t="s">
        <v>1459</v>
      </c>
      <c r="R16" s="51" t="s">
        <v>1510</v>
      </c>
      <c r="S16" s="51" t="s">
        <v>1459</v>
      </c>
      <c r="T16" s="51"/>
      <c r="U16" s="51">
        <v>6144</v>
      </c>
      <c r="V16" s="51">
        <v>48</v>
      </c>
      <c r="W16" s="51" t="s">
        <v>1332</v>
      </c>
      <c r="X16" s="51">
        <v>3.07</v>
      </c>
      <c r="Y16" s="51" t="s">
        <v>182</v>
      </c>
      <c r="Z16" s="54">
        <v>18862.080000000002</v>
      </c>
      <c r="AA16" s="51">
        <v>147.36000000000001</v>
      </c>
      <c r="AB16" s="51" t="s">
        <v>182</v>
      </c>
      <c r="AC16" s="51" t="s">
        <v>181</v>
      </c>
      <c r="AD16" s="51" t="s">
        <v>91</v>
      </c>
      <c r="AE16" s="51" t="s">
        <v>63</v>
      </c>
      <c r="AF16" s="51" t="s">
        <v>70</v>
      </c>
      <c r="AG16" s="51" t="s">
        <v>76</v>
      </c>
      <c r="AH16" s="53">
        <v>42405</v>
      </c>
      <c r="AI16" s="51" t="s">
        <v>64</v>
      </c>
      <c r="AJ16" s="53">
        <v>42401</v>
      </c>
      <c r="AK16" s="51"/>
      <c r="AL16" s="51"/>
      <c r="AM16" s="51"/>
      <c r="AN16" s="51" t="s">
        <v>77</v>
      </c>
      <c r="AO16" s="51" t="s">
        <v>388</v>
      </c>
    </row>
    <row r="17" spans="1:41" x14ac:dyDescent="0.2">
      <c r="A17" s="51">
        <v>10020610</v>
      </c>
      <c r="B17" s="51">
        <v>90</v>
      </c>
      <c r="C17" s="51" t="s">
        <v>18</v>
      </c>
      <c r="D17" s="51" t="s">
        <v>78</v>
      </c>
      <c r="E17" s="53">
        <v>42401</v>
      </c>
      <c r="F17" s="51">
        <v>93673618</v>
      </c>
      <c r="G17" s="51">
        <v>90</v>
      </c>
      <c r="H17" s="51">
        <v>1201120</v>
      </c>
      <c r="I17" s="51" t="s">
        <v>117</v>
      </c>
      <c r="J17" s="51">
        <v>1307782</v>
      </c>
      <c r="K17" s="51" t="s">
        <v>119</v>
      </c>
      <c r="L17" s="51">
        <v>1171090</v>
      </c>
      <c r="M17" s="51" t="s">
        <v>118</v>
      </c>
      <c r="N17" s="51" t="s">
        <v>2250</v>
      </c>
      <c r="O17" s="51">
        <v>591267930</v>
      </c>
      <c r="P17" s="51" t="s">
        <v>1528</v>
      </c>
      <c r="Q17" s="51" t="s">
        <v>1322</v>
      </c>
      <c r="R17" s="51" t="s">
        <v>1443</v>
      </c>
      <c r="S17" s="51" t="s">
        <v>1331</v>
      </c>
      <c r="T17" s="51" t="s">
        <v>2016</v>
      </c>
      <c r="U17" s="51">
        <v>108</v>
      </c>
      <c r="V17" s="51">
        <v>12</v>
      </c>
      <c r="W17" s="51" t="s">
        <v>1332</v>
      </c>
      <c r="X17" s="51">
        <v>224.65</v>
      </c>
      <c r="Y17" s="51" t="s">
        <v>182</v>
      </c>
      <c r="Z17" s="54">
        <v>24262.2</v>
      </c>
      <c r="AA17" s="54">
        <v>2695.8</v>
      </c>
      <c r="AB17" s="51" t="s">
        <v>182</v>
      </c>
      <c r="AC17" s="51" t="s">
        <v>181</v>
      </c>
      <c r="AD17" s="51" t="s">
        <v>91</v>
      </c>
      <c r="AE17" s="51" t="s">
        <v>69</v>
      </c>
      <c r="AF17" s="51" t="s">
        <v>70</v>
      </c>
      <c r="AG17" s="51" t="s">
        <v>76</v>
      </c>
      <c r="AH17" s="53">
        <v>42405</v>
      </c>
      <c r="AI17" s="51" t="s">
        <v>83</v>
      </c>
      <c r="AJ17" s="53">
        <v>42423</v>
      </c>
      <c r="AK17" s="51" t="s">
        <v>100</v>
      </c>
      <c r="AL17" s="51">
        <v>62086434</v>
      </c>
      <c r="AM17" s="53">
        <v>42423</v>
      </c>
      <c r="AN17" s="51" t="s">
        <v>77</v>
      </c>
      <c r="AO17" s="51" t="s">
        <v>219</v>
      </c>
    </row>
    <row r="18" spans="1:41" x14ac:dyDescent="0.2">
      <c r="A18" s="51">
        <v>10020610</v>
      </c>
      <c r="B18" s="51">
        <v>140</v>
      </c>
      <c r="C18" s="51" t="s">
        <v>18</v>
      </c>
      <c r="D18" s="51" t="s">
        <v>78</v>
      </c>
      <c r="E18" s="53">
        <v>42401</v>
      </c>
      <c r="F18" s="51">
        <v>93673618</v>
      </c>
      <c r="G18" s="51">
        <v>140</v>
      </c>
      <c r="H18" s="51">
        <v>1201120</v>
      </c>
      <c r="I18" s="51" t="s">
        <v>117</v>
      </c>
      <c r="J18" s="51">
        <v>1307782</v>
      </c>
      <c r="K18" s="51" t="s">
        <v>119</v>
      </c>
      <c r="L18" s="51">
        <v>1171090</v>
      </c>
      <c r="M18" s="51" t="s">
        <v>118</v>
      </c>
      <c r="N18" s="51" t="s">
        <v>2250</v>
      </c>
      <c r="O18" s="51">
        <v>591014987</v>
      </c>
      <c r="P18" s="51" t="s">
        <v>2251</v>
      </c>
      <c r="Q18" s="51" t="s">
        <v>1322</v>
      </c>
      <c r="R18" s="51" t="s">
        <v>2232</v>
      </c>
      <c r="S18" s="51" t="s">
        <v>1331</v>
      </c>
      <c r="T18" s="51">
        <v>152240.1</v>
      </c>
      <c r="U18" s="51">
        <v>768</v>
      </c>
      <c r="V18" s="51">
        <v>32</v>
      </c>
      <c r="W18" s="51" t="s">
        <v>1332</v>
      </c>
      <c r="X18" s="51">
        <v>318</v>
      </c>
      <c r="Y18" s="51" t="s">
        <v>182</v>
      </c>
      <c r="Z18" s="54">
        <v>244224</v>
      </c>
      <c r="AA18" s="54">
        <v>10176</v>
      </c>
      <c r="AB18" s="51" t="s">
        <v>182</v>
      </c>
      <c r="AC18" s="51" t="s">
        <v>181</v>
      </c>
      <c r="AD18" s="51" t="s">
        <v>91</v>
      </c>
      <c r="AE18" s="51" t="s">
        <v>69</v>
      </c>
      <c r="AF18" s="51" t="s">
        <v>70</v>
      </c>
      <c r="AG18" s="51" t="s">
        <v>76</v>
      </c>
      <c r="AH18" s="53">
        <v>42405</v>
      </c>
      <c r="AI18" s="51" t="s">
        <v>83</v>
      </c>
      <c r="AJ18" s="53">
        <v>42423</v>
      </c>
      <c r="AK18" s="51" t="s">
        <v>100</v>
      </c>
      <c r="AL18" s="51">
        <v>62086434</v>
      </c>
      <c r="AM18" s="53">
        <v>42423</v>
      </c>
      <c r="AN18" s="51" t="s">
        <v>77</v>
      </c>
      <c r="AO18" s="51" t="s">
        <v>219</v>
      </c>
    </row>
    <row r="19" spans="1:41" x14ac:dyDescent="0.2">
      <c r="A19" s="51">
        <v>10020611</v>
      </c>
      <c r="B19" s="51">
        <v>190</v>
      </c>
      <c r="C19" s="51" t="s">
        <v>18</v>
      </c>
      <c r="D19" s="51" t="s">
        <v>149</v>
      </c>
      <c r="E19" s="53">
        <v>42401</v>
      </c>
      <c r="F19" s="51">
        <v>93672209</v>
      </c>
      <c r="G19" s="51">
        <v>190</v>
      </c>
      <c r="H19" s="51">
        <v>1201133</v>
      </c>
      <c r="I19" s="51" t="s">
        <v>128</v>
      </c>
      <c r="J19" s="51">
        <v>1325387</v>
      </c>
      <c r="K19" s="51" t="s">
        <v>129</v>
      </c>
      <c r="L19" s="51">
        <v>1171102</v>
      </c>
      <c r="M19" s="51" t="s">
        <v>130</v>
      </c>
      <c r="N19" s="51" t="s">
        <v>2252</v>
      </c>
      <c r="O19" s="51">
        <v>45963063304</v>
      </c>
      <c r="P19" s="51" t="s">
        <v>2253</v>
      </c>
      <c r="Q19" s="51" t="s">
        <v>1322</v>
      </c>
      <c r="R19" s="51" t="s">
        <v>2254</v>
      </c>
      <c r="S19" s="51" t="s">
        <v>1331</v>
      </c>
      <c r="T19" s="51" t="s">
        <v>2255</v>
      </c>
      <c r="U19" s="51">
        <v>48</v>
      </c>
      <c r="V19" s="51">
        <v>10</v>
      </c>
      <c r="W19" s="51" t="s">
        <v>1332</v>
      </c>
      <c r="X19" s="51">
        <v>10.42</v>
      </c>
      <c r="Y19" s="51" t="s">
        <v>182</v>
      </c>
      <c r="Z19" s="51">
        <v>500.16</v>
      </c>
      <c r="AA19" s="51">
        <v>104.2</v>
      </c>
      <c r="AB19" s="51" t="s">
        <v>182</v>
      </c>
      <c r="AC19" s="51" t="s">
        <v>181</v>
      </c>
      <c r="AD19" s="51" t="s">
        <v>91</v>
      </c>
      <c r="AE19" s="51" t="s">
        <v>69</v>
      </c>
      <c r="AF19" s="51" t="s">
        <v>70</v>
      </c>
      <c r="AG19" s="51" t="s">
        <v>76</v>
      </c>
      <c r="AH19" s="53">
        <v>42405</v>
      </c>
      <c r="AI19" s="51" t="s">
        <v>64</v>
      </c>
      <c r="AJ19" s="53">
        <v>42401</v>
      </c>
      <c r="AK19" s="51" t="s">
        <v>100</v>
      </c>
      <c r="AL19" s="51">
        <v>62090287</v>
      </c>
      <c r="AM19" s="53">
        <v>42430</v>
      </c>
      <c r="AN19" s="51" t="s">
        <v>77</v>
      </c>
      <c r="AO19" s="51" t="s">
        <v>2256</v>
      </c>
    </row>
    <row r="20" spans="1:41" x14ac:dyDescent="0.2">
      <c r="A20" s="51">
        <v>10020612</v>
      </c>
      <c r="B20" s="51">
        <v>190</v>
      </c>
      <c r="C20" s="51" t="s">
        <v>26</v>
      </c>
      <c r="D20" s="51" t="s">
        <v>149</v>
      </c>
      <c r="E20" s="53">
        <v>42401</v>
      </c>
      <c r="F20" s="51">
        <v>93672209</v>
      </c>
      <c r="G20" s="51">
        <v>190</v>
      </c>
      <c r="H20" s="51">
        <v>1201133</v>
      </c>
      <c r="I20" s="51" t="s">
        <v>128</v>
      </c>
      <c r="J20" s="51">
        <v>1325387</v>
      </c>
      <c r="K20" s="51" t="s">
        <v>129</v>
      </c>
      <c r="L20" s="51">
        <v>1171102</v>
      </c>
      <c r="M20" s="51" t="s">
        <v>130</v>
      </c>
      <c r="N20" s="51" t="s">
        <v>2252</v>
      </c>
      <c r="O20" s="51">
        <v>45963063304</v>
      </c>
      <c r="P20" s="51" t="s">
        <v>2253</v>
      </c>
      <c r="Q20" s="51" t="s">
        <v>1322</v>
      </c>
      <c r="R20" s="51" t="s">
        <v>2254</v>
      </c>
      <c r="S20" s="51" t="s">
        <v>1331</v>
      </c>
      <c r="T20" s="51" t="s">
        <v>2255</v>
      </c>
      <c r="U20" s="51">
        <v>48</v>
      </c>
      <c r="V20" s="51">
        <v>1</v>
      </c>
      <c r="W20" s="51" t="s">
        <v>1332</v>
      </c>
      <c r="X20" s="51">
        <v>10.42</v>
      </c>
      <c r="Y20" s="51" t="s">
        <v>182</v>
      </c>
      <c r="Z20" s="51">
        <v>500.16</v>
      </c>
      <c r="AA20" s="51">
        <v>10.42</v>
      </c>
      <c r="AB20" s="51" t="s">
        <v>182</v>
      </c>
      <c r="AC20" s="51" t="s">
        <v>181</v>
      </c>
      <c r="AD20" s="51" t="s">
        <v>91</v>
      </c>
      <c r="AE20" s="51" t="s">
        <v>63</v>
      </c>
      <c r="AF20" s="51" t="s">
        <v>70</v>
      </c>
      <c r="AG20" s="51" t="s">
        <v>82</v>
      </c>
      <c r="AH20" s="53">
        <v>42419</v>
      </c>
      <c r="AI20" s="51" t="s">
        <v>64</v>
      </c>
      <c r="AJ20" s="53">
        <v>42401</v>
      </c>
      <c r="AK20" s="51"/>
      <c r="AL20" s="51"/>
      <c r="AM20" s="51"/>
      <c r="AN20" s="51" t="s">
        <v>89</v>
      </c>
      <c r="AO20" s="51" t="s">
        <v>2257</v>
      </c>
    </row>
    <row r="21" spans="1:41" x14ac:dyDescent="0.2">
      <c r="A21" s="51">
        <v>10020613</v>
      </c>
      <c r="B21" s="51">
        <v>90</v>
      </c>
      <c r="C21" s="51" t="s">
        <v>18</v>
      </c>
      <c r="D21" s="51" t="s">
        <v>78</v>
      </c>
      <c r="E21" s="53">
        <v>42401</v>
      </c>
      <c r="F21" s="51">
        <v>93673622</v>
      </c>
      <c r="G21" s="51">
        <v>90</v>
      </c>
      <c r="H21" s="51">
        <v>1201120</v>
      </c>
      <c r="I21" s="51" t="s">
        <v>117</v>
      </c>
      <c r="J21" s="51">
        <v>1307782</v>
      </c>
      <c r="K21" s="51" t="s">
        <v>119</v>
      </c>
      <c r="L21" s="51">
        <v>1171090</v>
      </c>
      <c r="M21" s="51" t="s">
        <v>118</v>
      </c>
      <c r="N21" s="51" t="s">
        <v>2234</v>
      </c>
      <c r="O21" s="51">
        <v>591381760</v>
      </c>
      <c r="P21" s="51" t="s">
        <v>1357</v>
      </c>
      <c r="Q21" s="51" t="s">
        <v>1322</v>
      </c>
      <c r="R21" s="51" t="s">
        <v>1358</v>
      </c>
      <c r="S21" s="51" t="s">
        <v>1331</v>
      </c>
      <c r="T21" s="51"/>
      <c r="U21" s="51">
        <v>6720</v>
      </c>
      <c r="V21" s="51">
        <v>24</v>
      </c>
      <c r="W21" s="51" t="s">
        <v>1332</v>
      </c>
      <c r="X21" s="51">
        <v>24</v>
      </c>
      <c r="Y21" s="51" t="s">
        <v>182</v>
      </c>
      <c r="Z21" s="54">
        <v>161280</v>
      </c>
      <c r="AA21" s="51">
        <v>576</v>
      </c>
      <c r="AB21" s="51" t="s">
        <v>182</v>
      </c>
      <c r="AC21" s="51" t="s">
        <v>181</v>
      </c>
      <c r="AD21" s="51" t="s">
        <v>91</v>
      </c>
      <c r="AE21" s="51" t="s">
        <v>69</v>
      </c>
      <c r="AF21" s="51" t="s">
        <v>70</v>
      </c>
      <c r="AG21" s="51" t="s">
        <v>71</v>
      </c>
      <c r="AH21" s="53">
        <v>42416</v>
      </c>
      <c r="AI21" s="51" t="s">
        <v>83</v>
      </c>
      <c r="AJ21" s="53">
        <v>42402</v>
      </c>
      <c r="AK21" s="51" t="s">
        <v>72</v>
      </c>
      <c r="AL21" s="51">
        <v>62081701</v>
      </c>
      <c r="AM21" s="53">
        <v>42416</v>
      </c>
      <c r="AN21" s="51" t="s">
        <v>73</v>
      </c>
      <c r="AO21" s="51" t="s">
        <v>2258</v>
      </c>
    </row>
    <row r="22" spans="1:41" x14ac:dyDescent="0.2">
      <c r="A22" s="51">
        <v>10020613</v>
      </c>
      <c r="B22" s="51">
        <v>100</v>
      </c>
      <c r="C22" s="51" t="s">
        <v>18</v>
      </c>
      <c r="D22" s="51" t="s">
        <v>78</v>
      </c>
      <c r="E22" s="53">
        <v>42401</v>
      </c>
      <c r="F22" s="51">
        <v>93673622</v>
      </c>
      <c r="G22" s="51">
        <v>100</v>
      </c>
      <c r="H22" s="51">
        <v>1201120</v>
      </c>
      <c r="I22" s="51" t="s">
        <v>117</v>
      </c>
      <c r="J22" s="51">
        <v>1307782</v>
      </c>
      <c r="K22" s="51" t="s">
        <v>119</v>
      </c>
      <c r="L22" s="51">
        <v>1171090</v>
      </c>
      <c r="M22" s="51" t="s">
        <v>118</v>
      </c>
      <c r="N22" s="51" t="s">
        <v>2234</v>
      </c>
      <c r="O22" s="51">
        <v>591381730</v>
      </c>
      <c r="P22" s="51" t="s">
        <v>1373</v>
      </c>
      <c r="Q22" s="51" t="s">
        <v>1322</v>
      </c>
      <c r="R22" s="51" t="s">
        <v>1358</v>
      </c>
      <c r="S22" s="51" t="s">
        <v>1331</v>
      </c>
      <c r="T22" s="51"/>
      <c r="U22" s="51">
        <v>13440</v>
      </c>
      <c r="V22" s="51">
        <v>648</v>
      </c>
      <c r="W22" s="51" t="s">
        <v>1332</v>
      </c>
      <c r="X22" s="51">
        <v>12</v>
      </c>
      <c r="Y22" s="51" t="s">
        <v>182</v>
      </c>
      <c r="Z22" s="54">
        <v>161280</v>
      </c>
      <c r="AA22" s="54">
        <v>7776</v>
      </c>
      <c r="AB22" s="51" t="s">
        <v>182</v>
      </c>
      <c r="AC22" s="51" t="s">
        <v>181</v>
      </c>
      <c r="AD22" s="51" t="s">
        <v>91</v>
      </c>
      <c r="AE22" s="51" t="s">
        <v>69</v>
      </c>
      <c r="AF22" s="51" t="s">
        <v>70</v>
      </c>
      <c r="AG22" s="51" t="s">
        <v>71</v>
      </c>
      <c r="AH22" s="53">
        <v>42416</v>
      </c>
      <c r="AI22" s="51" t="s">
        <v>83</v>
      </c>
      <c r="AJ22" s="53">
        <v>42402</v>
      </c>
      <c r="AK22" s="51" t="s">
        <v>72</v>
      </c>
      <c r="AL22" s="51">
        <v>62081701</v>
      </c>
      <c r="AM22" s="53">
        <v>42416</v>
      </c>
      <c r="AN22" s="51" t="s">
        <v>73</v>
      </c>
      <c r="AO22" s="51" t="s">
        <v>2258</v>
      </c>
    </row>
    <row r="23" spans="1:41" x14ac:dyDescent="0.2">
      <c r="A23" s="51">
        <v>10020613</v>
      </c>
      <c r="B23" s="51">
        <v>1500</v>
      </c>
      <c r="C23" s="51" t="s">
        <v>18</v>
      </c>
      <c r="D23" s="51" t="s">
        <v>78</v>
      </c>
      <c r="E23" s="53">
        <v>42401</v>
      </c>
      <c r="F23" s="51">
        <v>93673622</v>
      </c>
      <c r="G23" s="51">
        <v>1500</v>
      </c>
      <c r="H23" s="51">
        <v>1201120</v>
      </c>
      <c r="I23" s="51" t="s">
        <v>117</v>
      </c>
      <c r="J23" s="51">
        <v>1307782</v>
      </c>
      <c r="K23" s="51" t="s">
        <v>119</v>
      </c>
      <c r="L23" s="51">
        <v>1171090</v>
      </c>
      <c r="M23" s="51" t="s">
        <v>118</v>
      </c>
      <c r="N23" s="51" t="s">
        <v>2234</v>
      </c>
      <c r="O23" s="51">
        <v>591379860</v>
      </c>
      <c r="P23" s="51" t="s">
        <v>1580</v>
      </c>
      <c r="Q23" s="51" t="s">
        <v>1322</v>
      </c>
      <c r="R23" s="51" t="s">
        <v>1581</v>
      </c>
      <c r="S23" s="51" t="s">
        <v>1331</v>
      </c>
      <c r="T23" s="51"/>
      <c r="U23" s="51">
        <v>2304</v>
      </c>
      <c r="V23" s="51">
        <v>72</v>
      </c>
      <c r="W23" s="51" t="s">
        <v>1332</v>
      </c>
      <c r="X23" s="51">
        <v>9</v>
      </c>
      <c r="Y23" s="51" t="s">
        <v>182</v>
      </c>
      <c r="Z23" s="54">
        <v>20736</v>
      </c>
      <c r="AA23" s="51">
        <v>648</v>
      </c>
      <c r="AB23" s="51" t="s">
        <v>182</v>
      </c>
      <c r="AC23" s="51" t="s">
        <v>181</v>
      </c>
      <c r="AD23" s="51" t="s">
        <v>91</v>
      </c>
      <c r="AE23" s="51" t="s">
        <v>69</v>
      </c>
      <c r="AF23" s="51" t="s">
        <v>70</v>
      </c>
      <c r="AG23" s="51" t="s">
        <v>71</v>
      </c>
      <c r="AH23" s="53">
        <v>42416</v>
      </c>
      <c r="AI23" s="51" t="s">
        <v>83</v>
      </c>
      <c r="AJ23" s="53">
        <v>42402</v>
      </c>
      <c r="AK23" s="51" t="s">
        <v>72</v>
      </c>
      <c r="AL23" s="51">
        <v>62081701</v>
      </c>
      <c r="AM23" s="53">
        <v>42416</v>
      </c>
      <c r="AN23" s="51" t="s">
        <v>73</v>
      </c>
      <c r="AO23" s="51" t="s">
        <v>2258</v>
      </c>
    </row>
    <row r="24" spans="1:41" x14ac:dyDescent="0.2">
      <c r="A24" s="51">
        <v>10020613</v>
      </c>
      <c r="B24" s="51">
        <v>1510</v>
      </c>
      <c r="C24" s="51" t="s">
        <v>18</v>
      </c>
      <c r="D24" s="51" t="s">
        <v>78</v>
      </c>
      <c r="E24" s="53">
        <v>42401</v>
      </c>
      <c r="F24" s="51">
        <v>93673622</v>
      </c>
      <c r="G24" s="51">
        <v>1510</v>
      </c>
      <c r="H24" s="51">
        <v>1201120</v>
      </c>
      <c r="I24" s="51" t="s">
        <v>117</v>
      </c>
      <c r="J24" s="51">
        <v>1307782</v>
      </c>
      <c r="K24" s="51" t="s">
        <v>119</v>
      </c>
      <c r="L24" s="51">
        <v>1171090</v>
      </c>
      <c r="M24" s="51" t="s">
        <v>118</v>
      </c>
      <c r="N24" s="51" t="s">
        <v>2234</v>
      </c>
      <c r="O24" s="51">
        <v>591379830</v>
      </c>
      <c r="P24" s="51" t="s">
        <v>2259</v>
      </c>
      <c r="Q24" s="51" t="s">
        <v>1322</v>
      </c>
      <c r="R24" s="51" t="s">
        <v>1581</v>
      </c>
      <c r="S24" s="51" t="s">
        <v>1331</v>
      </c>
      <c r="T24" s="51" t="s">
        <v>2260</v>
      </c>
      <c r="U24" s="51">
        <v>1536</v>
      </c>
      <c r="V24" s="51">
        <v>480</v>
      </c>
      <c r="W24" s="51" t="s">
        <v>1332</v>
      </c>
      <c r="X24" s="51">
        <v>4.5</v>
      </c>
      <c r="Y24" s="51" t="s">
        <v>182</v>
      </c>
      <c r="Z24" s="54">
        <v>6912</v>
      </c>
      <c r="AA24" s="54">
        <v>2160</v>
      </c>
      <c r="AB24" s="51" t="s">
        <v>182</v>
      </c>
      <c r="AC24" s="51" t="s">
        <v>181</v>
      </c>
      <c r="AD24" s="51" t="s">
        <v>91</v>
      </c>
      <c r="AE24" s="51" t="s">
        <v>69</v>
      </c>
      <c r="AF24" s="51" t="s">
        <v>70</v>
      </c>
      <c r="AG24" s="51" t="s">
        <v>71</v>
      </c>
      <c r="AH24" s="53">
        <v>42416</v>
      </c>
      <c r="AI24" s="51" t="s">
        <v>83</v>
      </c>
      <c r="AJ24" s="53">
        <v>42402</v>
      </c>
      <c r="AK24" s="51" t="s">
        <v>72</v>
      </c>
      <c r="AL24" s="51">
        <v>62081701</v>
      </c>
      <c r="AM24" s="53">
        <v>42416</v>
      </c>
      <c r="AN24" s="51" t="s">
        <v>73</v>
      </c>
      <c r="AO24" s="51" t="s">
        <v>2258</v>
      </c>
    </row>
    <row r="25" spans="1:41" x14ac:dyDescent="0.2">
      <c r="A25" s="51">
        <v>10020614</v>
      </c>
      <c r="B25" s="51">
        <v>110</v>
      </c>
      <c r="C25" s="51" t="s">
        <v>18</v>
      </c>
      <c r="D25" s="51" t="s">
        <v>149</v>
      </c>
      <c r="E25" s="53">
        <v>42401</v>
      </c>
      <c r="F25" s="51">
        <v>93663149</v>
      </c>
      <c r="G25" s="51">
        <v>110</v>
      </c>
      <c r="H25" s="51">
        <v>1201494</v>
      </c>
      <c r="I25" s="51" t="s">
        <v>161</v>
      </c>
      <c r="J25" s="51">
        <v>1050125</v>
      </c>
      <c r="K25" s="51" t="s">
        <v>437</v>
      </c>
      <c r="L25" s="51">
        <v>1172005</v>
      </c>
      <c r="M25" s="51" t="s">
        <v>161</v>
      </c>
      <c r="N25" s="51">
        <v>10589</v>
      </c>
      <c r="O25" s="51">
        <v>591080001</v>
      </c>
      <c r="P25" s="51" t="s">
        <v>2003</v>
      </c>
      <c r="Q25" s="51" t="s">
        <v>1322</v>
      </c>
      <c r="R25" s="51" t="s">
        <v>2004</v>
      </c>
      <c r="S25" s="51" t="s">
        <v>1331</v>
      </c>
      <c r="T25" s="51">
        <v>3135296</v>
      </c>
      <c r="U25" s="51">
        <v>384</v>
      </c>
      <c r="V25" s="51">
        <v>1</v>
      </c>
      <c r="W25" s="51" t="s">
        <v>1332</v>
      </c>
      <c r="X25" s="51">
        <v>4.51</v>
      </c>
      <c r="Y25" s="51" t="s">
        <v>182</v>
      </c>
      <c r="Z25" s="54">
        <v>1731.84</v>
      </c>
      <c r="AA25" s="51">
        <v>4.51</v>
      </c>
      <c r="AB25" s="51" t="s">
        <v>182</v>
      </c>
      <c r="AC25" s="51" t="s">
        <v>181</v>
      </c>
      <c r="AD25" s="51" t="s">
        <v>91</v>
      </c>
      <c r="AE25" s="51" t="s">
        <v>63</v>
      </c>
      <c r="AF25" s="51" t="s">
        <v>70</v>
      </c>
      <c r="AG25" s="51" t="s">
        <v>76</v>
      </c>
      <c r="AH25" s="53">
        <v>42405</v>
      </c>
      <c r="AI25" s="51" t="s">
        <v>64</v>
      </c>
      <c r="AJ25" s="53">
        <v>42401</v>
      </c>
      <c r="AK25" s="51"/>
      <c r="AL25" s="51"/>
      <c r="AM25" s="51"/>
      <c r="AN25" s="51" t="s">
        <v>77</v>
      </c>
      <c r="AO25" s="51" t="s">
        <v>1240</v>
      </c>
    </row>
    <row r="26" spans="1:41" x14ac:dyDescent="0.2">
      <c r="A26" s="51">
        <v>10020614</v>
      </c>
      <c r="B26" s="51">
        <v>290</v>
      </c>
      <c r="C26" s="51" t="s">
        <v>18</v>
      </c>
      <c r="D26" s="51" t="s">
        <v>149</v>
      </c>
      <c r="E26" s="53">
        <v>42401</v>
      </c>
      <c r="F26" s="51">
        <v>93663149</v>
      </c>
      <c r="G26" s="51">
        <v>290</v>
      </c>
      <c r="H26" s="51">
        <v>1201494</v>
      </c>
      <c r="I26" s="51" t="s">
        <v>161</v>
      </c>
      <c r="J26" s="51">
        <v>1050125</v>
      </c>
      <c r="K26" s="51" t="s">
        <v>437</v>
      </c>
      <c r="L26" s="51">
        <v>1172005</v>
      </c>
      <c r="M26" s="51" t="s">
        <v>161</v>
      </c>
      <c r="N26" s="51">
        <v>10589</v>
      </c>
      <c r="O26" s="51">
        <v>52544084728</v>
      </c>
      <c r="P26" s="51" t="s">
        <v>2261</v>
      </c>
      <c r="Q26" s="51" t="s">
        <v>1344</v>
      </c>
      <c r="R26" s="51" t="s">
        <v>2262</v>
      </c>
      <c r="S26" s="51" t="s">
        <v>1331</v>
      </c>
      <c r="T26" s="51" t="s">
        <v>2263</v>
      </c>
      <c r="U26" s="51">
        <v>228</v>
      </c>
      <c r="V26" s="51">
        <v>14</v>
      </c>
      <c r="W26" s="51" t="s">
        <v>1332</v>
      </c>
      <c r="X26" s="51">
        <v>30.93</v>
      </c>
      <c r="Y26" s="51" t="s">
        <v>182</v>
      </c>
      <c r="Z26" s="54">
        <v>7052.04</v>
      </c>
      <c r="AA26" s="51">
        <v>433.02</v>
      </c>
      <c r="AB26" s="51" t="s">
        <v>182</v>
      </c>
      <c r="AC26" s="51" t="s">
        <v>181</v>
      </c>
      <c r="AD26" s="51" t="s">
        <v>91</v>
      </c>
      <c r="AE26" s="51" t="s">
        <v>63</v>
      </c>
      <c r="AF26" s="51" t="s">
        <v>70</v>
      </c>
      <c r="AG26" s="51" t="s">
        <v>76</v>
      </c>
      <c r="AH26" s="53">
        <v>42405</v>
      </c>
      <c r="AI26" s="51" t="s">
        <v>64</v>
      </c>
      <c r="AJ26" s="53">
        <v>42401</v>
      </c>
      <c r="AK26" s="51"/>
      <c r="AL26" s="51"/>
      <c r="AM26" s="51"/>
      <c r="AN26" s="51" t="s">
        <v>77</v>
      </c>
      <c r="AO26" s="51" t="s">
        <v>1240</v>
      </c>
    </row>
    <row r="27" spans="1:41" x14ac:dyDescent="0.2">
      <c r="A27" s="51">
        <v>10020614</v>
      </c>
      <c r="B27" s="51">
        <v>340</v>
      </c>
      <c r="C27" s="51" t="s">
        <v>18</v>
      </c>
      <c r="D27" s="51" t="s">
        <v>149</v>
      </c>
      <c r="E27" s="53">
        <v>42401</v>
      </c>
      <c r="F27" s="51">
        <v>93663149</v>
      </c>
      <c r="G27" s="51">
        <v>340</v>
      </c>
      <c r="H27" s="51">
        <v>1201494</v>
      </c>
      <c r="I27" s="51" t="s">
        <v>161</v>
      </c>
      <c r="J27" s="51">
        <v>1050125</v>
      </c>
      <c r="K27" s="51" t="s">
        <v>437</v>
      </c>
      <c r="L27" s="51">
        <v>1172005</v>
      </c>
      <c r="M27" s="51" t="s">
        <v>161</v>
      </c>
      <c r="N27" s="51">
        <v>10589</v>
      </c>
      <c r="O27" s="51">
        <v>472037915</v>
      </c>
      <c r="P27" s="51" t="s">
        <v>2264</v>
      </c>
      <c r="Q27" s="51" t="s">
        <v>1322</v>
      </c>
      <c r="R27" s="51" t="s">
        <v>2265</v>
      </c>
      <c r="S27" s="51" t="s">
        <v>1331</v>
      </c>
      <c r="T27" s="51" t="s">
        <v>2266</v>
      </c>
      <c r="U27" s="51">
        <v>864</v>
      </c>
      <c r="V27" s="51">
        <v>19</v>
      </c>
      <c r="W27" s="51" t="s">
        <v>1332</v>
      </c>
      <c r="X27" s="51">
        <v>3.72</v>
      </c>
      <c r="Y27" s="51" t="s">
        <v>182</v>
      </c>
      <c r="Z27" s="54">
        <v>3214.08</v>
      </c>
      <c r="AA27" s="51">
        <v>70.680000000000007</v>
      </c>
      <c r="AB27" s="51" t="s">
        <v>182</v>
      </c>
      <c r="AC27" s="51" t="s">
        <v>181</v>
      </c>
      <c r="AD27" s="51" t="s">
        <v>91</v>
      </c>
      <c r="AE27" s="51" t="s">
        <v>63</v>
      </c>
      <c r="AF27" s="51" t="s">
        <v>70</v>
      </c>
      <c r="AG27" s="51" t="s">
        <v>76</v>
      </c>
      <c r="AH27" s="53">
        <v>42405</v>
      </c>
      <c r="AI27" s="51" t="s">
        <v>64</v>
      </c>
      <c r="AJ27" s="53">
        <v>42401</v>
      </c>
      <c r="AK27" s="51"/>
      <c r="AL27" s="51"/>
      <c r="AM27" s="51"/>
      <c r="AN27" s="51" t="s">
        <v>77</v>
      </c>
      <c r="AO27" s="51" t="s">
        <v>1240</v>
      </c>
    </row>
    <row r="28" spans="1:41" x14ac:dyDescent="0.2">
      <c r="A28" s="51">
        <v>10020615</v>
      </c>
      <c r="B28" s="51">
        <v>110</v>
      </c>
      <c r="C28" s="51" t="s">
        <v>26</v>
      </c>
      <c r="D28" s="51" t="s">
        <v>149</v>
      </c>
      <c r="E28" s="53">
        <v>42401</v>
      </c>
      <c r="F28" s="51">
        <v>93663149</v>
      </c>
      <c r="G28" s="51">
        <v>110</v>
      </c>
      <c r="H28" s="51">
        <v>1201494</v>
      </c>
      <c r="I28" s="51" t="s">
        <v>161</v>
      </c>
      <c r="J28" s="51">
        <v>1050125</v>
      </c>
      <c r="K28" s="51" t="s">
        <v>437</v>
      </c>
      <c r="L28" s="51">
        <v>1172005</v>
      </c>
      <c r="M28" s="51" t="s">
        <v>161</v>
      </c>
      <c r="N28" s="51">
        <v>10589</v>
      </c>
      <c r="O28" s="51">
        <v>591080001</v>
      </c>
      <c r="P28" s="51" t="s">
        <v>2003</v>
      </c>
      <c r="Q28" s="51" t="s">
        <v>1322</v>
      </c>
      <c r="R28" s="51" t="s">
        <v>2004</v>
      </c>
      <c r="S28" s="51" t="s">
        <v>1331</v>
      </c>
      <c r="T28" s="51">
        <v>3135296</v>
      </c>
      <c r="U28" s="51">
        <v>384</v>
      </c>
      <c r="V28" s="51">
        <v>1</v>
      </c>
      <c r="W28" s="51" t="s">
        <v>1332</v>
      </c>
      <c r="X28" s="51">
        <v>4.51</v>
      </c>
      <c r="Y28" s="51" t="s">
        <v>182</v>
      </c>
      <c r="Z28" s="54">
        <v>1731.84</v>
      </c>
      <c r="AA28" s="51">
        <v>4.51</v>
      </c>
      <c r="AB28" s="51" t="s">
        <v>182</v>
      </c>
      <c r="AC28" s="51" t="s">
        <v>181</v>
      </c>
      <c r="AD28" s="51" t="s">
        <v>91</v>
      </c>
      <c r="AE28" s="51" t="s">
        <v>63</v>
      </c>
      <c r="AF28" s="51" t="s">
        <v>70</v>
      </c>
      <c r="AG28" s="51" t="s">
        <v>82</v>
      </c>
      <c r="AH28" s="53">
        <v>42419</v>
      </c>
      <c r="AI28" s="51" t="s">
        <v>64</v>
      </c>
      <c r="AJ28" s="53">
        <v>42401</v>
      </c>
      <c r="AK28" s="51"/>
      <c r="AL28" s="51"/>
      <c r="AM28" s="51"/>
      <c r="AN28" s="51" t="s">
        <v>89</v>
      </c>
      <c r="AO28" s="51" t="s">
        <v>2267</v>
      </c>
    </row>
    <row r="29" spans="1:41" x14ac:dyDescent="0.2">
      <c r="A29" s="51">
        <v>10020615</v>
      </c>
      <c r="B29" s="51">
        <v>290</v>
      </c>
      <c r="C29" s="51" t="s">
        <v>26</v>
      </c>
      <c r="D29" s="51" t="s">
        <v>149</v>
      </c>
      <c r="E29" s="53">
        <v>42401</v>
      </c>
      <c r="F29" s="51">
        <v>93663149</v>
      </c>
      <c r="G29" s="51">
        <v>290</v>
      </c>
      <c r="H29" s="51">
        <v>1201494</v>
      </c>
      <c r="I29" s="51" t="s">
        <v>161</v>
      </c>
      <c r="J29" s="51">
        <v>1050125</v>
      </c>
      <c r="K29" s="51" t="s">
        <v>437</v>
      </c>
      <c r="L29" s="51">
        <v>1172005</v>
      </c>
      <c r="M29" s="51" t="s">
        <v>161</v>
      </c>
      <c r="N29" s="51">
        <v>10589</v>
      </c>
      <c r="O29" s="51">
        <v>52544084728</v>
      </c>
      <c r="P29" s="51" t="s">
        <v>2261</v>
      </c>
      <c r="Q29" s="51" t="s">
        <v>1344</v>
      </c>
      <c r="R29" s="51" t="s">
        <v>2262</v>
      </c>
      <c r="S29" s="51" t="s">
        <v>1331</v>
      </c>
      <c r="T29" s="51" t="s">
        <v>2263</v>
      </c>
      <c r="U29" s="51">
        <v>228</v>
      </c>
      <c r="V29" s="51">
        <v>1</v>
      </c>
      <c r="W29" s="51" t="s">
        <v>1332</v>
      </c>
      <c r="X29" s="51">
        <v>30.93</v>
      </c>
      <c r="Y29" s="51" t="s">
        <v>182</v>
      </c>
      <c r="Z29" s="54">
        <v>7052.04</v>
      </c>
      <c r="AA29" s="51">
        <v>30.93</v>
      </c>
      <c r="AB29" s="51" t="s">
        <v>182</v>
      </c>
      <c r="AC29" s="51" t="s">
        <v>181</v>
      </c>
      <c r="AD29" s="51" t="s">
        <v>91</v>
      </c>
      <c r="AE29" s="51" t="s">
        <v>63</v>
      </c>
      <c r="AF29" s="51" t="s">
        <v>70</v>
      </c>
      <c r="AG29" s="51" t="s">
        <v>82</v>
      </c>
      <c r="AH29" s="53">
        <v>42419</v>
      </c>
      <c r="AI29" s="51" t="s">
        <v>64</v>
      </c>
      <c r="AJ29" s="53">
        <v>42401</v>
      </c>
      <c r="AK29" s="51"/>
      <c r="AL29" s="51"/>
      <c r="AM29" s="51"/>
      <c r="AN29" s="51" t="s">
        <v>89</v>
      </c>
      <c r="AO29" s="51" t="s">
        <v>2267</v>
      </c>
    </row>
    <row r="30" spans="1:41" x14ac:dyDescent="0.2">
      <c r="A30" s="51">
        <v>10020616</v>
      </c>
      <c r="B30" s="51">
        <v>1460</v>
      </c>
      <c r="C30" s="51" t="s">
        <v>25</v>
      </c>
      <c r="D30" s="51" t="s">
        <v>149</v>
      </c>
      <c r="E30" s="53">
        <v>42401</v>
      </c>
      <c r="F30" s="51">
        <v>93663179</v>
      </c>
      <c r="G30" s="51">
        <v>1460</v>
      </c>
      <c r="H30" s="51">
        <v>1201605</v>
      </c>
      <c r="I30" s="51" t="s">
        <v>155</v>
      </c>
      <c r="J30" s="51">
        <v>1023292</v>
      </c>
      <c r="K30" s="51" t="s">
        <v>155</v>
      </c>
      <c r="L30" s="51">
        <v>1172017</v>
      </c>
      <c r="M30" s="51" t="s">
        <v>155</v>
      </c>
      <c r="N30" s="51">
        <v>557703</v>
      </c>
      <c r="O30" s="51">
        <v>591521550</v>
      </c>
      <c r="P30" s="51" t="s">
        <v>2268</v>
      </c>
      <c r="Q30" s="51" t="s">
        <v>1322</v>
      </c>
      <c r="R30" s="51" t="s">
        <v>1976</v>
      </c>
      <c r="S30" s="51" t="s">
        <v>1331</v>
      </c>
      <c r="T30" s="51" t="s">
        <v>2269</v>
      </c>
      <c r="U30" s="51">
        <v>6</v>
      </c>
      <c r="V30" s="51">
        <v>6</v>
      </c>
      <c r="W30" s="51" t="s">
        <v>1332</v>
      </c>
      <c r="X30" s="51">
        <v>25.5</v>
      </c>
      <c r="Y30" s="51" t="s">
        <v>182</v>
      </c>
      <c r="Z30" s="51">
        <v>153</v>
      </c>
      <c r="AA30" s="51">
        <v>153</v>
      </c>
      <c r="AB30" s="51" t="s">
        <v>182</v>
      </c>
      <c r="AC30" s="51" t="s">
        <v>181</v>
      </c>
      <c r="AD30" s="51" t="s">
        <v>91</v>
      </c>
      <c r="AE30" s="51" t="s">
        <v>63</v>
      </c>
      <c r="AF30" s="51"/>
      <c r="AG30" s="51"/>
      <c r="AH30" s="51"/>
      <c r="AI30" s="51" t="s">
        <v>64</v>
      </c>
      <c r="AJ30" s="53">
        <v>42401</v>
      </c>
      <c r="AK30" s="51"/>
      <c r="AL30" s="51"/>
      <c r="AM30" s="51"/>
      <c r="AN30" s="51"/>
      <c r="AO30" s="51"/>
    </row>
    <row r="31" spans="1:41" x14ac:dyDescent="0.2">
      <c r="A31" s="51">
        <v>10020618</v>
      </c>
      <c r="B31" s="51">
        <v>10</v>
      </c>
      <c r="C31" s="51" t="s">
        <v>25</v>
      </c>
      <c r="D31" s="51" t="s">
        <v>78</v>
      </c>
      <c r="E31" s="53">
        <v>42402</v>
      </c>
      <c r="F31" s="51"/>
      <c r="G31" s="51">
        <v>10</v>
      </c>
      <c r="H31" s="51">
        <v>1201315</v>
      </c>
      <c r="I31" s="51" t="s">
        <v>256</v>
      </c>
      <c r="J31" s="51">
        <v>1340335</v>
      </c>
      <c r="K31" s="51" t="s">
        <v>256</v>
      </c>
      <c r="L31" s="51">
        <v>1201315</v>
      </c>
      <c r="M31" s="51" t="s">
        <v>256</v>
      </c>
      <c r="N31" s="51">
        <v>1.0305912003181E+16</v>
      </c>
      <c r="O31" s="51">
        <v>591319872</v>
      </c>
      <c r="P31" s="51" t="s">
        <v>1870</v>
      </c>
      <c r="Q31" s="51" t="s">
        <v>1322</v>
      </c>
      <c r="R31" s="51" t="s">
        <v>1732</v>
      </c>
      <c r="S31" s="51">
        <v>2</v>
      </c>
      <c r="T31" s="51"/>
      <c r="U31" s="51">
        <v>0</v>
      </c>
      <c r="V31" s="51">
        <v>48</v>
      </c>
      <c r="W31" s="51" t="s">
        <v>1621</v>
      </c>
      <c r="X31" s="51">
        <v>35.65</v>
      </c>
      <c r="Y31" s="51" t="s">
        <v>182</v>
      </c>
      <c r="Z31" s="51">
        <v>0</v>
      </c>
      <c r="AA31" s="54">
        <v>1711.2</v>
      </c>
      <c r="AB31" s="51" t="s">
        <v>182</v>
      </c>
      <c r="AC31" s="51" t="s">
        <v>181</v>
      </c>
      <c r="AD31" s="51" t="s">
        <v>91</v>
      </c>
      <c r="AE31" s="51" t="s">
        <v>63</v>
      </c>
      <c r="AF31" s="51" t="s">
        <v>94</v>
      </c>
      <c r="AG31" s="51" t="s">
        <v>82</v>
      </c>
      <c r="AH31" s="53">
        <v>42410</v>
      </c>
      <c r="AI31" s="51" t="s">
        <v>64</v>
      </c>
      <c r="AJ31" s="53">
        <v>42402</v>
      </c>
      <c r="AK31" s="51"/>
      <c r="AL31" s="51"/>
      <c r="AM31" s="51"/>
      <c r="AN31" s="51" t="s">
        <v>829</v>
      </c>
      <c r="AO31" s="51" t="s">
        <v>2270</v>
      </c>
    </row>
    <row r="32" spans="1:41" x14ac:dyDescent="0.2">
      <c r="A32" s="51">
        <v>10020618</v>
      </c>
      <c r="B32" s="51">
        <v>20</v>
      </c>
      <c r="C32" s="51" t="s">
        <v>25</v>
      </c>
      <c r="D32" s="51" t="s">
        <v>78</v>
      </c>
      <c r="E32" s="53">
        <v>42402</v>
      </c>
      <c r="F32" s="51"/>
      <c r="G32" s="51">
        <v>20</v>
      </c>
      <c r="H32" s="51">
        <v>1201315</v>
      </c>
      <c r="I32" s="51" t="s">
        <v>256</v>
      </c>
      <c r="J32" s="51">
        <v>1340335</v>
      </c>
      <c r="K32" s="51" t="s">
        <v>256</v>
      </c>
      <c r="L32" s="51">
        <v>1201315</v>
      </c>
      <c r="M32" s="51" t="s">
        <v>256</v>
      </c>
      <c r="N32" s="51">
        <v>1.0305912003181E+16</v>
      </c>
      <c r="O32" s="51">
        <v>591321472</v>
      </c>
      <c r="P32" s="51" t="s">
        <v>2271</v>
      </c>
      <c r="Q32" s="51" t="s">
        <v>1322</v>
      </c>
      <c r="R32" s="51" t="s">
        <v>1732</v>
      </c>
      <c r="S32" s="51">
        <v>2</v>
      </c>
      <c r="T32" s="51"/>
      <c r="U32" s="51">
        <v>0</v>
      </c>
      <c r="V32" s="51">
        <v>48</v>
      </c>
      <c r="W32" s="51" t="s">
        <v>1621</v>
      </c>
      <c r="X32" s="51">
        <v>137.79</v>
      </c>
      <c r="Y32" s="51" t="s">
        <v>182</v>
      </c>
      <c r="Z32" s="51">
        <v>0</v>
      </c>
      <c r="AA32" s="54">
        <v>6613.92</v>
      </c>
      <c r="AB32" s="51" t="s">
        <v>182</v>
      </c>
      <c r="AC32" s="51" t="s">
        <v>181</v>
      </c>
      <c r="AD32" s="51" t="s">
        <v>91</v>
      </c>
      <c r="AE32" s="51" t="s">
        <v>63</v>
      </c>
      <c r="AF32" s="51" t="s">
        <v>94</v>
      </c>
      <c r="AG32" s="51" t="s">
        <v>82</v>
      </c>
      <c r="AH32" s="53">
        <v>42410</v>
      </c>
      <c r="AI32" s="51" t="s">
        <v>64</v>
      </c>
      <c r="AJ32" s="53">
        <v>42402</v>
      </c>
      <c r="AK32" s="51"/>
      <c r="AL32" s="51"/>
      <c r="AM32" s="51"/>
      <c r="AN32" s="51" t="s">
        <v>829</v>
      </c>
      <c r="AO32" s="51" t="s">
        <v>2270</v>
      </c>
    </row>
    <row r="33" spans="1:41" x14ac:dyDescent="0.2">
      <c r="A33" s="51">
        <v>10020618</v>
      </c>
      <c r="B33" s="51">
        <v>30</v>
      </c>
      <c r="C33" s="51" t="s">
        <v>25</v>
      </c>
      <c r="D33" s="51" t="s">
        <v>78</v>
      </c>
      <c r="E33" s="53">
        <v>42402</v>
      </c>
      <c r="F33" s="51"/>
      <c r="G33" s="51">
        <v>30</v>
      </c>
      <c r="H33" s="51">
        <v>1201315</v>
      </c>
      <c r="I33" s="51" t="s">
        <v>256</v>
      </c>
      <c r="J33" s="51">
        <v>1340335</v>
      </c>
      <c r="K33" s="51" t="s">
        <v>256</v>
      </c>
      <c r="L33" s="51">
        <v>1201315</v>
      </c>
      <c r="M33" s="51" t="s">
        <v>256</v>
      </c>
      <c r="N33" s="51">
        <v>1.0305912003181E+16</v>
      </c>
      <c r="O33" s="51">
        <v>591321372</v>
      </c>
      <c r="P33" s="51" t="s">
        <v>1753</v>
      </c>
      <c r="Q33" s="51" t="s">
        <v>1322</v>
      </c>
      <c r="R33" s="51" t="s">
        <v>1732</v>
      </c>
      <c r="S33" s="51">
        <v>2</v>
      </c>
      <c r="T33" s="51"/>
      <c r="U33" s="51">
        <v>0</v>
      </c>
      <c r="V33" s="51">
        <v>24</v>
      </c>
      <c r="W33" s="51" t="s">
        <v>1621</v>
      </c>
      <c r="X33" s="51">
        <v>100.1</v>
      </c>
      <c r="Y33" s="51" t="s">
        <v>182</v>
      </c>
      <c r="Z33" s="51">
        <v>0</v>
      </c>
      <c r="AA33" s="54">
        <v>2402.4</v>
      </c>
      <c r="AB33" s="51" t="s">
        <v>182</v>
      </c>
      <c r="AC33" s="51" t="s">
        <v>181</v>
      </c>
      <c r="AD33" s="51" t="s">
        <v>91</v>
      </c>
      <c r="AE33" s="51" t="s">
        <v>63</v>
      </c>
      <c r="AF33" s="51" t="s">
        <v>94</v>
      </c>
      <c r="AG33" s="51" t="s">
        <v>82</v>
      </c>
      <c r="AH33" s="53">
        <v>42410</v>
      </c>
      <c r="AI33" s="51" t="s">
        <v>64</v>
      </c>
      <c r="AJ33" s="53">
        <v>42402</v>
      </c>
      <c r="AK33" s="51"/>
      <c r="AL33" s="51"/>
      <c r="AM33" s="51"/>
      <c r="AN33" s="51" t="s">
        <v>829</v>
      </c>
      <c r="AO33" s="51" t="s">
        <v>2270</v>
      </c>
    </row>
    <row r="34" spans="1:41" x14ac:dyDescent="0.2">
      <c r="A34" s="51">
        <v>10020621</v>
      </c>
      <c r="B34" s="51">
        <v>590</v>
      </c>
      <c r="C34" s="51" t="s">
        <v>26</v>
      </c>
      <c r="D34" s="51" t="s">
        <v>149</v>
      </c>
      <c r="E34" s="53">
        <v>42402</v>
      </c>
      <c r="F34" s="51">
        <v>93668985</v>
      </c>
      <c r="G34" s="51">
        <v>590</v>
      </c>
      <c r="H34" s="51">
        <v>1201047</v>
      </c>
      <c r="I34" s="51" t="s">
        <v>79</v>
      </c>
      <c r="J34" s="51">
        <v>1311671</v>
      </c>
      <c r="K34" s="51" t="s">
        <v>90</v>
      </c>
      <c r="L34" s="51">
        <v>1171089</v>
      </c>
      <c r="M34" s="51" t="s">
        <v>75</v>
      </c>
      <c r="N34" s="51">
        <v>21473986</v>
      </c>
      <c r="O34" s="51">
        <v>591058301</v>
      </c>
      <c r="P34" s="51" t="s">
        <v>2164</v>
      </c>
      <c r="Q34" s="51" t="s">
        <v>1322</v>
      </c>
      <c r="R34" s="51" t="s">
        <v>2155</v>
      </c>
      <c r="S34" s="51" t="s">
        <v>1331</v>
      </c>
      <c r="T34" s="51" t="s">
        <v>2272</v>
      </c>
      <c r="U34" s="51">
        <v>96</v>
      </c>
      <c r="V34" s="51">
        <v>96</v>
      </c>
      <c r="W34" s="51" t="s">
        <v>1332</v>
      </c>
      <c r="X34" s="51">
        <v>50.66</v>
      </c>
      <c r="Y34" s="51" t="s">
        <v>182</v>
      </c>
      <c r="Z34" s="54">
        <v>4863.3599999999997</v>
      </c>
      <c r="AA34" s="54">
        <v>4863.3599999999997</v>
      </c>
      <c r="AB34" s="51" t="s">
        <v>182</v>
      </c>
      <c r="AC34" s="51" t="s">
        <v>181</v>
      </c>
      <c r="AD34" s="51" t="s">
        <v>91</v>
      </c>
      <c r="AE34" s="51" t="s">
        <v>63</v>
      </c>
      <c r="AF34" s="51" t="s">
        <v>81</v>
      </c>
      <c r="AG34" s="51" t="s">
        <v>88</v>
      </c>
      <c r="AH34" s="53">
        <v>42419</v>
      </c>
      <c r="AI34" s="51" t="s">
        <v>64</v>
      </c>
      <c r="AJ34" s="53">
        <v>42402</v>
      </c>
      <c r="AK34" s="51"/>
      <c r="AL34" s="51"/>
      <c r="AM34" s="51"/>
      <c r="AN34" s="51" t="s">
        <v>89</v>
      </c>
      <c r="AO34" s="51" t="s">
        <v>274</v>
      </c>
    </row>
    <row r="35" spans="1:41" x14ac:dyDescent="0.2">
      <c r="A35" s="51">
        <v>10020622</v>
      </c>
      <c r="B35" s="51">
        <v>10</v>
      </c>
      <c r="C35" s="51" t="s">
        <v>26</v>
      </c>
      <c r="D35" s="51" t="s">
        <v>78</v>
      </c>
      <c r="E35" s="53">
        <v>42402</v>
      </c>
      <c r="F35" s="51">
        <v>93649296</v>
      </c>
      <c r="G35" s="51">
        <v>10</v>
      </c>
      <c r="H35" s="51">
        <v>1057544</v>
      </c>
      <c r="I35" s="51" t="s">
        <v>363</v>
      </c>
      <c r="J35" s="51">
        <v>1327308</v>
      </c>
      <c r="K35" s="51" t="s">
        <v>363</v>
      </c>
      <c r="L35" s="51">
        <v>1057544</v>
      </c>
      <c r="M35" s="51" t="s">
        <v>363</v>
      </c>
      <c r="N35" s="51">
        <v>8124773</v>
      </c>
      <c r="O35" s="51">
        <v>591354125</v>
      </c>
      <c r="P35" s="51" t="s">
        <v>2066</v>
      </c>
      <c r="Q35" s="51" t="s">
        <v>1322</v>
      </c>
      <c r="R35" s="51" t="s">
        <v>2067</v>
      </c>
      <c r="S35" s="51" t="s">
        <v>1331</v>
      </c>
      <c r="T35" s="51" t="s">
        <v>2068</v>
      </c>
      <c r="U35" s="51">
        <v>72</v>
      </c>
      <c r="V35" s="51">
        <v>48</v>
      </c>
      <c r="W35" s="51" t="s">
        <v>1332</v>
      </c>
      <c r="X35" s="51">
        <v>112.5</v>
      </c>
      <c r="Y35" s="51" t="s">
        <v>182</v>
      </c>
      <c r="Z35" s="54">
        <v>8100</v>
      </c>
      <c r="AA35" s="54">
        <v>5400</v>
      </c>
      <c r="AB35" s="51" t="s">
        <v>182</v>
      </c>
      <c r="AC35" s="51" t="s">
        <v>181</v>
      </c>
      <c r="AD35" s="51" t="s">
        <v>91</v>
      </c>
      <c r="AE35" s="51" t="s">
        <v>63</v>
      </c>
      <c r="AF35" s="51" t="s">
        <v>94</v>
      </c>
      <c r="AG35" s="51" t="s">
        <v>95</v>
      </c>
      <c r="AH35" s="53">
        <v>42404</v>
      </c>
      <c r="AI35" s="51" t="s">
        <v>64</v>
      </c>
      <c r="AJ35" s="53">
        <v>42402</v>
      </c>
      <c r="AK35" s="51"/>
      <c r="AL35" s="51"/>
      <c r="AM35" s="51"/>
      <c r="AN35" s="51" t="s">
        <v>96</v>
      </c>
      <c r="AO35" s="51" t="s">
        <v>2273</v>
      </c>
    </row>
    <row r="36" spans="1:41" x14ac:dyDescent="0.2">
      <c r="A36" s="51">
        <v>10020623</v>
      </c>
      <c r="B36" s="51">
        <v>110</v>
      </c>
      <c r="C36" s="51" t="s">
        <v>18</v>
      </c>
      <c r="D36" s="51" t="s">
        <v>78</v>
      </c>
      <c r="E36" s="53">
        <v>42402</v>
      </c>
      <c r="F36" s="51">
        <v>93672291</v>
      </c>
      <c r="G36" s="51">
        <v>110</v>
      </c>
      <c r="H36" s="51">
        <v>1201301</v>
      </c>
      <c r="I36" s="51" t="s">
        <v>378</v>
      </c>
      <c r="J36" s="51">
        <v>1058805</v>
      </c>
      <c r="K36" s="51" t="s">
        <v>379</v>
      </c>
      <c r="L36" s="51">
        <v>1171972</v>
      </c>
      <c r="M36" s="51" t="s">
        <v>379</v>
      </c>
      <c r="N36" s="51">
        <v>13167954</v>
      </c>
      <c r="O36" s="51">
        <v>591379883</v>
      </c>
      <c r="P36" s="51" t="s">
        <v>1848</v>
      </c>
      <c r="Q36" s="51" t="s">
        <v>1322</v>
      </c>
      <c r="R36" s="51" t="s">
        <v>1581</v>
      </c>
      <c r="S36" s="51" t="s">
        <v>1331</v>
      </c>
      <c r="T36" s="51" t="s">
        <v>2274</v>
      </c>
      <c r="U36" s="51">
        <v>48</v>
      </c>
      <c r="V36" s="51">
        <v>1</v>
      </c>
      <c r="W36" s="51" t="s">
        <v>1332</v>
      </c>
      <c r="X36" s="51">
        <v>2.4700000000000002</v>
      </c>
      <c r="Y36" s="51" t="s">
        <v>182</v>
      </c>
      <c r="Z36" s="51">
        <v>118.56</v>
      </c>
      <c r="AA36" s="51">
        <v>2.4700000000000002</v>
      </c>
      <c r="AB36" s="51" t="s">
        <v>182</v>
      </c>
      <c r="AC36" s="51" t="s">
        <v>181</v>
      </c>
      <c r="AD36" s="51" t="s">
        <v>91</v>
      </c>
      <c r="AE36" s="51" t="s">
        <v>69</v>
      </c>
      <c r="AF36" s="51" t="s">
        <v>70</v>
      </c>
      <c r="AG36" s="51" t="s">
        <v>76</v>
      </c>
      <c r="AH36" s="53">
        <v>42405</v>
      </c>
      <c r="AI36" s="51" t="s">
        <v>64</v>
      </c>
      <c r="AJ36" s="53">
        <v>42402</v>
      </c>
      <c r="AK36" s="51" t="s">
        <v>100</v>
      </c>
      <c r="AL36" s="51">
        <v>62090285</v>
      </c>
      <c r="AM36" s="53">
        <v>42430</v>
      </c>
      <c r="AN36" s="51" t="s">
        <v>77</v>
      </c>
      <c r="AO36" s="51" t="s">
        <v>196</v>
      </c>
    </row>
    <row r="37" spans="1:41" x14ac:dyDescent="0.2">
      <c r="A37" s="51">
        <v>10020624</v>
      </c>
      <c r="B37" s="51">
        <v>1670</v>
      </c>
      <c r="C37" s="51" t="s">
        <v>26</v>
      </c>
      <c r="D37" s="51" t="s">
        <v>78</v>
      </c>
      <c r="E37" s="53">
        <v>42402</v>
      </c>
      <c r="F37" s="51">
        <v>93664561</v>
      </c>
      <c r="G37" s="51">
        <v>1670</v>
      </c>
      <c r="H37" s="51">
        <v>1201047</v>
      </c>
      <c r="I37" s="51" t="s">
        <v>79</v>
      </c>
      <c r="J37" s="51">
        <v>1309880</v>
      </c>
      <c r="K37" s="51" t="s">
        <v>108</v>
      </c>
      <c r="L37" s="51">
        <v>1171089</v>
      </c>
      <c r="M37" s="51" t="s">
        <v>75</v>
      </c>
      <c r="N37" s="51">
        <v>18763149</v>
      </c>
      <c r="O37" s="51">
        <v>472110556</v>
      </c>
      <c r="P37" s="51" t="s">
        <v>2275</v>
      </c>
      <c r="Q37" s="51" t="s">
        <v>1459</v>
      </c>
      <c r="R37" s="51" t="s">
        <v>2276</v>
      </c>
      <c r="S37" s="51" t="s">
        <v>1459</v>
      </c>
      <c r="T37" s="51"/>
      <c r="U37" s="51">
        <v>288</v>
      </c>
      <c r="V37" s="51">
        <v>48</v>
      </c>
      <c r="W37" s="51" t="s">
        <v>1332</v>
      </c>
      <c r="X37" s="51">
        <v>4.96</v>
      </c>
      <c r="Y37" s="51" t="s">
        <v>182</v>
      </c>
      <c r="Z37" s="54">
        <v>1428.48</v>
      </c>
      <c r="AA37" s="51">
        <v>238.08</v>
      </c>
      <c r="AB37" s="51" t="s">
        <v>182</v>
      </c>
      <c r="AC37" s="51" t="s">
        <v>181</v>
      </c>
      <c r="AD37" s="51" t="s">
        <v>91</v>
      </c>
      <c r="AE37" s="51" t="s">
        <v>63</v>
      </c>
      <c r="AF37" s="51" t="s">
        <v>84</v>
      </c>
      <c r="AG37" s="51" t="s">
        <v>82</v>
      </c>
      <c r="AH37" s="53">
        <v>42411</v>
      </c>
      <c r="AI37" s="51" t="s">
        <v>64</v>
      </c>
      <c r="AJ37" s="53">
        <v>42402</v>
      </c>
      <c r="AK37" s="51"/>
      <c r="AL37" s="51"/>
      <c r="AM37" s="53">
        <v>42415</v>
      </c>
      <c r="AN37" s="51" t="s">
        <v>84</v>
      </c>
      <c r="AO37" s="51" t="s">
        <v>2277</v>
      </c>
    </row>
    <row r="38" spans="1:41" x14ac:dyDescent="0.2">
      <c r="A38" s="51">
        <v>10020625</v>
      </c>
      <c r="B38" s="51">
        <v>430</v>
      </c>
      <c r="C38" s="51" t="s">
        <v>24</v>
      </c>
      <c r="D38" s="51" t="s">
        <v>78</v>
      </c>
      <c r="E38" s="53">
        <v>42402</v>
      </c>
      <c r="F38" s="51">
        <v>93666345</v>
      </c>
      <c r="G38" s="51">
        <v>430</v>
      </c>
      <c r="H38" s="51">
        <v>1201156</v>
      </c>
      <c r="I38" s="51" t="s">
        <v>131</v>
      </c>
      <c r="J38" s="51">
        <v>1325957</v>
      </c>
      <c r="K38" s="51" t="s">
        <v>133</v>
      </c>
      <c r="L38" s="51">
        <v>1201156</v>
      </c>
      <c r="M38" s="51" t="s">
        <v>131</v>
      </c>
      <c r="N38" s="51">
        <v>298352</v>
      </c>
      <c r="O38" s="51">
        <v>52544096728</v>
      </c>
      <c r="P38" s="51" t="s">
        <v>1885</v>
      </c>
      <c r="Q38" s="51" t="s">
        <v>1344</v>
      </c>
      <c r="R38" s="51" t="s">
        <v>1886</v>
      </c>
      <c r="S38" s="51" t="s">
        <v>1331</v>
      </c>
      <c r="T38" s="51" t="s">
        <v>2103</v>
      </c>
      <c r="U38" s="51">
        <v>84</v>
      </c>
      <c r="V38" s="51">
        <v>1</v>
      </c>
      <c r="W38" s="51" t="s">
        <v>1369</v>
      </c>
      <c r="X38" s="51">
        <v>33.96</v>
      </c>
      <c r="Y38" s="51" t="s">
        <v>182</v>
      </c>
      <c r="Z38" s="54">
        <v>2852.64</v>
      </c>
      <c r="AA38" s="51">
        <v>407.52</v>
      </c>
      <c r="AB38" s="51" t="s">
        <v>182</v>
      </c>
      <c r="AC38" s="51" t="s">
        <v>181</v>
      </c>
      <c r="AD38" s="51" t="s">
        <v>91</v>
      </c>
      <c r="AE38" s="51" t="s">
        <v>69</v>
      </c>
      <c r="AF38" s="51" t="s">
        <v>70</v>
      </c>
      <c r="AG38" s="51" t="s">
        <v>71</v>
      </c>
      <c r="AH38" s="53">
        <v>42404</v>
      </c>
      <c r="AI38" s="51" t="s">
        <v>64</v>
      </c>
      <c r="AJ38" s="53">
        <v>42402</v>
      </c>
      <c r="AK38" s="51" t="s">
        <v>72</v>
      </c>
      <c r="AL38" s="51">
        <v>62085580</v>
      </c>
      <c r="AM38" s="53">
        <v>42422</v>
      </c>
      <c r="AN38" s="51" t="s">
        <v>73</v>
      </c>
      <c r="AO38" s="51" t="s">
        <v>302</v>
      </c>
    </row>
    <row r="39" spans="1:41" x14ac:dyDescent="0.2">
      <c r="A39" s="51">
        <v>10020627</v>
      </c>
      <c r="B39" s="51">
        <v>630</v>
      </c>
      <c r="C39" s="51" t="s">
        <v>18</v>
      </c>
      <c r="D39" s="51" t="s">
        <v>432</v>
      </c>
      <c r="E39" s="53">
        <v>42403</v>
      </c>
      <c r="F39" s="51">
        <v>93666613</v>
      </c>
      <c r="G39" s="51">
        <v>630</v>
      </c>
      <c r="H39" s="51">
        <v>1322515</v>
      </c>
      <c r="I39" s="51" t="s">
        <v>139</v>
      </c>
      <c r="J39" s="51">
        <v>1322536</v>
      </c>
      <c r="K39" s="51" t="s">
        <v>140</v>
      </c>
      <c r="L39" s="51">
        <v>1322515</v>
      </c>
      <c r="M39" s="51" t="s">
        <v>139</v>
      </c>
      <c r="N39" s="51">
        <v>243535</v>
      </c>
      <c r="O39" s="51">
        <v>45963043965</v>
      </c>
      <c r="P39" s="51" t="s">
        <v>2278</v>
      </c>
      <c r="Q39" s="51" t="s">
        <v>1322</v>
      </c>
      <c r="R39" s="51" t="s">
        <v>2159</v>
      </c>
      <c r="S39" s="51" t="s">
        <v>1331</v>
      </c>
      <c r="T39" s="51"/>
      <c r="U39" s="51">
        <v>1158</v>
      </c>
      <c r="V39" s="51">
        <v>2</v>
      </c>
      <c r="W39" s="51" t="s">
        <v>1332</v>
      </c>
      <c r="X39" s="51">
        <v>6.18</v>
      </c>
      <c r="Y39" s="51" t="s">
        <v>182</v>
      </c>
      <c r="Z39" s="54">
        <v>7156.44</v>
      </c>
      <c r="AA39" s="51">
        <v>12.36</v>
      </c>
      <c r="AB39" s="51" t="s">
        <v>182</v>
      </c>
      <c r="AC39" s="51" t="s">
        <v>181</v>
      </c>
      <c r="AD39" s="51" t="s">
        <v>91</v>
      </c>
      <c r="AE39" s="51" t="s">
        <v>69</v>
      </c>
      <c r="AF39" s="51" t="s">
        <v>70</v>
      </c>
      <c r="AG39" s="51" t="s">
        <v>76</v>
      </c>
      <c r="AH39" s="53">
        <v>42405</v>
      </c>
      <c r="AI39" s="51" t="s">
        <v>64</v>
      </c>
      <c r="AJ39" s="53">
        <v>42403</v>
      </c>
      <c r="AK39" s="51" t="s">
        <v>100</v>
      </c>
      <c r="AL39" s="51">
        <v>62086917</v>
      </c>
      <c r="AM39" s="53">
        <v>42424</v>
      </c>
      <c r="AN39" s="51" t="s">
        <v>77</v>
      </c>
      <c r="AO39" s="51" t="s">
        <v>191</v>
      </c>
    </row>
    <row r="40" spans="1:41" x14ac:dyDescent="0.2">
      <c r="A40" s="51">
        <v>10020628</v>
      </c>
      <c r="B40" s="51">
        <v>170</v>
      </c>
      <c r="C40" s="51" t="s">
        <v>26</v>
      </c>
      <c r="D40" s="51" t="s">
        <v>78</v>
      </c>
      <c r="E40" s="53">
        <v>42403</v>
      </c>
      <c r="F40" s="51">
        <v>93669421</v>
      </c>
      <c r="G40" s="51">
        <v>170</v>
      </c>
      <c r="H40" s="51">
        <v>1201646</v>
      </c>
      <c r="I40" s="51" t="s">
        <v>164</v>
      </c>
      <c r="J40" s="51">
        <v>1201646</v>
      </c>
      <c r="K40" s="51" t="s">
        <v>164</v>
      </c>
      <c r="L40" s="51">
        <v>1201646</v>
      </c>
      <c r="M40" s="51" t="s">
        <v>164</v>
      </c>
      <c r="N40" s="51">
        <v>8047046</v>
      </c>
      <c r="O40" s="51">
        <v>62037083110</v>
      </c>
      <c r="P40" s="51" t="s">
        <v>1957</v>
      </c>
      <c r="Q40" s="51" t="s">
        <v>1322</v>
      </c>
      <c r="R40" s="51" t="s">
        <v>1474</v>
      </c>
      <c r="S40" s="51" t="s">
        <v>1331</v>
      </c>
      <c r="T40" s="51" t="s">
        <v>2279</v>
      </c>
      <c r="U40" s="51">
        <v>504</v>
      </c>
      <c r="V40" s="51">
        <v>252</v>
      </c>
      <c r="W40" s="51" t="s">
        <v>1324</v>
      </c>
      <c r="X40" s="51">
        <v>32</v>
      </c>
      <c r="Y40" s="51" t="s">
        <v>182</v>
      </c>
      <c r="Z40" s="54">
        <v>16128</v>
      </c>
      <c r="AA40" s="54">
        <v>8064</v>
      </c>
      <c r="AB40" s="51" t="s">
        <v>182</v>
      </c>
      <c r="AC40" s="51" t="s">
        <v>235</v>
      </c>
      <c r="AD40" s="51" t="s">
        <v>91</v>
      </c>
      <c r="AE40" s="51" t="s">
        <v>63</v>
      </c>
      <c r="AF40" s="51" t="s">
        <v>81</v>
      </c>
      <c r="AG40" s="51" t="s">
        <v>82</v>
      </c>
      <c r="AH40" s="53">
        <v>42408</v>
      </c>
      <c r="AI40" s="51" t="s">
        <v>64</v>
      </c>
      <c r="AJ40" s="53">
        <v>42403</v>
      </c>
      <c r="AK40" s="51"/>
      <c r="AL40" s="51"/>
      <c r="AM40" s="51"/>
      <c r="AN40" s="51" t="s">
        <v>84</v>
      </c>
      <c r="AO40" s="51" t="s">
        <v>2280</v>
      </c>
    </row>
    <row r="41" spans="1:41" x14ac:dyDescent="0.2">
      <c r="A41" s="51">
        <v>10020629</v>
      </c>
      <c r="B41" s="51">
        <v>910</v>
      </c>
      <c r="C41" s="51" t="s">
        <v>26</v>
      </c>
      <c r="D41" s="51" t="s">
        <v>149</v>
      </c>
      <c r="E41" s="53">
        <v>42403</v>
      </c>
      <c r="F41" s="51">
        <v>93662931</v>
      </c>
      <c r="G41" s="51">
        <v>910</v>
      </c>
      <c r="H41" s="51">
        <v>1201047</v>
      </c>
      <c r="I41" s="51" t="s">
        <v>79</v>
      </c>
      <c r="J41" s="51">
        <v>1321618</v>
      </c>
      <c r="K41" s="51" t="s">
        <v>85</v>
      </c>
      <c r="L41" s="51">
        <v>1171089</v>
      </c>
      <c r="M41" s="51" t="s">
        <v>75</v>
      </c>
      <c r="N41" s="51">
        <v>55533240</v>
      </c>
      <c r="O41" s="51">
        <v>591354060</v>
      </c>
      <c r="P41" s="51" t="s">
        <v>2281</v>
      </c>
      <c r="Q41" s="51" t="s">
        <v>1322</v>
      </c>
      <c r="R41" s="51" t="s">
        <v>2067</v>
      </c>
      <c r="S41" s="51" t="s">
        <v>1331</v>
      </c>
      <c r="T41" s="51" t="s">
        <v>2282</v>
      </c>
      <c r="U41" s="51">
        <v>48</v>
      </c>
      <c r="V41" s="51">
        <v>48</v>
      </c>
      <c r="W41" s="51" t="s">
        <v>1332</v>
      </c>
      <c r="X41" s="51">
        <v>26.95</v>
      </c>
      <c r="Y41" s="51" t="s">
        <v>182</v>
      </c>
      <c r="Z41" s="54">
        <v>1293.5999999999999</v>
      </c>
      <c r="AA41" s="54">
        <v>1293.5999999999999</v>
      </c>
      <c r="AB41" s="51" t="s">
        <v>182</v>
      </c>
      <c r="AC41" s="51" t="s">
        <v>181</v>
      </c>
      <c r="AD41" s="51" t="s">
        <v>91</v>
      </c>
      <c r="AE41" s="51" t="s">
        <v>63</v>
      </c>
      <c r="AF41" s="51" t="s">
        <v>81</v>
      </c>
      <c r="AG41" s="51" t="s">
        <v>88</v>
      </c>
      <c r="AH41" s="53">
        <v>42419</v>
      </c>
      <c r="AI41" s="51" t="s">
        <v>64</v>
      </c>
      <c r="AJ41" s="53">
        <v>42403</v>
      </c>
      <c r="AK41" s="51"/>
      <c r="AL41" s="51"/>
      <c r="AM41" s="51"/>
      <c r="AN41" s="51" t="s">
        <v>89</v>
      </c>
      <c r="AO41" s="51" t="s">
        <v>274</v>
      </c>
    </row>
    <row r="42" spans="1:41" x14ac:dyDescent="0.2">
      <c r="A42" s="51">
        <v>10020630</v>
      </c>
      <c r="B42" s="51">
        <v>2400</v>
      </c>
      <c r="C42" s="51" t="s">
        <v>26</v>
      </c>
      <c r="D42" s="51" t="s">
        <v>149</v>
      </c>
      <c r="E42" s="53">
        <v>42403</v>
      </c>
      <c r="F42" s="51">
        <v>93662924</v>
      </c>
      <c r="G42" s="51">
        <v>2400</v>
      </c>
      <c r="H42" s="51">
        <v>1201047</v>
      </c>
      <c r="I42" s="51" t="s">
        <v>79</v>
      </c>
      <c r="J42" s="51">
        <v>1321618</v>
      </c>
      <c r="K42" s="51" t="s">
        <v>85</v>
      </c>
      <c r="L42" s="51">
        <v>1171089</v>
      </c>
      <c r="M42" s="51" t="s">
        <v>75</v>
      </c>
      <c r="N42" s="51">
        <v>55533240</v>
      </c>
      <c r="O42" s="51">
        <v>591376830</v>
      </c>
      <c r="P42" s="51" t="s">
        <v>1590</v>
      </c>
      <c r="Q42" s="51" t="s">
        <v>1322</v>
      </c>
      <c r="R42" s="51" t="s">
        <v>2283</v>
      </c>
      <c r="S42" s="51" t="s">
        <v>1331</v>
      </c>
      <c r="T42" s="51"/>
      <c r="U42" s="51">
        <v>624</v>
      </c>
      <c r="V42" s="51">
        <v>144</v>
      </c>
      <c r="W42" s="51" t="s">
        <v>1332</v>
      </c>
      <c r="X42" s="51">
        <v>265.89999999999998</v>
      </c>
      <c r="Y42" s="51" t="s">
        <v>182</v>
      </c>
      <c r="Z42" s="54">
        <v>165921.60000000001</v>
      </c>
      <c r="AA42" s="54">
        <v>38289.599999999999</v>
      </c>
      <c r="AB42" s="51" t="s">
        <v>182</v>
      </c>
      <c r="AC42" s="51" t="s">
        <v>181</v>
      </c>
      <c r="AD42" s="51" t="s">
        <v>91</v>
      </c>
      <c r="AE42" s="51" t="s">
        <v>63</v>
      </c>
      <c r="AF42" s="51" t="s">
        <v>94</v>
      </c>
      <c r="AG42" s="51" t="s">
        <v>95</v>
      </c>
      <c r="AH42" s="53">
        <v>42405</v>
      </c>
      <c r="AI42" s="51" t="s">
        <v>83</v>
      </c>
      <c r="AJ42" s="53">
        <v>42404</v>
      </c>
      <c r="AK42" s="51"/>
      <c r="AL42" s="51"/>
      <c r="AM42" s="51"/>
      <c r="AN42" s="51" t="s">
        <v>96</v>
      </c>
      <c r="AO42" s="51" t="s">
        <v>2284</v>
      </c>
    </row>
    <row r="43" spans="1:41" x14ac:dyDescent="0.2">
      <c r="A43" s="51">
        <v>10020631</v>
      </c>
      <c r="B43" s="51">
        <v>2090</v>
      </c>
      <c r="C43" s="51" t="s">
        <v>18</v>
      </c>
      <c r="D43" s="51" t="s">
        <v>149</v>
      </c>
      <c r="E43" s="53">
        <v>42403</v>
      </c>
      <c r="F43" s="51">
        <v>93662938</v>
      </c>
      <c r="G43" s="51">
        <v>2090</v>
      </c>
      <c r="H43" s="51">
        <v>1201047</v>
      </c>
      <c r="I43" s="51" t="s">
        <v>79</v>
      </c>
      <c r="J43" s="51">
        <v>1022214</v>
      </c>
      <c r="K43" s="51" t="s">
        <v>80</v>
      </c>
      <c r="L43" s="51">
        <v>1171089</v>
      </c>
      <c r="M43" s="51" t="s">
        <v>75</v>
      </c>
      <c r="N43" s="51">
        <v>4751312</v>
      </c>
      <c r="O43" s="51">
        <v>472390160</v>
      </c>
      <c r="P43" s="51" t="s">
        <v>2224</v>
      </c>
      <c r="Q43" s="51" t="s">
        <v>1322</v>
      </c>
      <c r="R43" s="51" t="s">
        <v>2225</v>
      </c>
      <c r="S43" s="51" t="s">
        <v>1331</v>
      </c>
      <c r="T43" s="51">
        <v>66300063</v>
      </c>
      <c r="U43" s="51">
        <v>192</v>
      </c>
      <c r="V43" s="51">
        <v>2</v>
      </c>
      <c r="W43" s="51" t="s">
        <v>1332</v>
      </c>
      <c r="X43" s="51">
        <v>145.75</v>
      </c>
      <c r="Y43" s="51" t="s">
        <v>182</v>
      </c>
      <c r="Z43" s="54">
        <v>27984</v>
      </c>
      <c r="AA43" s="51">
        <v>291.5</v>
      </c>
      <c r="AB43" s="51" t="s">
        <v>182</v>
      </c>
      <c r="AC43" s="51" t="s">
        <v>181</v>
      </c>
      <c r="AD43" s="51" t="s">
        <v>91</v>
      </c>
      <c r="AE43" s="51" t="s">
        <v>63</v>
      </c>
      <c r="AF43" s="51" t="s">
        <v>70</v>
      </c>
      <c r="AG43" s="51" t="s">
        <v>76</v>
      </c>
      <c r="AH43" s="53">
        <v>42405</v>
      </c>
      <c r="AI43" s="51" t="s">
        <v>64</v>
      </c>
      <c r="AJ43" s="53">
        <v>42403</v>
      </c>
      <c r="AK43" s="51"/>
      <c r="AL43" s="51"/>
      <c r="AM43" s="51"/>
      <c r="AN43" s="51" t="s">
        <v>77</v>
      </c>
      <c r="AO43" s="51" t="s">
        <v>211</v>
      </c>
    </row>
    <row r="44" spans="1:41" x14ac:dyDescent="0.2">
      <c r="A44" s="51">
        <v>10020632</v>
      </c>
      <c r="B44" s="51">
        <v>20</v>
      </c>
      <c r="C44" s="51" t="s">
        <v>27</v>
      </c>
      <c r="D44" s="51" t="s">
        <v>78</v>
      </c>
      <c r="E44" s="53">
        <v>42403</v>
      </c>
      <c r="F44" s="51">
        <v>93666158</v>
      </c>
      <c r="G44" s="51">
        <v>20</v>
      </c>
      <c r="H44" s="51">
        <v>1022013</v>
      </c>
      <c r="I44" s="51" t="s">
        <v>114</v>
      </c>
      <c r="J44" s="51">
        <v>1022013</v>
      </c>
      <c r="K44" s="51" t="s">
        <v>114</v>
      </c>
      <c r="L44" s="51">
        <v>1022013</v>
      </c>
      <c r="M44" s="51" t="s">
        <v>114</v>
      </c>
      <c r="N44" s="51">
        <v>77553</v>
      </c>
      <c r="O44" s="51">
        <v>472040030</v>
      </c>
      <c r="P44" s="51" t="s">
        <v>1796</v>
      </c>
      <c r="Q44" s="51" t="s">
        <v>1322</v>
      </c>
      <c r="R44" s="51" t="s">
        <v>2285</v>
      </c>
      <c r="S44" s="51" t="s">
        <v>1331</v>
      </c>
      <c r="T44" s="51">
        <v>66500013</v>
      </c>
      <c r="U44" s="51">
        <v>192</v>
      </c>
      <c r="V44" s="51">
        <v>192</v>
      </c>
      <c r="W44" s="51" t="s">
        <v>1332</v>
      </c>
      <c r="X44" s="51">
        <v>49.99</v>
      </c>
      <c r="Y44" s="51" t="s">
        <v>182</v>
      </c>
      <c r="Z44" s="54">
        <v>9598.08</v>
      </c>
      <c r="AA44" s="54">
        <v>9598.08</v>
      </c>
      <c r="AB44" s="51" t="s">
        <v>182</v>
      </c>
      <c r="AC44" s="51" t="s">
        <v>181</v>
      </c>
      <c r="AD44" s="51" t="s">
        <v>97</v>
      </c>
      <c r="AE44" s="51" t="s">
        <v>69</v>
      </c>
      <c r="AF44" s="51" t="s">
        <v>81</v>
      </c>
      <c r="AG44" s="51" t="s">
        <v>71</v>
      </c>
      <c r="AH44" s="53">
        <v>42409</v>
      </c>
      <c r="AI44" s="51" t="s">
        <v>64</v>
      </c>
      <c r="AJ44" s="53">
        <v>42403</v>
      </c>
      <c r="AK44" s="51" t="s">
        <v>72</v>
      </c>
      <c r="AL44" s="51">
        <v>62078340</v>
      </c>
      <c r="AM44" s="53">
        <v>42410</v>
      </c>
      <c r="AN44" s="51" t="s">
        <v>199</v>
      </c>
      <c r="AO44" s="51" t="s">
        <v>2286</v>
      </c>
    </row>
    <row r="45" spans="1:41" x14ac:dyDescent="0.2">
      <c r="A45" s="51">
        <v>10020632</v>
      </c>
      <c r="B45" s="51">
        <v>30</v>
      </c>
      <c r="C45" s="51" t="s">
        <v>27</v>
      </c>
      <c r="D45" s="51" t="s">
        <v>78</v>
      </c>
      <c r="E45" s="53">
        <v>42403</v>
      </c>
      <c r="F45" s="51">
        <v>93666158</v>
      </c>
      <c r="G45" s="51">
        <v>30</v>
      </c>
      <c r="H45" s="51">
        <v>1022013</v>
      </c>
      <c r="I45" s="51" t="s">
        <v>114</v>
      </c>
      <c r="J45" s="51">
        <v>1022013</v>
      </c>
      <c r="K45" s="51" t="s">
        <v>114</v>
      </c>
      <c r="L45" s="51">
        <v>1022013</v>
      </c>
      <c r="M45" s="51" t="s">
        <v>114</v>
      </c>
      <c r="N45" s="51">
        <v>77553</v>
      </c>
      <c r="O45" s="51">
        <v>472040045</v>
      </c>
      <c r="P45" s="51" t="s">
        <v>1930</v>
      </c>
      <c r="Q45" s="51" t="s">
        <v>1322</v>
      </c>
      <c r="R45" s="51" t="s">
        <v>2285</v>
      </c>
      <c r="S45" s="51" t="s">
        <v>1331</v>
      </c>
      <c r="T45" s="51">
        <v>66500015</v>
      </c>
      <c r="U45" s="51">
        <v>72</v>
      </c>
      <c r="V45" s="51">
        <v>72</v>
      </c>
      <c r="W45" s="51" t="s">
        <v>1332</v>
      </c>
      <c r="X45" s="51">
        <v>74.989999999999995</v>
      </c>
      <c r="Y45" s="51" t="s">
        <v>182</v>
      </c>
      <c r="Z45" s="54">
        <v>5399.28</v>
      </c>
      <c r="AA45" s="54">
        <v>5399.28</v>
      </c>
      <c r="AB45" s="51" t="s">
        <v>182</v>
      </c>
      <c r="AC45" s="51" t="s">
        <v>181</v>
      </c>
      <c r="AD45" s="51" t="s">
        <v>97</v>
      </c>
      <c r="AE45" s="51" t="s">
        <v>69</v>
      </c>
      <c r="AF45" s="51" t="s">
        <v>81</v>
      </c>
      <c r="AG45" s="51" t="s">
        <v>71</v>
      </c>
      <c r="AH45" s="53">
        <v>42409</v>
      </c>
      <c r="AI45" s="51" t="s">
        <v>64</v>
      </c>
      <c r="AJ45" s="53">
        <v>42403</v>
      </c>
      <c r="AK45" s="51" t="s">
        <v>72</v>
      </c>
      <c r="AL45" s="51">
        <v>62078340</v>
      </c>
      <c r="AM45" s="53">
        <v>42410</v>
      </c>
      <c r="AN45" s="51" t="s">
        <v>199</v>
      </c>
      <c r="AO45" s="51" t="s">
        <v>2286</v>
      </c>
    </row>
    <row r="46" spans="1:41" x14ac:dyDescent="0.2">
      <c r="A46" s="51">
        <v>10020633</v>
      </c>
      <c r="B46" s="51">
        <v>30</v>
      </c>
      <c r="C46" s="51" t="s">
        <v>27</v>
      </c>
      <c r="D46" s="51" t="s">
        <v>78</v>
      </c>
      <c r="E46" s="53">
        <v>42403</v>
      </c>
      <c r="F46" s="51">
        <v>93664514</v>
      </c>
      <c r="G46" s="51">
        <v>30</v>
      </c>
      <c r="H46" s="51">
        <v>1022013</v>
      </c>
      <c r="I46" s="51" t="s">
        <v>114</v>
      </c>
      <c r="J46" s="51">
        <v>1335507</v>
      </c>
      <c r="K46" s="51" t="s">
        <v>114</v>
      </c>
      <c r="L46" s="51">
        <v>1022013</v>
      </c>
      <c r="M46" s="51" t="s">
        <v>114</v>
      </c>
      <c r="N46" s="51">
        <v>77484</v>
      </c>
      <c r="O46" s="51">
        <v>472040030</v>
      </c>
      <c r="P46" s="51" t="s">
        <v>1796</v>
      </c>
      <c r="Q46" s="51" t="s">
        <v>1322</v>
      </c>
      <c r="R46" s="51" t="s">
        <v>2285</v>
      </c>
      <c r="S46" s="51" t="s">
        <v>1331</v>
      </c>
      <c r="T46" s="51">
        <v>66500013</v>
      </c>
      <c r="U46" s="51">
        <v>216</v>
      </c>
      <c r="V46" s="51">
        <v>216</v>
      </c>
      <c r="W46" s="51" t="s">
        <v>1332</v>
      </c>
      <c r="X46" s="51">
        <v>49.99</v>
      </c>
      <c r="Y46" s="51" t="s">
        <v>182</v>
      </c>
      <c r="Z46" s="54">
        <v>10797.84</v>
      </c>
      <c r="AA46" s="54">
        <v>10797.84</v>
      </c>
      <c r="AB46" s="51" t="s">
        <v>182</v>
      </c>
      <c r="AC46" s="51" t="s">
        <v>181</v>
      </c>
      <c r="AD46" s="51" t="s">
        <v>67</v>
      </c>
      <c r="AE46" s="51" t="s">
        <v>69</v>
      </c>
      <c r="AF46" s="51" t="s">
        <v>81</v>
      </c>
      <c r="AG46" s="51" t="s">
        <v>71</v>
      </c>
      <c r="AH46" s="53">
        <v>42409</v>
      </c>
      <c r="AI46" s="51" t="s">
        <v>64</v>
      </c>
      <c r="AJ46" s="53">
        <v>42403</v>
      </c>
      <c r="AK46" s="51" t="s">
        <v>72</v>
      </c>
      <c r="AL46" s="51">
        <v>62078341</v>
      </c>
      <c r="AM46" s="53">
        <v>42410</v>
      </c>
      <c r="AN46" s="51" t="s">
        <v>199</v>
      </c>
      <c r="AO46" s="51" t="s">
        <v>2287</v>
      </c>
    </row>
    <row r="47" spans="1:41" x14ac:dyDescent="0.2">
      <c r="A47" s="51">
        <v>10020633</v>
      </c>
      <c r="B47" s="51">
        <v>40</v>
      </c>
      <c r="C47" s="51" t="s">
        <v>27</v>
      </c>
      <c r="D47" s="51" t="s">
        <v>78</v>
      </c>
      <c r="E47" s="53">
        <v>42403</v>
      </c>
      <c r="F47" s="51">
        <v>93664514</v>
      </c>
      <c r="G47" s="51">
        <v>40</v>
      </c>
      <c r="H47" s="51">
        <v>1022013</v>
      </c>
      <c r="I47" s="51" t="s">
        <v>114</v>
      </c>
      <c r="J47" s="51">
        <v>1335507</v>
      </c>
      <c r="K47" s="51" t="s">
        <v>114</v>
      </c>
      <c r="L47" s="51">
        <v>1022013</v>
      </c>
      <c r="M47" s="51" t="s">
        <v>114</v>
      </c>
      <c r="N47" s="51">
        <v>77484</v>
      </c>
      <c r="O47" s="51">
        <v>472040045</v>
      </c>
      <c r="P47" s="51" t="s">
        <v>1930</v>
      </c>
      <c r="Q47" s="51" t="s">
        <v>1322</v>
      </c>
      <c r="R47" s="51" t="s">
        <v>2285</v>
      </c>
      <c r="S47" s="51" t="s">
        <v>1331</v>
      </c>
      <c r="T47" s="51">
        <v>66500015</v>
      </c>
      <c r="U47" s="51">
        <v>72</v>
      </c>
      <c r="V47" s="51">
        <v>72</v>
      </c>
      <c r="W47" s="51" t="s">
        <v>1332</v>
      </c>
      <c r="X47" s="51">
        <v>74.989999999999995</v>
      </c>
      <c r="Y47" s="51" t="s">
        <v>182</v>
      </c>
      <c r="Z47" s="54">
        <v>5399.28</v>
      </c>
      <c r="AA47" s="54">
        <v>5399.28</v>
      </c>
      <c r="AB47" s="51" t="s">
        <v>182</v>
      </c>
      <c r="AC47" s="51" t="s">
        <v>181</v>
      </c>
      <c r="AD47" s="51" t="s">
        <v>67</v>
      </c>
      <c r="AE47" s="51" t="s">
        <v>69</v>
      </c>
      <c r="AF47" s="51" t="s">
        <v>81</v>
      </c>
      <c r="AG47" s="51" t="s">
        <v>71</v>
      </c>
      <c r="AH47" s="53">
        <v>42409</v>
      </c>
      <c r="AI47" s="51" t="s">
        <v>64</v>
      </c>
      <c r="AJ47" s="53">
        <v>42403</v>
      </c>
      <c r="AK47" s="51" t="s">
        <v>72</v>
      </c>
      <c r="AL47" s="51">
        <v>62078341</v>
      </c>
      <c r="AM47" s="53">
        <v>42410</v>
      </c>
      <c r="AN47" s="51" t="s">
        <v>199</v>
      </c>
      <c r="AO47" s="51" t="s">
        <v>2287</v>
      </c>
    </row>
    <row r="48" spans="1:41" x14ac:dyDescent="0.2">
      <c r="A48" s="51">
        <v>10020634</v>
      </c>
      <c r="B48" s="51">
        <v>20</v>
      </c>
      <c r="C48" s="51" t="s">
        <v>26</v>
      </c>
      <c r="D48" s="51" t="s">
        <v>432</v>
      </c>
      <c r="E48" s="53">
        <v>42403</v>
      </c>
      <c r="F48" s="51">
        <v>93667983</v>
      </c>
      <c r="G48" s="51">
        <v>20</v>
      </c>
      <c r="H48" s="51">
        <v>1201399</v>
      </c>
      <c r="I48" s="51" t="s">
        <v>144</v>
      </c>
      <c r="J48" s="51">
        <v>1041760</v>
      </c>
      <c r="K48" s="51" t="s">
        <v>145</v>
      </c>
      <c r="L48" s="51">
        <v>1171970</v>
      </c>
      <c r="M48" s="51" t="s">
        <v>144</v>
      </c>
      <c r="N48" s="51">
        <v>3005219918</v>
      </c>
      <c r="O48" s="51">
        <v>62037083101</v>
      </c>
      <c r="P48" s="51" t="s">
        <v>1833</v>
      </c>
      <c r="Q48" s="51" t="s">
        <v>1322</v>
      </c>
      <c r="R48" s="51" t="s">
        <v>1474</v>
      </c>
      <c r="S48" s="51" t="s">
        <v>1331</v>
      </c>
      <c r="T48" s="51" t="s">
        <v>2288</v>
      </c>
      <c r="U48" s="51">
        <v>48</v>
      </c>
      <c r="V48" s="51">
        <v>2</v>
      </c>
      <c r="W48" s="51" t="s">
        <v>1324</v>
      </c>
      <c r="X48" s="51">
        <v>74.94</v>
      </c>
      <c r="Y48" s="51" t="s">
        <v>182</v>
      </c>
      <c r="Z48" s="54">
        <v>3597.12</v>
      </c>
      <c r="AA48" s="51">
        <v>0</v>
      </c>
      <c r="AB48" s="51" t="s">
        <v>182</v>
      </c>
      <c r="AC48" s="51" t="s">
        <v>181</v>
      </c>
      <c r="AD48" s="51" t="s">
        <v>97</v>
      </c>
      <c r="AE48" s="51" t="s">
        <v>120</v>
      </c>
      <c r="AF48" s="51"/>
      <c r="AG48" s="51"/>
      <c r="AH48" s="51"/>
      <c r="AI48" s="51"/>
      <c r="AJ48" s="51"/>
      <c r="AK48" s="51"/>
      <c r="AL48" s="51"/>
      <c r="AM48" s="51"/>
      <c r="AN48" s="51"/>
      <c r="AO48" s="51"/>
    </row>
    <row r="49" spans="1:41" x14ac:dyDescent="0.2">
      <c r="A49" s="51">
        <v>10020637</v>
      </c>
      <c r="B49" s="51">
        <v>20</v>
      </c>
      <c r="C49" s="51" t="s">
        <v>26</v>
      </c>
      <c r="D49" s="51" t="s">
        <v>78</v>
      </c>
      <c r="E49" s="53">
        <v>42403</v>
      </c>
      <c r="F49" s="51">
        <v>93666516</v>
      </c>
      <c r="G49" s="51">
        <v>20</v>
      </c>
      <c r="H49" s="51">
        <v>1201540</v>
      </c>
      <c r="I49" s="51" t="s">
        <v>150</v>
      </c>
      <c r="J49" s="51">
        <v>1312297</v>
      </c>
      <c r="K49" s="51" t="s">
        <v>151</v>
      </c>
      <c r="L49" s="51">
        <v>1201540</v>
      </c>
      <c r="M49" s="51" t="s">
        <v>150</v>
      </c>
      <c r="N49" s="51" t="s">
        <v>2289</v>
      </c>
      <c r="O49" s="51">
        <v>472038045</v>
      </c>
      <c r="P49" s="51" t="s">
        <v>1786</v>
      </c>
      <c r="Q49" s="51" t="s">
        <v>1322</v>
      </c>
      <c r="R49" s="51" t="s">
        <v>2290</v>
      </c>
      <c r="S49" s="51" t="s">
        <v>1331</v>
      </c>
      <c r="T49" s="51" t="s">
        <v>2291</v>
      </c>
      <c r="U49" s="51">
        <v>10</v>
      </c>
      <c r="V49" s="51">
        <v>240</v>
      </c>
      <c r="W49" s="51" t="s">
        <v>1332</v>
      </c>
      <c r="X49" s="51">
        <v>28.02</v>
      </c>
      <c r="Y49" s="51" t="s">
        <v>182</v>
      </c>
      <c r="Z49" s="54">
        <v>13449.6</v>
      </c>
      <c r="AA49" s="54">
        <v>6724.8</v>
      </c>
      <c r="AB49" s="51" t="s">
        <v>182</v>
      </c>
      <c r="AC49" s="51" t="s">
        <v>181</v>
      </c>
      <c r="AD49" s="51" t="s">
        <v>97</v>
      </c>
      <c r="AE49" s="51" t="s">
        <v>63</v>
      </c>
      <c r="AF49" s="51" t="s">
        <v>84</v>
      </c>
      <c r="AG49" s="51" t="s">
        <v>82</v>
      </c>
      <c r="AH49" s="53">
        <v>42411</v>
      </c>
      <c r="AI49" s="51" t="s">
        <v>64</v>
      </c>
      <c r="AJ49" s="53">
        <v>42403</v>
      </c>
      <c r="AK49" s="51"/>
      <c r="AL49" s="51"/>
      <c r="AM49" s="51"/>
      <c r="AN49" s="51" t="s">
        <v>84</v>
      </c>
      <c r="AO49" s="51" t="s">
        <v>2292</v>
      </c>
    </row>
    <row r="50" spans="1:41" x14ac:dyDescent="0.2">
      <c r="A50" s="51">
        <v>10020638</v>
      </c>
      <c r="B50" s="51">
        <v>490</v>
      </c>
      <c r="C50" s="51" t="s">
        <v>26</v>
      </c>
      <c r="D50" s="51" t="s">
        <v>149</v>
      </c>
      <c r="E50" s="53">
        <v>42404</v>
      </c>
      <c r="F50" s="51">
        <v>93659350</v>
      </c>
      <c r="G50" s="51">
        <v>490</v>
      </c>
      <c r="H50" s="51">
        <v>1201047</v>
      </c>
      <c r="I50" s="51" t="s">
        <v>79</v>
      </c>
      <c r="J50" s="51">
        <v>1341515</v>
      </c>
      <c r="K50" s="51" t="s">
        <v>85</v>
      </c>
      <c r="L50" s="51">
        <v>1171089</v>
      </c>
      <c r="M50" s="51" t="s">
        <v>75</v>
      </c>
      <c r="N50" s="51">
        <v>14104907</v>
      </c>
      <c r="O50" s="51">
        <v>591040401</v>
      </c>
      <c r="P50" s="51" t="s">
        <v>2293</v>
      </c>
      <c r="Q50" s="51" t="s">
        <v>1322</v>
      </c>
      <c r="R50" s="51" t="s">
        <v>2131</v>
      </c>
      <c r="S50" s="51" t="s">
        <v>1331</v>
      </c>
      <c r="T50" s="51" t="s">
        <v>2294</v>
      </c>
      <c r="U50" s="51">
        <v>48</v>
      </c>
      <c r="V50" s="51">
        <v>48</v>
      </c>
      <c r="W50" s="51" t="s">
        <v>1332</v>
      </c>
      <c r="X50" s="51">
        <v>15.48</v>
      </c>
      <c r="Y50" s="51" t="s">
        <v>182</v>
      </c>
      <c r="Z50" s="51">
        <v>743.04</v>
      </c>
      <c r="AA50" s="51">
        <v>743.04</v>
      </c>
      <c r="AB50" s="51" t="s">
        <v>182</v>
      </c>
      <c r="AC50" s="51" t="s">
        <v>181</v>
      </c>
      <c r="AD50" s="51" t="s">
        <v>61</v>
      </c>
      <c r="AE50" s="51" t="s">
        <v>63</v>
      </c>
      <c r="AF50" s="51" t="s">
        <v>81</v>
      </c>
      <c r="AG50" s="51" t="s">
        <v>88</v>
      </c>
      <c r="AH50" s="53">
        <v>42419</v>
      </c>
      <c r="AI50" s="51" t="s">
        <v>64</v>
      </c>
      <c r="AJ50" s="53">
        <v>42404</v>
      </c>
      <c r="AK50" s="51"/>
      <c r="AL50" s="51"/>
      <c r="AM50" s="51"/>
      <c r="AN50" s="51" t="s">
        <v>89</v>
      </c>
      <c r="AO50" s="51" t="s">
        <v>274</v>
      </c>
    </row>
    <row r="51" spans="1:41" x14ac:dyDescent="0.2">
      <c r="A51" s="51">
        <v>10020638</v>
      </c>
      <c r="B51" s="51">
        <v>850</v>
      </c>
      <c r="C51" s="51" t="s">
        <v>26</v>
      </c>
      <c r="D51" s="51" t="s">
        <v>149</v>
      </c>
      <c r="E51" s="53">
        <v>42404</v>
      </c>
      <c r="F51" s="51">
        <v>93659350</v>
      </c>
      <c r="G51" s="51">
        <v>850</v>
      </c>
      <c r="H51" s="51">
        <v>1201047</v>
      </c>
      <c r="I51" s="51" t="s">
        <v>79</v>
      </c>
      <c r="J51" s="51">
        <v>1341515</v>
      </c>
      <c r="K51" s="51" t="s">
        <v>85</v>
      </c>
      <c r="L51" s="51">
        <v>1171089</v>
      </c>
      <c r="M51" s="51" t="s">
        <v>75</v>
      </c>
      <c r="N51" s="51">
        <v>14104907</v>
      </c>
      <c r="O51" s="51">
        <v>591354060</v>
      </c>
      <c r="P51" s="51" t="s">
        <v>2281</v>
      </c>
      <c r="Q51" s="51" t="s">
        <v>1322</v>
      </c>
      <c r="R51" s="51" t="s">
        <v>2067</v>
      </c>
      <c r="S51" s="51" t="s">
        <v>1331</v>
      </c>
      <c r="T51" s="51" t="s">
        <v>2282</v>
      </c>
      <c r="U51" s="51">
        <v>48</v>
      </c>
      <c r="V51" s="51">
        <v>48</v>
      </c>
      <c r="W51" s="51" t="s">
        <v>1332</v>
      </c>
      <c r="X51" s="51">
        <v>26.95</v>
      </c>
      <c r="Y51" s="51" t="s">
        <v>182</v>
      </c>
      <c r="Z51" s="54">
        <v>1293.5999999999999</v>
      </c>
      <c r="AA51" s="54">
        <v>1293.5999999999999</v>
      </c>
      <c r="AB51" s="51" t="s">
        <v>182</v>
      </c>
      <c r="AC51" s="51" t="s">
        <v>181</v>
      </c>
      <c r="AD51" s="51" t="s">
        <v>61</v>
      </c>
      <c r="AE51" s="51" t="s">
        <v>63</v>
      </c>
      <c r="AF51" s="51" t="s">
        <v>81</v>
      </c>
      <c r="AG51" s="51" t="s">
        <v>88</v>
      </c>
      <c r="AH51" s="53">
        <v>42419</v>
      </c>
      <c r="AI51" s="51" t="s">
        <v>64</v>
      </c>
      <c r="AJ51" s="53">
        <v>42404</v>
      </c>
      <c r="AK51" s="51"/>
      <c r="AL51" s="51"/>
      <c r="AM51" s="51"/>
      <c r="AN51" s="51" t="s">
        <v>89</v>
      </c>
      <c r="AO51" s="51" t="s">
        <v>274</v>
      </c>
    </row>
    <row r="52" spans="1:41" x14ac:dyDescent="0.2">
      <c r="A52" s="51">
        <v>10020639</v>
      </c>
      <c r="B52" s="51">
        <v>2170</v>
      </c>
      <c r="C52" s="51" t="s">
        <v>26</v>
      </c>
      <c r="D52" s="51" t="s">
        <v>149</v>
      </c>
      <c r="E52" s="53">
        <v>42404</v>
      </c>
      <c r="F52" s="51">
        <v>93659349</v>
      </c>
      <c r="G52" s="51">
        <v>2170</v>
      </c>
      <c r="H52" s="51">
        <v>1201047</v>
      </c>
      <c r="I52" s="51" t="s">
        <v>79</v>
      </c>
      <c r="J52" s="51">
        <v>1341515</v>
      </c>
      <c r="K52" s="51" t="s">
        <v>85</v>
      </c>
      <c r="L52" s="51">
        <v>1171089</v>
      </c>
      <c r="M52" s="51" t="s">
        <v>75</v>
      </c>
      <c r="N52" s="51">
        <v>14104907</v>
      </c>
      <c r="O52" s="51">
        <v>472082902</v>
      </c>
      <c r="P52" s="51" t="s">
        <v>2295</v>
      </c>
      <c r="Q52" s="51" t="s">
        <v>1322</v>
      </c>
      <c r="R52" s="51" t="s">
        <v>2296</v>
      </c>
      <c r="S52" s="51" t="s">
        <v>1331</v>
      </c>
      <c r="T52" s="51">
        <v>32200103</v>
      </c>
      <c r="U52" s="51">
        <v>192</v>
      </c>
      <c r="V52" s="51">
        <v>96</v>
      </c>
      <c r="W52" s="51" t="s">
        <v>1332</v>
      </c>
      <c r="X52" s="51">
        <v>80.989999999999995</v>
      </c>
      <c r="Y52" s="51" t="s">
        <v>182</v>
      </c>
      <c r="Z52" s="54">
        <v>15550.08</v>
      </c>
      <c r="AA52" s="54">
        <v>7775.04</v>
      </c>
      <c r="AB52" s="51" t="s">
        <v>182</v>
      </c>
      <c r="AC52" s="51" t="s">
        <v>181</v>
      </c>
      <c r="AD52" s="51" t="s">
        <v>61</v>
      </c>
      <c r="AE52" s="51" t="s">
        <v>63</v>
      </c>
      <c r="AF52" s="51" t="s">
        <v>81</v>
      </c>
      <c r="AG52" s="51" t="s">
        <v>88</v>
      </c>
      <c r="AH52" s="53">
        <v>42419</v>
      </c>
      <c r="AI52" s="51" t="s">
        <v>64</v>
      </c>
      <c r="AJ52" s="53">
        <v>42404</v>
      </c>
      <c r="AK52" s="51"/>
      <c r="AL52" s="51"/>
      <c r="AM52" s="51"/>
      <c r="AN52" s="51" t="s">
        <v>89</v>
      </c>
      <c r="AO52" s="51" t="s">
        <v>274</v>
      </c>
    </row>
    <row r="53" spans="1:41" x14ac:dyDescent="0.2">
      <c r="A53" s="51">
        <v>10020640</v>
      </c>
      <c r="B53" s="51">
        <v>1030</v>
      </c>
      <c r="C53" s="51" t="s">
        <v>22</v>
      </c>
      <c r="D53" s="51" t="s">
        <v>149</v>
      </c>
      <c r="E53" s="53">
        <v>42404</v>
      </c>
      <c r="F53" s="51">
        <v>93659351</v>
      </c>
      <c r="G53" s="51">
        <v>1030</v>
      </c>
      <c r="H53" s="51">
        <v>1201047</v>
      </c>
      <c r="I53" s="51" t="s">
        <v>79</v>
      </c>
      <c r="J53" s="51">
        <v>1341515</v>
      </c>
      <c r="K53" s="51" t="s">
        <v>85</v>
      </c>
      <c r="L53" s="51">
        <v>1171089</v>
      </c>
      <c r="M53" s="51" t="s">
        <v>75</v>
      </c>
      <c r="N53" s="51">
        <v>14104907</v>
      </c>
      <c r="O53" s="51">
        <v>62037070030</v>
      </c>
      <c r="P53" s="51" t="s">
        <v>2297</v>
      </c>
      <c r="Q53" s="51" t="s">
        <v>1322</v>
      </c>
      <c r="R53" s="51" t="s">
        <v>2298</v>
      </c>
      <c r="S53" s="51" t="s">
        <v>1331</v>
      </c>
      <c r="T53" s="51" t="s">
        <v>2299</v>
      </c>
      <c r="U53" s="51">
        <v>96</v>
      </c>
      <c r="V53" s="51">
        <v>96</v>
      </c>
      <c r="W53" s="51" t="s">
        <v>1332</v>
      </c>
      <c r="X53" s="51">
        <v>55.24</v>
      </c>
      <c r="Y53" s="51" t="s">
        <v>182</v>
      </c>
      <c r="Z53" s="54">
        <v>5303.04</v>
      </c>
      <c r="AA53" s="54">
        <v>5303.04</v>
      </c>
      <c r="AB53" s="51" t="s">
        <v>182</v>
      </c>
      <c r="AC53" s="51" t="s">
        <v>181</v>
      </c>
      <c r="AD53" s="51" t="s">
        <v>61</v>
      </c>
      <c r="AE53" s="51" t="s">
        <v>63</v>
      </c>
      <c r="AF53" s="51" t="s">
        <v>94</v>
      </c>
      <c r="AG53" s="51" t="s">
        <v>141</v>
      </c>
      <c r="AH53" s="53">
        <v>42418</v>
      </c>
      <c r="AI53" s="51" t="s">
        <v>64</v>
      </c>
      <c r="AJ53" s="53">
        <v>42404</v>
      </c>
      <c r="AK53" s="51"/>
      <c r="AL53" s="51"/>
      <c r="AM53" s="51"/>
      <c r="AN53" s="51" t="s">
        <v>142</v>
      </c>
      <c r="AO53" s="51" t="s">
        <v>2300</v>
      </c>
    </row>
    <row r="54" spans="1:41" x14ac:dyDescent="0.2">
      <c r="A54" s="51">
        <v>10020641</v>
      </c>
      <c r="B54" s="51">
        <v>20</v>
      </c>
      <c r="C54" s="51" t="s">
        <v>22</v>
      </c>
      <c r="D54" s="51" t="s">
        <v>149</v>
      </c>
      <c r="E54" s="53">
        <v>42404</v>
      </c>
      <c r="F54" s="51">
        <v>93659350</v>
      </c>
      <c r="G54" s="51">
        <v>20</v>
      </c>
      <c r="H54" s="51">
        <v>1201047</v>
      </c>
      <c r="I54" s="51" t="s">
        <v>79</v>
      </c>
      <c r="J54" s="51">
        <v>1341515</v>
      </c>
      <c r="K54" s="51" t="s">
        <v>85</v>
      </c>
      <c r="L54" s="51">
        <v>1171089</v>
      </c>
      <c r="M54" s="51" t="s">
        <v>75</v>
      </c>
      <c r="N54" s="51">
        <v>14104907</v>
      </c>
      <c r="O54" s="51">
        <v>62037083001</v>
      </c>
      <c r="P54" s="51" t="s">
        <v>2301</v>
      </c>
      <c r="Q54" s="51" t="s">
        <v>1322</v>
      </c>
      <c r="R54" s="51" t="s">
        <v>1474</v>
      </c>
      <c r="S54" s="51" t="s">
        <v>1331</v>
      </c>
      <c r="T54" s="51" t="s">
        <v>2302</v>
      </c>
      <c r="U54" s="51">
        <v>1728</v>
      </c>
      <c r="V54" s="51">
        <v>96</v>
      </c>
      <c r="W54" s="51" t="s">
        <v>1332</v>
      </c>
      <c r="X54" s="51">
        <v>74.94</v>
      </c>
      <c r="Y54" s="51" t="s">
        <v>182</v>
      </c>
      <c r="Z54" s="54">
        <v>129496.32000000001</v>
      </c>
      <c r="AA54" s="54">
        <v>7194.24</v>
      </c>
      <c r="AB54" s="51" t="s">
        <v>182</v>
      </c>
      <c r="AC54" s="51" t="s">
        <v>181</v>
      </c>
      <c r="AD54" s="51" t="s">
        <v>67</v>
      </c>
      <c r="AE54" s="51" t="s">
        <v>63</v>
      </c>
      <c r="AF54" s="51"/>
      <c r="AG54" s="51"/>
      <c r="AH54" s="51"/>
      <c r="AI54" s="51" t="s">
        <v>64</v>
      </c>
      <c r="AJ54" s="53">
        <v>42404</v>
      </c>
      <c r="AK54" s="51"/>
      <c r="AL54" s="51"/>
      <c r="AM54" s="51"/>
      <c r="AN54" s="51"/>
      <c r="AO54" s="51"/>
    </row>
    <row r="55" spans="1:41" x14ac:dyDescent="0.2">
      <c r="A55" s="51">
        <v>10020642</v>
      </c>
      <c r="B55" s="51">
        <v>50</v>
      </c>
      <c r="C55" s="51" t="s">
        <v>26</v>
      </c>
      <c r="D55" s="51" t="s">
        <v>78</v>
      </c>
      <c r="E55" s="53">
        <v>42404</v>
      </c>
      <c r="F55" s="51">
        <v>93619666</v>
      </c>
      <c r="G55" s="51">
        <v>50</v>
      </c>
      <c r="H55" s="51">
        <v>1201399</v>
      </c>
      <c r="I55" s="51" t="s">
        <v>144</v>
      </c>
      <c r="J55" s="51">
        <v>1334926</v>
      </c>
      <c r="K55" s="51" t="s">
        <v>145</v>
      </c>
      <c r="L55" s="51">
        <v>1171970</v>
      </c>
      <c r="M55" s="51" t="s">
        <v>144</v>
      </c>
      <c r="N55" s="51">
        <v>8106680618</v>
      </c>
      <c r="O55" s="51">
        <v>45963074311</v>
      </c>
      <c r="P55" s="51" t="s">
        <v>2303</v>
      </c>
      <c r="Q55" s="51" t="s">
        <v>1322</v>
      </c>
      <c r="R55" s="51" t="s">
        <v>2304</v>
      </c>
      <c r="S55" s="51">
        <v>2</v>
      </c>
      <c r="T55" s="51"/>
      <c r="U55" s="51">
        <v>432</v>
      </c>
      <c r="V55" s="51">
        <v>1</v>
      </c>
      <c r="W55" s="51" t="s">
        <v>1332</v>
      </c>
      <c r="X55" s="51">
        <v>115.21</v>
      </c>
      <c r="Y55" s="51" t="s">
        <v>182</v>
      </c>
      <c r="Z55" s="54">
        <v>49770.720000000001</v>
      </c>
      <c r="AA55" s="51">
        <v>115.21</v>
      </c>
      <c r="AB55" s="51" t="s">
        <v>182</v>
      </c>
      <c r="AC55" s="51" t="s">
        <v>181</v>
      </c>
      <c r="AD55" s="51" t="s">
        <v>67</v>
      </c>
      <c r="AE55" s="51" t="s">
        <v>63</v>
      </c>
      <c r="AF55" s="51" t="s">
        <v>105</v>
      </c>
      <c r="AG55" s="51" t="s">
        <v>82</v>
      </c>
      <c r="AH55" s="53">
        <v>42405</v>
      </c>
      <c r="AI55" s="51" t="s">
        <v>83</v>
      </c>
      <c r="AJ55" s="53">
        <v>42416</v>
      </c>
      <c r="AK55" s="51"/>
      <c r="AL55" s="51"/>
      <c r="AM55" s="51"/>
      <c r="AN55" s="51" t="s">
        <v>89</v>
      </c>
      <c r="AO55" s="51" t="s">
        <v>2305</v>
      </c>
    </row>
    <row r="56" spans="1:41" x14ac:dyDescent="0.2">
      <c r="A56" s="51">
        <v>10020643</v>
      </c>
      <c r="B56" s="51">
        <v>1410</v>
      </c>
      <c r="C56" s="51" t="s">
        <v>18</v>
      </c>
      <c r="D56" s="51" t="s">
        <v>149</v>
      </c>
      <c r="E56" s="53">
        <v>42404</v>
      </c>
      <c r="F56" s="51">
        <v>93672035</v>
      </c>
      <c r="G56" s="51">
        <v>1410</v>
      </c>
      <c r="H56" s="51">
        <v>1201047</v>
      </c>
      <c r="I56" s="51" t="s">
        <v>79</v>
      </c>
      <c r="J56" s="51">
        <v>1051671</v>
      </c>
      <c r="K56" s="51" t="s">
        <v>80</v>
      </c>
      <c r="L56" s="51">
        <v>1171089</v>
      </c>
      <c r="M56" s="51" t="s">
        <v>75</v>
      </c>
      <c r="N56" s="51">
        <v>49771426</v>
      </c>
      <c r="O56" s="51">
        <v>52544024828</v>
      </c>
      <c r="P56" s="51" t="s">
        <v>1460</v>
      </c>
      <c r="Q56" s="51" t="s">
        <v>1344</v>
      </c>
      <c r="R56" s="51" t="s">
        <v>1461</v>
      </c>
      <c r="S56" s="51" t="s">
        <v>1331</v>
      </c>
      <c r="T56" s="51" t="s">
        <v>2306</v>
      </c>
      <c r="U56" s="51">
        <v>432</v>
      </c>
      <c r="V56" s="51">
        <v>4</v>
      </c>
      <c r="W56" s="51" t="s">
        <v>1332</v>
      </c>
      <c r="X56" s="51">
        <v>147.38999999999999</v>
      </c>
      <c r="Y56" s="51" t="s">
        <v>182</v>
      </c>
      <c r="Z56" s="54">
        <v>63672.480000000003</v>
      </c>
      <c r="AA56" s="51">
        <v>589.55999999999995</v>
      </c>
      <c r="AB56" s="51" t="s">
        <v>182</v>
      </c>
      <c r="AC56" s="51" t="s">
        <v>181</v>
      </c>
      <c r="AD56" s="51" t="s">
        <v>67</v>
      </c>
      <c r="AE56" s="51" t="s">
        <v>69</v>
      </c>
      <c r="AF56" s="51" t="s">
        <v>70</v>
      </c>
      <c r="AG56" s="51" t="s">
        <v>76</v>
      </c>
      <c r="AH56" s="53">
        <v>42405</v>
      </c>
      <c r="AI56" s="51" t="s">
        <v>64</v>
      </c>
      <c r="AJ56" s="53">
        <v>42404</v>
      </c>
      <c r="AK56" s="51" t="s">
        <v>100</v>
      </c>
      <c r="AL56" s="51">
        <v>62086429</v>
      </c>
      <c r="AM56" s="53">
        <v>42423</v>
      </c>
      <c r="AN56" s="51" t="s">
        <v>77</v>
      </c>
      <c r="AO56" s="51" t="s">
        <v>2307</v>
      </c>
    </row>
    <row r="57" spans="1:41" x14ac:dyDescent="0.2">
      <c r="A57" s="51">
        <v>10020644</v>
      </c>
      <c r="B57" s="51">
        <v>50</v>
      </c>
      <c r="C57" s="51" t="s">
        <v>26</v>
      </c>
      <c r="D57" s="51" t="s">
        <v>149</v>
      </c>
      <c r="E57" s="53">
        <v>42404</v>
      </c>
      <c r="F57" s="51">
        <v>93661749</v>
      </c>
      <c r="G57" s="51">
        <v>50</v>
      </c>
      <c r="H57" s="51">
        <v>1201047</v>
      </c>
      <c r="I57" s="51" t="s">
        <v>79</v>
      </c>
      <c r="J57" s="51">
        <v>1003713</v>
      </c>
      <c r="K57" s="51" t="s">
        <v>80</v>
      </c>
      <c r="L57" s="51">
        <v>1171089</v>
      </c>
      <c r="M57" s="51" t="s">
        <v>75</v>
      </c>
      <c r="N57" s="51">
        <v>32769009</v>
      </c>
      <c r="O57" s="51">
        <v>591321272</v>
      </c>
      <c r="P57" s="51" t="s">
        <v>1731</v>
      </c>
      <c r="Q57" s="51" t="s">
        <v>1322</v>
      </c>
      <c r="R57" s="51" t="s">
        <v>1732</v>
      </c>
      <c r="S57" s="51">
        <v>2</v>
      </c>
      <c r="T57" s="51" t="s">
        <v>1733</v>
      </c>
      <c r="U57" s="51">
        <v>288</v>
      </c>
      <c r="V57" s="51">
        <v>1</v>
      </c>
      <c r="W57" s="51" t="s">
        <v>1332</v>
      </c>
      <c r="X57" s="51">
        <v>63.33</v>
      </c>
      <c r="Y57" s="51" t="s">
        <v>182</v>
      </c>
      <c r="Z57" s="54">
        <v>18239.04</v>
      </c>
      <c r="AA57" s="51">
        <v>63.33</v>
      </c>
      <c r="AB57" s="51" t="s">
        <v>182</v>
      </c>
      <c r="AC57" s="51" t="s">
        <v>181</v>
      </c>
      <c r="AD57" s="51" t="s">
        <v>67</v>
      </c>
      <c r="AE57" s="51" t="s">
        <v>63</v>
      </c>
      <c r="AF57" s="51" t="s">
        <v>105</v>
      </c>
      <c r="AG57" s="51" t="s">
        <v>82</v>
      </c>
      <c r="AH57" s="53">
        <v>42405</v>
      </c>
      <c r="AI57" s="51"/>
      <c r="AJ57" s="51"/>
      <c r="AK57" s="51"/>
      <c r="AL57" s="51"/>
      <c r="AM57" s="51"/>
      <c r="AN57" s="51" t="s">
        <v>89</v>
      </c>
      <c r="AO57" s="51" t="s">
        <v>2308</v>
      </c>
    </row>
    <row r="58" spans="1:41" x14ac:dyDescent="0.2">
      <c r="A58" s="51">
        <v>10020645</v>
      </c>
      <c r="B58" s="51">
        <v>130</v>
      </c>
      <c r="C58" s="51" t="s">
        <v>22</v>
      </c>
      <c r="D58" s="51" t="s">
        <v>149</v>
      </c>
      <c r="E58" s="53">
        <v>42404</v>
      </c>
      <c r="F58" s="51">
        <v>93675274</v>
      </c>
      <c r="G58" s="51">
        <v>130</v>
      </c>
      <c r="H58" s="51">
        <v>1201108</v>
      </c>
      <c r="I58" s="51" t="s">
        <v>674</v>
      </c>
      <c r="J58" s="51">
        <v>1201108</v>
      </c>
      <c r="K58" s="51" t="s">
        <v>674</v>
      </c>
      <c r="L58" s="51">
        <v>1201108</v>
      </c>
      <c r="M58" s="51" t="s">
        <v>674</v>
      </c>
      <c r="N58" s="51">
        <v>317586</v>
      </c>
      <c r="O58" s="51">
        <v>591080001</v>
      </c>
      <c r="P58" s="51" t="s">
        <v>2003</v>
      </c>
      <c r="Q58" s="51" t="s">
        <v>1322</v>
      </c>
      <c r="R58" s="51" t="s">
        <v>2004</v>
      </c>
      <c r="S58" s="51" t="s">
        <v>1331</v>
      </c>
      <c r="T58" s="51">
        <v>3135296</v>
      </c>
      <c r="U58" s="51">
        <v>6</v>
      </c>
      <c r="V58" s="51">
        <v>6</v>
      </c>
      <c r="W58" s="51" t="s">
        <v>1332</v>
      </c>
      <c r="X58" s="51">
        <v>13.2</v>
      </c>
      <c r="Y58" s="51" t="s">
        <v>182</v>
      </c>
      <c r="Z58" s="51">
        <v>79.2</v>
      </c>
      <c r="AA58" s="51">
        <v>79.2</v>
      </c>
      <c r="AB58" s="51" t="s">
        <v>182</v>
      </c>
      <c r="AC58" s="51" t="s">
        <v>181</v>
      </c>
      <c r="AD58" s="51" t="s">
        <v>67</v>
      </c>
      <c r="AE58" s="51" t="s">
        <v>63</v>
      </c>
      <c r="AF58" s="51"/>
      <c r="AG58" s="51"/>
      <c r="AH58" s="51"/>
      <c r="AI58" s="51" t="s">
        <v>64</v>
      </c>
      <c r="AJ58" s="53">
        <v>42404</v>
      </c>
      <c r="AK58" s="51"/>
      <c r="AL58" s="51"/>
      <c r="AM58" s="51"/>
      <c r="AN58" s="51"/>
      <c r="AO58" s="51"/>
    </row>
    <row r="59" spans="1:41" x14ac:dyDescent="0.2">
      <c r="A59" s="51">
        <v>10020646</v>
      </c>
      <c r="B59" s="51">
        <v>10</v>
      </c>
      <c r="C59" s="51" t="s">
        <v>22</v>
      </c>
      <c r="D59" s="51" t="s">
        <v>149</v>
      </c>
      <c r="E59" s="53">
        <v>42404</v>
      </c>
      <c r="F59" s="51"/>
      <c r="G59" s="51">
        <v>10</v>
      </c>
      <c r="H59" s="51">
        <v>1318826</v>
      </c>
      <c r="I59" s="51" t="s">
        <v>110</v>
      </c>
      <c r="J59" s="51">
        <v>1061223</v>
      </c>
      <c r="K59" s="51" t="s">
        <v>113</v>
      </c>
      <c r="L59" s="51">
        <v>1318826</v>
      </c>
      <c r="M59" s="51" t="s">
        <v>110</v>
      </c>
      <c r="N59" s="51">
        <v>1032042</v>
      </c>
      <c r="O59" s="51">
        <v>228432311</v>
      </c>
      <c r="P59" s="51" t="s">
        <v>2309</v>
      </c>
      <c r="Q59" s="51" t="s">
        <v>1322</v>
      </c>
      <c r="R59" s="51" t="s">
        <v>2310</v>
      </c>
      <c r="S59" s="51">
        <v>2</v>
      </c>
      <c r="T59" s="51"/>
      <c r="U59" s="51">
        <v>0</v>
      </c>
      <c r="V59" s="51">
        <v>24</v>
      </c>
      <c r="W59" s="51" t="s">
        <v>1332</v>
      </c>
      <c r="X59" s="51">
        <v>15.28</v>
      </c>
      <c r="Y59" s="51" t="s">
        <v>182</v>
      </c>
      <c r="Z59" s="51">
        <v>0</v>
      </c>
      <c r="AA59" s="51">
        <v>366.72</v>
      </c>
      <c r="AB59" s="51" t="s">
        <v>182</v>
      </c>
      <c r="AC59" s="51" t="s">
        <v>181</v>
      </c>
      <c r="AD59" s="51" t="s">
        <v>67</v>
      </c>
      <c r="AE59" s="51" t="s">
        <v>63</v>
      </c>
      <c r="AF59" s="51" t="s">
        <v>94</v>
      </c>
      <c r="AG59" s="51" t="s">
        <v>82</v>
      </c>
      <c r="AH59" s="53">
        <v>42417</v>
      </c>
      <c r="AI59" s="51" t="s">
        <v>64</v>
      </c>
      <c r="AJ59" s="53">
        <v>42404</v>
      </c>
      <c r="AK59" s="51"/>
      <c r="AL59" s="51"/>
      <c r="AM59" s="51"/>
      <c r="AN59" s="51" t="s">
        <v>142</v>
      </c>
      <c r="AO59" s="51" t="s">
        <v>2311</v>
      </c>
    </row>
    <row r="60" spans="1:41" x14ac:dyDescent="0.2">
      <c r="A60" s="51">
        <v>10020649</v>
      </c>
      <c r="B60" s="51">
        <v>10</v>
      </c>
      <c r="C60" s="51" t="s">
        <v>25</v>
      </c>
      <c r="D60" s="51" t="s">
        <v>78</v>
      </c>
      <c r="E60" s="53">
        <v>42404</v>
      </c>
      <c r="F60" s="51">
        <v>93668954</v>
      </c>
      <c r="G60" s="51">
        <v>10</v>
      </c>
      <c r="H60" s="51">
        <v>1201014</v>
      </c>
      <c r="I60" s="51" t="s">
        <v>58</v>
      </c>
      <c r="J60" s="51">
        <v>1062544</v>
      </c>
      <c r="K60" s="51" t="s">
        <v>2312</v>
      </c>
      <c r="L60" s="51">
        <v>1021986</v>
      </c>
      <c r="M60" s="51" t="s">
        <v>60</v>
      </c>
      <c r="N60" s="51">
        <v>820274242</v>
      </c>
      <c r="O60" s="51">
        <v>228306211</v>
      </c>
      <c r="P60" s="51" t="s">
        <v>2313</v>
      </c>
      <c r="Q60" s="51" t="s">
        <v>1322</v>
      </c>
      <c r="R60" s="51" t="s">
        <v>2314</v>
      </c>
      <c r="S60" s="51">
        <v>2</v>
      </c>
      <c r="T60" s="51" t="s">
        <v>2315</v>
      </c>
      <c r="U60" s="51">
        <v>12</v>
      </c>
      <c r="V60" s="51">
        <v>12</v>
      </c>
      <c r="W60" s="51" t="s">
        <v>1332</v>
      </c>
      <c r="X60" s="51">
        <v>94.8</v>
      </c>
      <c r="Y60" s="51" t="s">
        <v>182</v>
      </c>
      <c r="Z60" s="54">
        <v>1137.5999999999999</v>
      </c>
      <c r="AA60" s="54">
        <v>1137.5999999999999</v>
      </c>
      <c r="AB60" s="51" t="s">
        <v>182</v>
      </c>
      <c r="AC60" s="51" t="s">
        <v>181</v>
      </c>
      <c r="AD60" s="51" t="s">
        <v>67</v>
      </c>
      <c r="AE60" s="51" t="s">
        <v>63</v>
      </c>
      <c r="AF60" s="51" t="s">
        <v>84</v>
      </c>
      <c r="AG60" s="51" t="s">
        <v>82</v>
      </c>
      <c r="AH60" s="53">
        <v>42419</v>
      </c>
      <c r="AI60" s="51" t="s">
        <v>64</v>
      </c>
      <c r="AJ60" s="53">
        <v>42404</v>
      </c>
      <c r="AK60" s="51"/>
      <c r="AL60" s="51"/>
      <c r="AM60" s="51"/>
      <c r="AN60" s="51" t="s">
        <v>84</v>
      </c>
      <c r="AO60" s="51" t="s">
        <v>2316</v>
      </c>
    </row>
    <row r="61" spans="1:41" x14ac:dyDescent="0.2">
      <c r="A61" s="51">
        <v>10020649</v>
      </c>
      <c r="B61" s="51">
        <v>20</v>
      </c>
      <c r="C61" s="51" t="s">
        <v>25</v>
      </c>
      <c r="D61" s="51" t="s">
        <v>78</v>
      </c>
      <c r="E61" s="53">
        <v>42404</v>
      </c>
      <c r="F61" s="51">
        <v>93668954</v>
      </c>
      <c r="G61" s="51">
        <v>20</v>
      </c>
      <c r="H61" s="51">
        <v>1201014</v>
      </c>
      <c r="I61" s="51" t="s">
        <v>58</v>
      </c>
      <c r="J61" s="51">
        <v>1062544</v>
      </c>
      <c r="K61" s="51" t="s">
        <v>2312</v>
      </c>
      <c r="L61" s="51">
        <v>1021986</v>
      </c>
      <c r="M61" s="51" t="s">
        <v>60</v>
      </c>
      <c r="N61" s="51">
        <v>820274242</v>
      </c>
      <c r="O61" s="51">
        <v>591271801</v>
      </c>
      <c r="P61" s="51" t="s">
        <v>2317</v>
      </c>
      <c r="Q61" s="51" t="s">
        <v>1322</v>
      </c>
      <c r="R61" s="51" t="s">
        <v>2318</v>
      </c>
      <c r="S61" s="51" t="s">
        <v>1740</v>
      </c>
      <c r="T61" s="51" t="s">
        <v>2319</v>
      </c>
      <c r="U61" s="51">
        <v>72</v>
      </c>
      <c r="V61" s="51">
        <v>72</v>
      </c>
      <c r="W61" s="51" t="s">
        <v>1324</v>
      </c>
      <c r="X61" s="51">
        <v>545.78</v>
      </c>
      <c r="Y61" s="51" t="s">
        <v>182</v>
      </c>
      <c r="Z61" s="54">
        <v>39296.160000000003</v>
      </c>
      <c r="AA61" s="54">
        <v>39296.160000000003</v>
      </c>
      <c r="AB61" s="51" t="s">
        <v>182</v>
      </c>
      <c r="AC61" s="51" t="s">
        <v>181</v>
      </c>
      <c r="AD61" s="51" t="s">
        <v>67</v>
      </c>
      <c r="AE61" s="51" t="s">
        <v>63</v>
      </c>
      <c r="AF61" s="51" t="s">
        <v>84</v>
      </c>
      <c r="AG61" s="51" t="s">
        <v>82</v>
      </c>
      <c r="AH61" s="53">
        <v>42419</v>
      </c>
      <c r="AI61" s="51" t="s">
        <v>64</v>
      </c>
      <c r="AJ61" s="53">
        <v>42404</v>
      </c>
      <c r="AK61" s="51"/>
      <c r="AL61" s="51"/>
      <c r="AM61" s="51"/>
      <c r="AN61" s="51" t="s">
        <v>84</v>
      </c>
      <c r="AO61" s="51" t="s">
        <v>2316</v>
      </c>
    </row>
    <row r="62" spans="1:41" x14ac:dyDescent="0.2">
      <c r="A62" s="51">
        <v>10020650</v>
      </c>
      <c r="B62" s="51">
        <v>1460</v>
      </c>
      <c r="C62" s="51" t="s">
        <v>18</v>
      </c>
      <c r="D62" s="51" t="s">
        <v>149</v>
      </c>
      <c r="E62" s="53">
        <v>42404</v>
      </c>
      <c r="F62" s="51">
        <v>93676648</v>
      </c>
      <c r="G62" s="51">
        <v>1460</v>
      </c>
      <c r="H62" s="51">
        <v>1201432</v>
      </c>
      <c r="I62" s="51" t="s">
        <v>660</v>
      </c>
      <c r="J62" s="51">
        <v>1306711</v>
      </c>
      <c r="K62" s="51" t="s">
        <v>660</v>
      </c>
      <c r="L62" s="51">
        <v>1172008</v>
      </c>
      <c r="M62" s="51" t="s">
        <v>660</v>
      </c>
      <c r="N62" s="51">
        <v>350648</v>
      </c>
      <c r="O62" s="51">
        <v>591267930</v>
      </c>
      <c r="P62" s="51" t="s">
        <v>1528</v>
      </c>
      <c r="Q62" s="51" t="s">
        <v>1322</v>
      </c>
      <c r="R62" s="51" t="s">
        <v>1443</v>
      </c>
      <c r="S62" s="51" t="s">
        <v>1331</v>
      </c>
      <c r="T62" s="51" t="s">
        <v>2016</v>
      </c>
      <c r="U62" s="51">
        <v>12</v>
      </c>
      <c r="V62" s="51">
        <v>12</v>
      </c>
      <c r="W62" s="51" t="s">
        <v>1332</v>
      </c>
      <c r="X62" s="51">
        <v>224.65</v>
      </c>
      <c r="Y62" s="51" t="s">
        <v>182</v>
      </c>
      <c r="Z62" s="54">
        <v>2695.8</v>
      </c>
      <c r="AA62" s="54">
        <v>2695.8</v>
      </c>
      <c r="AB62" s="51" t="s">
        <v>182</v>
      </c>
      <c r="AC62" s="51" t="s">
        <v>181</v>
      </c>
      <c r="AD62" s="51" t="s">
        <v>67</v>
      </c>
      <c r="AE62" s="51" t="s">
        <v>69</v>
      </c>
      <c r="AF62" s="51" t="s">
        <v>70</v>
      </c>
      <c r="AG62" s="51" t="s">
        <v>76</v>
      </c>
      <c r="AH62" s="53">
        <v>42405</v>
      </c>
      <c r="AI62" s="51" t="s">
        <v>64</v>
      </c>
      <c r="AJ62" s="53">
        <v>42404</v>
      </c>
      <c r="AK62" s="51" t="s">
        <v>100</v>
      </c>
      <c r="AL62" s="51">
        <v>62076572</v>
      </c>
      <c r="AM62" s="53">
        <v>42408</v>
      </c>
      <c r="AN62" s="51" t="s">
        <v>77</v>
      </c>
      <c r="AO62" s="51" t="s">
        <v>2320</v>
      </c>
    </row>
    <row r="63" spans="1:41" x14ac:dyDescent="0.2">
      <c r="A63" s="51">
        <v>10020650</v>
      </c>
      <c r="B63" s="51">
        <v>2250</v>
      </c>
      <c r="C63" s="51" t="s">
        <v>18</v>
      </c>
      <c r="D63" s="51" t="s">
        <v>149</v>
      </c>
      <c r="E63" s="53">
        <v>42404</v>
      </c>
      <c r="F63" s="51">
        <v>93676648</v>
      </c>
      <c r="G63" s="51">
        <v>2250</v>
      </c>
      <c r="H63" s="51">
        <v>1201432</v>
      </c>
      <c r="I63" s="51" t="s">
        <v>660</v>
      </c>
      <c r="J63" s="51">
        <v>1306711</v>
      </c>
      <c r="K63" s="51" t="s">
        <v>660</v>
      </c>
      <c r="L63" s="51">
        <v>1172008</v>
      </c>
      <c r="M63" s="51" t="s">
        <v>660</v>
      </c>
      <c r="N63" s="51">
        <v>350648</v>
      </c>
      <c r="O63" s="51">
        <v>591081046</v>
      </c>
      <c r="P63" s="51" t="s">
        <v>2321</v>
      </c>
      <c r="Q63" s="51" t="s">
        <v>1322</v>
      </c>
      <c r="R63" s="51" t="s">
        <v>2322</v>
      </c>
      <c r="S63" s="51" t="s">
        <v>1331</v>
      </c>
      <c r="T63" s="51" t="s">
        <v>2323</v>
      </c>
      <c r="U63" s="51">
        <v>48</v>
      </c>
      <c r="V63" s="51">
        <v>2</v>
      </c>
      <c r="W63" s="51" t="s">
        <v>1332</v>
      </c>
      <c r="X63" s="51">
        <v>52.99</v>
      </c>
      <c r="Y63" s="51" t="s">
        <v>182</v>
      </c>
      <c r="Z63" s="54">
        <v>2543.52</v>
      </c>
      <c r="AA63" s="51">
        <v>105.98</v>
      </c>
      <c r="AB63" s="51" t="s">
        <v>182</v>
      </c>
      <c r="AC63" s="51" t="s">
        <v>181</v>
      </c>
      <c r="AD63" s="51" t="s">
        <v>67</v>
      </c>
      <c r="AE63" s="51" t="s">
        <v>69</v>
      </c>
      <c r="AF63" s="51" t="s">
        <v>70</v>
      </c>
      <c r="AG63" s="51" t="s">
        <v>76</v>
      </c>
      <c r="AH63" s="53">
        <v>42405</v>
      </c>
      <c r="AI63" s="51" t="s">
        <v>64</v>
      </c>
      <c r="AJ63" s="53">
        <v>42404</v>
      </c>
      <c r="AK63" s="51" t="s">
        <v>100</v>
      </c>
      <c r="AL63" s="51">
        <v>62076572</v>
      </c>
      <c r="AM63" s="53">
        <v>42408</v>
      </c>
      <c r="AN63" s="51" t="s">
        <v>77</v>
      </c>
      <c r="AO63" s="51" t="s">
        <v>2320</v>
      </c>
    </row>
    <row r="64" spans="1:41" x14ac:dyDescent="0.2">
      <c r="A64" s="51">
        <v>10020651</v>
      </c>
      <c r="B64" s="51">
        <v>10</v>
      </c>
      <c r="C64" s="51" t="s">
        <v>26</v>
      </c>
      <c r="D64" s="51" t="s">
        <v>432</v>
      </c>
      <c r="E64" s="53">
        <v>42405</v>
      </c>
      <c r="F64" s="51">
        <v>93676609</v>
      </c>
      <c r="G64" s="51">
        <v>10</v>
      </c>
      <c r="H64" s="51">
        <v>1201367</v>
      </c>
      <c r="I64" s="51" t="s">
        <v>878</v>
      </c>
      <c r="J64" s="51">
        <v>1131720</v>
      </c>
      <c r="K64" s="51" t="s">
        <v>878</v>
      </c>
      <c r="L64" s="51">
        <v>1172009</v>
      </c>
      <c r="M64" s="51" t="s">
        <v>878</v>
      </c>
      <c r="N64" s="51">
        <v>23755</v>
      </c>
      <c r="O64" s="51">
        <v>60758061525</v>
      </c>
      <c r="P64" s="51" t="s">
        <v>2324</v>
      </c>
      <c r="Q64" s="51" t="s">
        <v>1322</v>
      </c>
      <c r="R64" s="51" t="s">
        <v>2325</v>
      </c>
      <c r="S64" s="51" t="s">
        <v>1331</v>
      </c>
      <c r="T64" s="51"/>
      <c r="U64" s="51">
        <v>120</v>
      </c>
      <c r="V64" s="51">
        <v>1</v>
      </c>
      <c r="W64" s="51" t="s">
        <v>1332</v>
      </c>
      <c r="X64" s="51">
        <v>47.9</v>
      </c>
      <c r="Y64" s="51" t="s">
        <v>182</v>
      </c>
      <c r="Z64" s="54">
        <v>5748</v>
      </c>
      <c r="AA64" s="51">
        <v>47.9</v>
      </c>
      <c r="AB64" s="51" t="s">
        <v>182</v>
      </c>
      <c r="AC64" s="51" t="s">
        <v>181</v>
      </c>
      <c r="AD64" s="51" t="s">
        <v>67</v>
      </c>
      <c r="AE64" s="51" t="s">
        <v>63</v>
      </c>
      <c r="AF64" s="51" t="s">
        <v>81</v>
      </c>
      <c r="AG64" s="51" t="s">
        <v>88</v>
      </c>
      <c r="AH64" s="53">
        <v>42419</v>
      </c>
      <c r="AI64" s="51" t="s">
        <v>64</v>
      </c>
      <c r="AJ64" s="53">
        <v>42405</v>
      </c>
      <c r="AK64" s="51"/>
      <c r="AL64" s="51"/>
      <c r="AM64" s="51"/>
      <c r="AN64" s="51" t="s">
        <v>89</v>
      </c>
      <c r="AO64" s="51" t="s">
        <v>274</v>
      </c>
    </row>
    <row r="65" spans="1:41" x14ac:dyDescent="0.2">
      <c r="A65" s="51">
        <v>10020652</v>
      </c>
      <c r="B65" s="51">
        <v>680</v>
      </c>
      <c r="C65" s="51" t="s">
        <v>26</v>
      </c>
      <c r="D65" s="51" t="s">
        <v>78</v>
      </c>
      <c r="E65" s="53">
        <v>42405</v>
      </c>
      <c r="F65" s="51">
        <v>93678263</v>
      </c>
      <c r="G65" s="51">
        <v>680</v>
      </c>
      <c r="H65" s="51">
        <v>1201315</v>
      </c>
      <c r="I65" s="51" t="s">
        <v>256</v>
      </c>
      <c r="J65" s="51">
        <v>1311189</v>
      </c>
      <c r="K65" s="51" t="s">
        <v>558</v>
      </c>
      <c r="L65" s="51">
        <v>1201315</v>
      </c>
      <c r="M65" s="51" t="s">
        <v>256</v>
      </c>
      <c r="N65" s="51">
        <v>5712243</v>
      </c>
      <c r="O65" s="51">
        <v>591081046</v>
      </c>
      <c r="P65" s="51" t="s">
        <v>2321</v>
      </c>
      <c r="Q65" s="51" t="s">
        <v>1322</v>
      </c>
      <c r="R65" s="51" t="s">
        <v>2322</v>
      </c>
      <c r="S65" s="51" t="s">
        <v>1331</v>
      </c>
      <c r="T65" s="51" t="s">
        <v>2323</v>
      </c>
      <c r="U65" s="51">
        <v>72</v>
      </c>
      <c r="V65" s="51">
        <v>6</v>
      </c>
      <c r="W65" s="51" t="s">
        <v>1332</v>
      </c>
      <c r="X65" s="51">
        <v>52.99</v>
      </c>
      <c r="Y65" s="51" t="s">
        <v>182</v>
      </c>
      <c r="Z65" s="54">
        <v>3815.28</v>
      </c>
      <c r="AA65" s="51">
        <v>317.94</v>
      </c>
      <c r="AB65" s="51" t="s">
        <v>182</v>
      </c>
      <c r="AC65" s="51" t="s">
        <v>181</v>
      </c>
      <c r="AD65" s="51" t="s">
        <v>67</v>
      </c>
      <c r="AE65" s="51" t="s">
        <v>63</v>
      </c>
      <c r="AF65" s="51" t="s">
        <v>81</v>
      </c>
      <c r="AG65" s="51" t="s">
        <v>88</v>
      </c>
      <c r="AH65" s="53">
        <v>42419</v>
      </c>
      <c r="AI65" s="51" t="s">
        <v>64</v>
      </c>
      <c r="AJ65" s="53">
        <v>42405</v>
      </c>
      <c r="AK65" s="51"/>
      <c r="AL65" s="51"/>
      <c r="AM65" s="51"/>
      <c r="AN65" s="51" t="s">
        <v>89</v>
      </c>
      <c r="AO65" s="51" t="s">
        <v>274</v>
      </c>
    </row>
    <row r="66" spans="1:41" x14ac:dyDescent="0.2">
      <c r="A66" s="51">
        <v>10020653</v>
      </c>
      <c r="B66" s="51">
        <v>1690</v>
      </c>
      <c r="C66" s="51" t="s">
        <v>18</v>
      </c>
      <c r="D66" s="51" t="s">
        <v>149</v>
      </c>
      <c r="E66" s="53">
        <v>42406</v>
      </c>
      <c r="F66" s="51">
        <v>93673474</v>
      </c>
      <c r="G66" s="51">
        <v>1690</v>
      </c>
      <c r="H66" s="51">
        <v>1201047</v>
      </c>
      <c r="I66" s="51" t="s">
        <v>79</v>
      </c>
      <c r="J66" s="51">
        <v>1030742</v>
      </c>
      <c r="K66" s="51" t="s">
        <v>80</v>
      </c>
      <c r="L66" s="51">
        <v>1171089</v>
      </c>
      <c r="M66" s="51" t="s">
        <v>75</v>
      </c>
      <c r="N66" s="51">
        <v>20939956</v>
      </c>
      <c r="O66" s="51">
        <v>52544029021</v>
      </c>
      <c r="P66" s="51" t="s">
        <v>2326</v>
      </c>
      <c r="Q66" s="51" t="s">
        <v>1344</v>
      </c>
      <c r="R66" s="51" t="s">
        <v>2327</v>
      </c>
      <c r="S66" s="51" t="s">
        <v>1331</v>
      </c>
      <c r="T66" s="51" t="s">
        <v>2328</v>
      </c>
      <c r="U66" s="51">
        <v>72</v>
      </c>
      <c r="V66" s="51">
        <v>3</v>
      </c>
      <c r="W66" s="51" t="s">
        <v>1332</v>
      </c>
      <c r="X66" s="51">
        <v>128.94999999999999</v>
      </c>
      <c r="Y66" s="51" t="s">
        <v>182</v>
      </c>
      <c r="Z66" s="54">
        <v>9284.4</v>
      </c>
      <c r="AA66" s="51">
        <v>386.85</v>
      </c>
      <c r="AB66" s="51" t="s">
        <v>182</v>
      </c>
      <c r="AC66" s="51" t="s">
        <v>181</v>
      </c>
      <c r="AD66" s="51" t="s">
        <v>67</v>
      </c>
      <c r="AE66" s="51" t="s">
        <v>69</v>
      </c>
      <c r="AF66" s="51" t="s">
        <v>70</v>
      </c>
      <c r="AG66" s="51" t="s">
        <v>76</v>
      </c>
      <c r="AH66" s="53">
        <v>42416</v>
      </c>
      <c r="AI66" s="51" t="s">
        <v>64</v>
      </c>
      <c r="AJ66" s="53">
        <v>42406</v>
      </c>
      <c r="AK66" s="51" t="s">
        <v>100</v>
      </c>
      <c r="AL66" s="51">
        <v>62086430</v>
      </c>
      <c r="AM66" s="53">
        <v>42423</v>
      </c>
      <c r="AN66" s="51" t="s">
        <v>77</v>
      </c>
      <c r="AO66" s="51" t="s">
        <v>257</v>
      </c>
    </row>
    <row r="67" spans="1:41" x14ac:dyDescent="0.2">
      <c r="A67" s="51">
        <v>10020653</v>
      </c>
      <c r="B67" s="51">
        <v>1710</v>
      </c>
      <c r="C67" s="51" t="s">
        <v>18</v>
      </c>
      <c r="D67" s="51" t="s">
        <v>149</v>
      </c>
      <c r="E67" s="53">
        <v>42406</v>
      </c>
      <c r="F67" s="51">
        <v>93673474</v>
      </c>
      <c r="G67" s="51">
        <v>1710</v>
      </c>
      <c r="H67" s="51">
        <v>1201047</v>
      </c>
      <c r="I67" s="51" t="s">
        <v>79</v>
      </c>
      <c r="J67" s="51">
        <v>1030742</v>
      </c>
      <c r="K67" s="51" t="s">
        <v>80</v>
      </c>
      <c r="L67" s="51">
        <v>1171089</v>
      </c>
      <c r="M67" s="51" t="s">
        <v>75</v>
      </c>
      <c r="N67" s="51">
        <v>20939956</v>
      </c>
      <c r="O67" s="51">
        <v>52544023328</v>
      </c>
      <c r="P67" s="51" t="s">
        <v>1422</v>
      </c>
      <c r="Q67" s="51" t="s">
        <v>1344</v>
      </c>
      <c r="R67" s="51" t="s">
        <v>1423</v>
      </c>
      <c r="S67" s="51" t="s">
        <v>1331</v>
      </c>
      <c r="T67" s="51" t="s">
        <v>2329</v>
      </c>
      <c r="U67" s="51">
        <v>72</v>
      </c>
      <c r="V67" s="51">
        <v>6</v>
      </c>
      <c r="W67" s="51" t="s">
        <v>1332</v>
      </c>
      <c r="X67" s="51">
        <v>128.94999999999999</v>
      </c>
      <c r="Y67" s="51" t="s">
        <v>182</v>
      </c>
      <c r="Z67" s="54">
        <v>9284.4</v>
      </c>
      <c r="AA67" s="51">
        <v>773.7</v>
      </c>
      <c r="AB67" s="51" t="s">
        <v>182</v>
      </c>
      <c r="AC67" s="51" t="s">
        <v>181</v>
      </c>
      <c r="AD67" s="51" t="s">
        <v>67</v>
      </c>
      <c r="AE67" s="51" t="s">
        <v>69</v>
      </c>
      <c r="AF67" s="51" t="s">
        <v>70</v>
      </c>
      <c r="AG67" s="51" t="s">
        <v>76</v>
      </c>
      <c r="AH67" s="53">
        <v>42416</v>
      </c>
      <c r="AI67" s="51" t="s">
        <v>64</v>
      </c>
      <c r="AJ67" s="53">
        <v>42406</v>
      </c>
      <c r="AK67" s="51" t="s">
        <v>100</v>
      </c>
      <c r="AL67" s="51">
        <v>62086430</v>
      </c>
      <c r="AM67" s="53">
        <v>42423</v>
      </c>
      <c r="AN67" s="51" t="s">
        <v>77</v>
      </c>
      <c r="AO67" s="51" t="s">
        <v>257</v>
      </c>
    </row>
    <row r="68" spans="1:41" x14ac:dyDescent="0.2">
      <c r="A68" s="51">
        <v>10020654</v>
      </c>
      <c r="B68" s="51">
        <v>30</v>
      </c>
      <c r="C68" s="51"/>
      <c r="D68" s="51" t="s">
        <v>149</v>
      </c>
      <c r="E68" s="53">
        <v>42406</v>
      </c>
      <c r="F68" s="51">
        <v>93668974</v>
      </c>
      <c r="G68" s="51">
        <v>30</v>
      </c>
      <c r="H68" s="51">
        <v>1201047</v>
      </c>
      <c r="I68" s="51" t="s">
        <v>79</v>
      </c>
      <c r="J68" s="51">
        <v>1341515</v>
      </c>
      <c r="K68" s="51" t="s">
        <v>85</v>
      </c>
      <c r="L68" s="51">
        <v>1171089</v>
      </c>
      <c r="M68" s="51" t="s">
        <v>75</v>
      </c>
      <c r="N68" s="51">
        <v>14105714</v>
      </c>
      <c r="O68" s="51">
        <v>228266650</v>
      </c>
      <c r="P68" s="51" t="s">
        <v>2192</v>
      </c>
      <c r="Q68" s="51" t="s">
        <v>1322</v>
      </c>
      <c r="R68" s="51" t="s">
        <v>2190</v>
      </c>
      <c r="S68" s="51" t="s">
        <v>1331</v>
      </c>
      <c r="T68" s="51"/>
      <c r="U68" s="51">
        <v>186</v>
      </c>
      <c r="V68" s="51">
        <v>6</v>
      </c>
      <c r="W68" s="51" t="s">
        <v>1332</v>
      </c>
      <c r="X68" s="51">
        <v>43.75</v>
      </c>
      <c r="Y68" s="51" t="s">
        <v>182</v>
      </c>
      <c r="Z68" s="54">
        <v>8137.5</v>
      </c>
      <c r="AA68" s="51">
        <v>262.5</v>
      </c>
      <c r="AB68" s="51" t="s">
        <v>182</v>
      </c>
      <c r="AC68" s="51" t="s">
        <v>181</v>
      </c>
      <c r="AD68" s="51" t="s">
        <v>67</v>
      </c>
      <c r="AE68" s="51" t="s">
        <v>120</v>
      </c>
      <c r="AF68" s="51"/>
      <c r="AG68" s="51"/>
      <c r="AH68" s="51"/>
      <c r="AI68" s="51"/>
      <c r="AJ68" s="51"/>
      <c r="AK68" s="51"/>
      <c r="AL68" s="51"/>
      <c r="AM68" s="51"/>
      <c r="AN68" s="51"/>
      <c r="AO68" s="51"/>
    </row>
    <row r="69" spans="1:41" x14ac:dyDescent="0.2">
      <c r="A69" s="51">
        <v>10020655</v>
      </c>
      <c r="B69" s="51">
        <v>230</v>
      </c>
      <c r="C69" s="51" t="s">
        <v>22</v>
      </c>
      <c r="D69" s="51" t="s">
        <v>149</v>
      </c>
      <c r="E69" s="53">
        <v>42406</v>
      </c>
      <c r="F69" s="51">
        <v>93672442</v>
      </c>
      <c r="G69" s="51">
        <v>230</v>
      </c>
      <c r="H69" s="51">
        <v>1318826</v>
      </c>
      <c r="I69" s="51" t="s">
        <v>110</v>
      </c>
      <c r="J69" s="51">
        <v>1334311</v>
      </c>
      <c r="K69" s="51" t="s">
        <v>113</v>
      </c>
      <c r="L69" s="51">
        <v>1318826</v>
      </c>
      <c r="M69" s="51" t="s">
        <v>110</v>
      </c>
      <c r="N69" s="51">
        <v>2055273</v>
      </c>
      <c r="O69" s="51">
        <v>591217019</v>
      </c>
      <c r="P69" s="51" t="s">
        <v>2330</v>
      </c>
      <c r="Q69" s="51" t="s">
        <v>1322</v>
      </c>
      <c r="R69" s="51" t="s">
        <v>2331</v>
      </c>
      <c r="S69" s="51" t="s">
        <v>1331</v>
      </c>
      <c r="T69" s="51"/>
      <c r="U69" s="51">
        <v>3621</v>
      </c>
      <c r="V69" s="51">
        <v>384</v>
      </c>
      <c r="W69" s="51" t="s">
        <v>1332</v>
      </c>
      <c r="X69" s="51">
        <v>10.17</v>
      </c>
      <c r="Y69" s="51" t="s">
        <v>182</v>
      </c>
      <c r="Z69" s="54">
        <v>36825.57</v>
      </c>
      <c r="AA69" s="54">
        <v>3905.28</v>
      </c>
      <c r="AB69" s="51" t="s">
        <v>182</v>
      </c>
      <c r="AC69" s="51" t="s">
        <v>181</v>
      </c>
      <c r="AD69" s="51" t="s">
        <v>67</v>
      </c>
      <c r="AE69" s="51" t="s">
        <v>63</v>
      </c>
      <c r="AF69" s="51" t="s">
        <v>94</v>
      </c>
      <c r="AG69" s="51" t="s">
        <v>95</v>
      </c>
      <c r="AH69" s="53">
        <v>42410</v>
      </c>
      <c r="AI69" s="51" t="s">
        <v>64</v>
      </c>
      <c r="AJ69" s="53">
        <v>42406</v>
      </c>
      <c r="AK69" s="51"/>
      <c r="AL69" s="51"/>
      <c r="AM69" s="51"/>
      <c r="AN69" s="51" t="s">
        <v>142</v>
      </c>
      <c r="AO69" s="51" t="s">
        <v>2332</v>
      </c>
    </row>
    <row r="70" spans="1:41" x14ac:dyDescent="0.2">
      <c r="A70" s="51">
        <v>10020656</v>
      </c>
      <c r="B70" s="51">
        <v>2160</v>
      </c>
      <c r="C70" s="51" t="s">
        <v>26</v>
      </c>
      <c r="D70" s="51" t="s">
        <v>149</v>
      </c>
      <c r="E70" s="53">
        <v>42406</v>
      </c>
      <c r="F70" s="51">
        <v>93661747</v>
      </c>
      <c r="G70" s="51">
        <v>2160</v>
      </c>
      <c r="H70" s="51">
        <v>1201047</v>
      </c>
      <c r="I70" s="51" t="s">
        <v>79</v>
      </c>
      <c r="J70" s="51">
        <v>1317086</v>
      </c>
      <c r="K70" s="51" t="s">
        <v>85</v>
      </c>
      <c r="L70" s="51">
        <v>1171089</v>
      </c>
      <c r="M70" s="51" t="s">
        <v>75</v>
      </c>
      <c r="N70" s="51">
        <v>23621845</v>
      </c>
      <c r="O70" s="51">
        <v>62037086220</v>
      </c>
      <c r="P70" s="51" t="s">
        <v>1361</v>
      </c>
      <c r="Q70" s="51" t="s">
        <v>1322</v>
      </c>
      <c r="R70" s="51" t="s">
        <v>1944</v>
      </c>
      <c r="S70" s="51" t="s">
        <v>1331</v>
      </c>
      <c r="T70" s="51"/>
      <c r="U70" s="51">
        <v>305</v>
      </c>
      <c r="V70" s="51">
        <v>225</v>
      </c>
      <c r="W70" s="51" t="s">
        <v>1332</v>
      </c>
      <c r="X70" s="51">
        <v>440</v>
      </c>
      <c r="Y70" s="51" t="s">
        <v>182</v>
      </c>
      <c r="Z70" s="54">
        <v>134200</v>
      </c>
      <c r="AA70" s="54">
        <v>99000</v>
      </c>
      <c r="AB70" s="51" t="s">
        <v>182</v>
      </c>
      <c r="AC70" s="51" t="s">
        <v>181</v>
      </c>
      <c r="AD70" s="51" t="s">
        <v>168</v>
      </c>
      <c r="AE70" s="51" t="s">
        <v>63</v>
      </c>
      <c r="AF70" s="51" t="s">
        <v>94</v>
      </c>
      <c r="AG70" s="51" t="s">
        <v>71</v>
      </c>
      <c r="AH70" s="53">
        <v>42411</v>
      </c>
      <c r="AI70" s="51" t="s">
        <v>2022</v>
      </c>
      <c r="AJ70" s="53">
        <v>42430</v>
      </c>
      <c r="AK70" s="51"/>
      <c r="AL70" s="51"/>
      <c r="AM70" s="51"/>
      <c r="AN70" s="51" t="s">
        <v>96</v>
      </c>
      <c r="AO70" s="51" t="s">
        <v>2333</v>
      </c>
    </row>
    <row r="71" spans="1:41" x14ac:dyDescent="0.2">
      <c r="A71" s="51">
        <v>10020656</v>
      </c>
      <c r="B71" s="51">
        <v>2580</v>
      </c>
      <c r="C71" s="51" t="s">
        <v>26</v>
      </c>
      <c r="D71" s="51" t="s">
        <v>149</v>
      </c>
      <c r="E71" s="53">
        <v>42406</v>
      </c>
      <c r="F71" s="51">
        <v>93661747</v>
      </c>
      <c r="G71" s="51">
        <v>2580</v>
      </c>
      <c r="H71" s="51">
        <v>1201047</v>
      </c>
      <c r="I71" s="51" t="s">
        <v>79</v>
      </c>
      <c r="J71" s="51">
        <v>1317086</v>
      </c>
      <c r="K71" s="51" t="s">
        <v>85</v>
      </c>
      <c r="L71" s="51">
        <v>1171089</v>
      </c>
      <c r="M71" s="51" t="s">
        <v>75</v>
      </c>
      <c r="N71" s="51">
        <v>23621845</v>
      </c>
      <c r="O71" s="51">
        <v>472080460</v>
      </c>
      <c r="P71" s="51" t="s">
        <v>1745</v>
      </c>
      <c r="Q71" s="51" t="s">
        <v>1322</v>
      </c>
      <c r="R71" s="51" t="s">
        <v>2334</v>
      </c>
      <c r="S71" s="51" t="s">
        <v>1331</v>
      </c>
      <c r="T71" s="51" t="s">
        <v>2335</v>
      </c>
      <c r="U71" s="51">
        <v>120</v>
      </c>
      <c r="V71" s="51">
        <v>12</v>
      </c>
      <c r="W71" s="51" t="s">
        <v>1332</v>
      </c>
      <c r="X71" s="51">
        <v>256.91000000000003</v>
      </c>
      <c r="Y71" s="51" t="s">
        <v>182</v>
      </c>
      <c r="Z71" s="54">
        <v>30829.200000000001</v>
      </c>
      <c r="AA71" s="54">
        <v>3082.92</v>
      </c>
      <c r="AB71" s="51" t="s">
        <v>182</v>
      </c>
      <c r="AC71" s="51" t="s">
        <v>181</v>
      </c>
      <c r="AD71" s="51" t="s">
        <v>168</v>
      </c>
      <c r="AE71" s="51" t="s">
        <v>63</v>
      </c>
      <c r="AF71" s="51" t="s">
        <v>94</v>
      </c>
      <c r="AG71" s="51" t="s">
        <v>71</v>
      </c>
      <c r="AH71" s="53">
        <v>42411</v>
      </c>
      <c r="AI71" s="51" t="s">
        <v>2022</v>
      </c>
      <c r="AJ71" s="53">
        <v>42430</v>
      </c>
      <c r="AK71" s="51"/>
      <c r="AL71" s="51"/>
      <c r="AM71" s="51"/>
      <c r="AN71" s="51" t="s">
        <v>96</v>
      </c>
      <c r="AO71" s="51" t="s">
        <v>2333</v>
      </c>
    </row>
    <row r="72" spans="1:41" x14ac:dyDescent="0.2">
      <c r="A72" s="51">
        <v>10020657</v>
      </c>
      <c r="B72" s="51">
        <v>2190</v>
      </c>
      <c r="C72" s="51" t="s">
        <v>26</v>
      </c>
      <c r="D72" s="51" t="s">
        <v>149</v>
      </c>
      <c r="E72" s="53">
        <v>42406</v>
      </c>
      <c r="F72" s="51">
        <v>93661757</v>
      </c>
      <c r="G72" s="51">
        <v>2190</v>
      </c>
      <c r="H72" s="51">
        <v>1201047</v>
      </c>
      <c r="I72" s="51" t="s">
        <v>79</v>
      </c>
      <c r="J72" s="51">
        <v>1317086</v>
      </c>
      <c r="K72" s="51" t="s">
        <v>85</v>
      </c>
      <c r="L72" s="51">
        <v>1171089</v>
      </c>
      <c r="M72" s="51" t="s">
        <v>75</v>
      </c>
      <c r="N72" s="51">
        <v>23621845</v>
      </c>
      <c r="O72" s="51">
        <v>62037086620</v>
      </c>
      <c r="P72" s="51" t="s">
        <v>1946</v>
      </c>
      <c r="Q72" s="51" t="s">
        <v>1322</v>
      </c>
      <c r="R72" s="51" t="s">
        <v>1944</v>
      </c>
      <c r="S72" s="51" t="s">
        <v>1331</v>
      </c>
      <c r="T72" s="51" t="s">
        <v>2208</v>
      </c>
      <c r="U72" s="51">
        <v>55</v>
      </c>
      <c r="V72" s="51">
        <v>5</v>
      </c>
      <c r="W72" s="51" t="s">
        <v>1332</v>
      </c>
      <c r="X72" s="51">
        <v>825</v>
      </c>
      <c r="Y72" s="51" t="s">
        <v>182</v>
      </c>
      <c r="Z72" s="54">
        <v>45375</v>
      </c>
      <c r="AA72" s="54">
        <v>4125</v>
      </c>
      <c r="AB72" s="51" t="s">
        <v>182</v>
      </c>
      <c r="AC72" s="51" t="s">
        <v>181</v>
      </c>
      <c r="AD72" s="51" t="s">
        <v>91</v>
      </c>
      <c r="AE72" s="51" t="s">
        <v>63</v>
      </c>
      <c r="AF72" s="51" t="s">
        <v>81</v>
      </c>
      <c r="AG72" s="51" t="s">
        <v>88</v>
      </c>
      <c r="AH72" s="53">
        <v>42419</v>
      </c>
      <c r="AI72" s="51" t="s">
        <v>64</v>
      </c>
      <c r="AJ72" s="53">
        <v>42406</v>
      </c>
      <c r="AK72" s="51"/>
      <c r="AL72" s="51"/>
      <c r="AM72" s="51"/>
      <c r="AN72" s="51" t="s">
        <v>89</v>
      </c>
      <c r="AO72" s="51" t="s">
        <v>274</v>
      </c>
    </row>
    <row r="73" spans="1:41" x14ac:dyDescent="0.2">
      <c r="A73" s="51">
        <v>10020658</v>
      </c>
      <c r="B73" s="51">
        <v>1340</v>
      </c>
      <c r="C73" s="51" t="s">
        <v>26</v>
      </c>
      <c r="D73" s="51" t="s">
        <v>149</v>
      </c>
      <c r="E73" s="53">
        <v>42406</v>
      </c>
      <c r="F73" s="51">
        <v>93661755</v>
      </c>
      <c r="G73" s="51">
        <v>1340</v>
      </c>
      <c r="H73" s="51">
        <v>1201047</v>
      </c>
      <c r="I73" s="51" t="s">
        <v>79</v>
      </c>
      <c r="J73" s="51">
        <v>1317086</v>
      </c>
      <c r="K73" s="51" t="s">
        <v>85</v>
      </c>
      <c r="L73" s="51">
        <v>1171089</v>
      </c>
      <c r="M73" s="51" t="s">
        <v>75</v>
      </c>
      <c r="N73" s="51">
        <v>23621845</v>
      </c>
      <c r="O73" s="51">
        <v>16252057101</v>
      </c>
      <c r="P73" s="51" t="s">
        <v>2336</v>
      </c>
      <c r="Q73" s="51" t="s">
        <v>1322</v>
      </c>
      <c r="R73" s="51" t="s">
        <v>2337</v>
      </c>
      <c r="S73" s="51" t="s">
        <v>1331</v>
      </c>
      <c r="T73" s="51" t="s">
        <v>2338</v>
      </c>
      <c r="U73" s="51">
        <v>384</v>
      </c>
      <c r="V73" s="51">
        <v>48</v>
      </c>
      <c r="W73" s="51" t="s">
        <v>1332</v>
      </c>
      <c r="X73" s="51">
        <v>32.700000000000003</v>
      </c>
      <c r="Y73" s="51" t="s">
        <v>182</v>
      </c>
      <c r="Z73" s="54">
        <v>12556.8</v>
      </c>
      <c r="AA73" s="54">
        <v>1569.6</v>
      </c>
      <c r="AB73" s="51" t="s">
        <v>182</v>
      </c>
      <c r="AC73" s="51" t="s">
        <v>181</v>
      </c>
      <c r="AD73" s="51" t="s">
        <v>91</v>
      </c>
      <c r="AE73" s="51" t="s">
        <v>63</v>
      </c>
      <c r="AF73" s="51" t="s">
        <v>81</v>
      </c>
      <c r="AG73" s="51" t="s">
        <v>88</v>
      </c>
      <c r="AH73" s="53">
        <v>42419</v>
      </c>
      <c r="AI73" s="51" t="s">
        <v>64</v>
      </c>
      <c r="AJ73" s="53">
        <v>42406</v>
      </c>
      <c r="AK73" s="51"/>
      <c r="AL73" s="51"/>
      <c r="AM73" s="51"/>
      <c r="AN73" s="51" t="s">
        <v>89</v>
      </c>
      <c r="AO73" s="51" t="s">
        <v>274</v>
      </c>
    </row>
    <row r="74" spans="1:41" x14ac:dyDescent="0.2">
      <c r="A74" s="51">
        <v>10020659</v>
      </c>
      <c r="B74" s="51">
        <v>2060</v>
      </c>
      <c r="C74" s="51" t="s">
        <v>26</v>
      </c>
      <c r="D74" s="51" t="s">
        <v>149</v>
      </c>
      <c r="E74" s="53">
        <v>42406</v>
      </c>
      <c r="F74" s="51">
        <v>93669002</v>
      </c>
      <c r="G74" s="51">
        <v>2060</v>
      </c>
      <c r="H74" s="51">
        <v>1201047</v>
      </c>
      <c r="I74" s="51" t="s">
        <v>79</v>
      </c>
      <c r="J74" s="51">
        <v>1317086</v>
      </c>
      <c r="K74" s="51" t="s">
        <v>85</v>
      </c>
      <c r="L74" s="51">
        <v>1171089</v>
      </c>
      <c r="M74" s="51" t="s">
        <v>75</v>
      </c>
      <c r="N74" s="51">
        <v>23622624</v>
      </c>
      <c r="O74" s="51">
        <v>62037084920</v>
      </c>
      <c r="P74" s="51" t="s">
        <v>1616</v>
      </c>
      <c r="Q74" s="51" t="s">
        <v>1322</v>
      </c>
      <c r="R74" s="51" t="s">
        <v>1944</v>
      </c>
      <c r="S74" s="51" t="s">
        <v>1331</v>
      </c>
      <c r="T74" s="51"/>
      <c r="U74" s="51">
        <v>325</v>
      </c>
      <c r="V74" s="51">
        <v>35</v>
      </c>
      <c r="W74" s="51" t="s">
        <v>1332</v>
      </c>
      <c r="X74" s="51">
        <v>220</v>
      </c>
      <c r="Y74" s="51" t="s">
        <v>182</v>
      </c>
      <c r="Z74" s="54">
        <v>71500</v>
      </c>
      <c r="AA74" s="54">
        <v>7700</v>
      </c>
      <c r="AB74" s="51" t="s">
        <v>182</v>
      </c>
      <c r="AC74" s="51" t="s">
        <v>181</v>
      </c>
      <c r="AD74" s="51" t="s">
        <v>91</v>
      </c>
      <c r="AE74" s="51" t="s">
        <v>63</v>
      </c>
      <c r="AF74" s="51" t="s">
        <v>94</v>
      </c>
      <c r="AG74" s="51" t="s">
        <v>95</v>
      </c>
      <c r="AH74" s="53">
        <v>42418</v>
      </c>
      <c r="AI74" s="51" t="s">
        <v>64</v>
      </c>
      <c r="AJ74" s="53">
        <v>42406</v>
      </c>
      <c r="AK74" s="51"/>
      <c r="AL74" s="51"/>
      <c r="AM74" s="51"/>
      <c r="AN74" s="51" t="s">
        <v>96</v>
      </c>
      <c r="AO74" s="51" t="s">
        <v>2339</v>
      </c>
    </row>
    <row r="75" spans="1:41" x14ac:dyDescent="0.2">
      <c r="A75" s="51">
        <v>10020660</v>
      </c>
      <c r="B75" s="51">
        <v>100</v>
      </c>
      <c r="C75" s="51" t="s">
        <v>18</v>
      </c>
      <c r="D75" s="51" t="s">
        <v>78</v>
      </c>
      <c r="E75" s="53">
        <v>42408</v>
      </c>
      <c r="F75" s="51">
        <v>93680340</v>
      </c>
      <c r="G75" s="51">
        <v>100</v>
      </c>
      <c r="H75" s="51">
        <v>1201120</v>
      </c>
      <c r="I75" s="51" t="s">
        <v>117</v>
      </c>
      <c r="J75" s="51">
        <v>1307782</v>
      </c>
      <c r="K75" s="51" t="s">
        <v>119</v>
      </c>
      <c r="L75" s="51">
        <v>1171090</v>
      </c>
      <c r="M75" s="51" t="s">
        <v>118</v>
      </c>
      <c r="N75" s="51" t="s">
        <v>2340</v>
      </c>
      <c r="O75" s="51">
        <v>591381760</v>
      </c>
      <c r="P75" s="51" t="s">
        <v>1357</v>
      </c>
      <c r="Q75" s="51" t="s">
        <v>1322</v>
      </c>
      <c r="R75" s="51" t="s">
        <v>1358</v>
      </c>
      <c r="S75" s="51" t="s">
        <v>1331</v>
      </c>
      <c r="T75" s="51"/>
      <c r="U75" s="51">
        <v>4682</v>
      </c>
      <c r="V75" s="51">
        <v>216</v>
      </c>
      <c r="W75" s="51" t="s">
        <v>1332</v>
      </c>
      <c r="X75" s="51">
        <v>24</v>
      </c>
      <c r="Y75" s="51" t="s">
        <v>182</v>
      </c>
      <c r="Z75" s="54">
        <v>112368</v>
      </c>
      <c r="AA75" s="54">
        <v>5184</v>
      </c>
      <c r="AB75" s="51" t="s">
        <v>182</v>
      </c>
      <c r="AC75" s="51" t="s">
        <v>181</v>
      </c>
      <c r="AD75" s="51" t="s">
        <v>123</v>
      </c>
      <c r="AE75" s="51" t="s">
        <v>69</v>
      </c>
      <c r="AF75" s="51" t="s">
        <v>70</v>
      </c>
      <c r="AG75" s="51" t="s">
        <v>71</v>
      </c>
      <c r="AH75" s="53">
        <v>42419</v>
      </c>
      <c r="AI75" s="51" t="s">
        <v>64</v>
      </c>
      <c r="AJ75" s="53">
        <v>42408</v>
      </c>
      <c r="AK75" s="51" t="s">
        <v>72</v>
      </c>
      <c r="AL75" s="51">
        <v>62085593</v>
      </c>
      <c r="AM75" s="53">
        <v>42422</v>
      </c>
      <c r="AN75" s="51" t="s">
        <v>73</v>
      </c>
      <c r="AO75" s="51" t="s">
        <v>2341</v>
      </c>
    </row>
    <row r="76" spans="1:41" x14ac:dyDescent="0.2">
      <c r="A76" s="51">
        <v>10020660</v>
      </c>
      <c r="B76" s="51">
        <v>110</v>
      </c>
      <c r="C76" s="51" t="s">
        <v>18</v>
      </c>
      <c r="D76" s="51" t="s">
        <v>78</v>
      </c>
      <c r="E76" s="53">
        <v>42408</v>
      </c>
      <c r="F76" s="51">
        <v>93680340</v>
      </c>
      <c r="G76" s="51">
        <v>110</v>
      </c>
      <c r="H76" s="51">
        <v>1201120</v>
      </c>
      <c r="I76" s="51" t="s">
        <v>117</v>
      </c>
      <c r="J76" s="51">
        <v>1307782</v>
      </c>
      <c r="K76" s="51" t="s">
        <v>119</v>
      </c>
      <c r="L76" s="51">
        <v>1171090</v>
      </c>
      <c r="M76" s="51" t="s">
        <v>118</v>
      </c>
      <c r="N76" s="51" t="s">
        <v>2340</v>
      </c>
      <c r="O76" s="51">
        <v>591381730</v>
      </c>
      <c r="P76" s="51" t="s">
        <v>1373</v>
      </c>
      <c r="Q76" s="51" t="s">
        <v>1322</v>
      </c>
      <c r="R76" s="51" t="s">
        <v>1358</v>
      </c>
      <c r="S76" s="51" t="s">
        <v>1331</v>
      </c>
      <c r="T76" s="51"/>
      <c r="U76" s="51">
        <v>16320</v>
      </c>
      <c r="V76" s="51">
        <v>288</v>
      </c>
      <c r="W76" s="51" t="s">
        <v>1332</v>
      </c>
      <c r="X76" s="51">
        <v>12</v>
      </c>
      <c r="Y76" s="51" t="s">
        <v>182</v>
      </c>
      <c r="Z76" s="54">
        <v>195840</v>
      </c>
      <c r="AA76" s="54">
        <v>3456</v>
      </c>
      <c r="AB76" s="51" t="s">
        <v>182</v>
      </c>
      <c r="AC76" s="51" t="s">
        <v>181</v>
      </c>
      <c r="AD76" s="51" t="s">
        <v>123</v>
      </c>
      <c r="AE76" s="51" t="s">
        <v>69</v>
      </c>
      <c r="AF76" s="51" t="s">
        <v>70</v>
      </c>
      <c r="AG76" s="51" t="s">
        <v>71</v>
      </c>
      <c r="AH76" s="53">
        <v>42419</v>
      </c>
      <c r="AI76" s="51" t="s">
        <v>64</v>
      </c>
      <c r="AJ76" s="53">
        <v>42408</v>
      </c>
      <c r="AK76" s="51" t="s">
        <v>72</v>
      </c>
      <c r="AL76" s="51">
        <v>62085593</v>
      </c>
      <c r="AM76" s="53">
        <v>42422</v>
      </c>
      <c r="AN76" s="51" t="s">
        <v>73</v>
      </c>
      <c r="AO76" s="51" t="s">
        <v>2341</v>
      </c>
    </row>
    <row r="77" spans="1:41" x14ac:dyDescent="0.2">
      <c r="A77" s="51">
        <v>10020660</v>
      </c>
      <c r="B77" s="51">
        <v>1590</v>
      </c>
      <c r="C77" s="51" t="s">
        <v>18</v>
      </c>
      <c r="D77" s="51" t="s">
        <v>78</v>
      </c>
      <c r="E77" s="53">
        <v>42408</v>
      </c>
      <c r="F77" s="51">
        <v>93680340</v>
      </c>
      <c r="G77" s="51">
        <v>1590</v>
      </c>
      <c r="H77" s="51">
        <v>1201120</v>
      </c>
      <c r="I77" s="51" t="s">
        <v>117</v>
      </c>
      <c r="J77" s="51">
        <v>1307782</v>
      </c>
      <c r="K77" s="51" t="s">
        <v>119</v>
      </c>
      <c r="L77" s="51">
        <v>1171090</v>
      </c>
      <c r="M77" s="51" t="s">
        <v>118</v>
      </c>
      <c r="N77" s="51" t="s">
        <v>2340</v>
      </c>
      <c r="O77" s="51">
        <v>591379830</v>
      </c>
      <c r="P77" s="51" t="s">
        <v>2259</v>
      </c>
      <c r="Q77" s="51" t="s">
        <v>1322</v>
      </c>
      <c r="R77" s="51" t="s">
        <v>1581</v>
      </c>
      <c r="S77" s="51" t="s">
        <v>1331</v>
      </c>
      <c r="T77" s="51"/>
      <c r="U77" s="51">
        <v>3072</v>
      </c>
      <c r="V77" s="51">
        <v>120</v>
      </c>
      <c r="W77" s="51" t="s">
        <v>1332</v>
      </c>
      <c r="X77" s="51">
        <v>4.5</v>
      </c>
      <c r="Y77" s="51" t="s">
        <v>182</v>
      </c>
      <c r="Z77" s="54">
        <v>13824</v>
      </c>
      <c r="AA77" s="51">
        <v>540</v>
      </c>
      <c r="AB77" s="51" t="s">
        <v>182</v>
      </c>
      <c r="AC77" s="51" t="s">
        <v>181</v>
      </c>
      <c r="AD77" s="51" t="s">
        <v>123</v>
      </c>
      <c r="AE77" s="51" t="s">
        <v>69</v>
      </c>
      <c r="AF77" s="51" t="s">
        <v>70</v>
      </c>
      <c r="AG77" s="51" t="s">
        <v>71</v>
      </c>
      <c r="AH77" s="53">
        <v>42419</v>
      </c>
      <c r="AI77" s="51" t="s">
        <v>64</v>
      </c>
      <c r="AJ77" s="53">
        <v>42408</v>
      </c>
      <c r="AK77" s="51" t="s">
        <v>72</v>
      </c>
      <c r="AL77" s="51">
        <v>62085593</v>
      </c>
      <c r="AM77" s="53">
        <v>42422</v>
      </c>
      <c r="AN77" s="51" t="s">
        <v>73</v>
      </c>
      <c r="AO77" s="51" t="s">
        <v>2341</v>
      </c>
    </row>
    <row r="78" spans="1:41" x14ac:dyDescent="0.2">
      <c r="A78" s="51">
        <v>10020660</v>
      </c>
      <c r="B78" s="51">
        <v>1600</v>
      </c>
      <c r="C78" s="51" t="s">
        <v>18</v>
      </c>
      <c r="D78" s="51" t="s">
        <v>78</v>
      </c>
      <c r="E78" s="53">
        <v>42408</v>
      </c>
      <c r="F78" s="51">
        <v>93680340</v>
      </c>
      <c r="G78" s="51">
        <v>1600</v>
      </c>
      <c r="H78" s="51">
        <v>1201120</v>
      </c>
      <c r="I78" s="51" t="s">
        <v>117</v>
      </c>
      <c r="J78" s="51">
        <v>1307782</v>
      </c>
      <c r="K78" s="51" t="s">
        <v>119</v>
      </c>
      <c r="L78" s="51">
        <v>1171090</v>
      </c>
      <c r="M78" s="51" t="s">
        <v>118</v>
      </c>
      <c r="N78" s="51" t="s">
        <v>2340</v>
      </c>
      <c r="O78" s="51">
        <v>591379883</v>
      </c>
      <c r="P78" s="51" t="s">
        <v>1848</v>
      </c>
      <c r="Q78" s="51" t="s">
        <v>1322</v>
      </c>
      <c r="R78" s="51" t="s">
        <v>1581</v>
      </c>
      <c r="S78" s="51" t="s">
        <v>1331</v>
      </c>
      <c r="T78" s="51"/>
      <c r="U78" s="51">
        <v>4608</v>
      </c>
      <c r="V78" s="51">
        <v>144</v>
      </c>
      <c r="W78" s="51" t="s">
        <v>1332</v>
      </c>
      <c r="X78" s="51">
        <v>3.75</v>
      </c>
      <c r="Y78" s="51" t="s">
        <v>182</v>
      </c>
      <c r="Z78" s="54">
        <v>17280</v>
      </c>
      <c r="AA78" s="51">
        <v>540</v>
      </c>
      <c r="AB78" s="51" t="s">
        <v>182</v>
      </c>
      <c r="AC78" s="51" t="s">
        <v>181</v>
      </c>
      <c r="AD78" s="51" t="s">
        <v>123</v>
      </c>
      <c r="AE78" s="51" t="s">
        <v>69</v>
      </c>
      <c r="AF78" s="51" t="s">
        <v>70</v>
      </c>
      <c r="AG78" s="51" t="s">
        <v>71</v>
      </c>
      <c r="AH78" s="53">
        <v>42419</v>
      </c>
      <c r="AI78" s="51" t="s">
        <v>64</v>
      </c>
      <c r="AJ78" s="53">
        <v>42408</v>
      </c>
      <c r="AK78" s="51" t="s">
        <v>72</v>
      </c>
      <c r="AL78" s="51">
        <v>62085593</v>
      </c>
      <c r="AM78" s="53">
        <v>42422</v>
      </c>
      <c r="AN78" s="51" t="s">
        <v>73</v>
      </c>
      <c r="AO78" s="51" t="s">
        <v>2341</v>
      </c>
    </row>
    <row r="79" spans="1:41" x14ac:dyDescent="0.2">
      <c r="A79" s="51">
        <v>10020661</v>
      </c>
      <c r="B79" s="51">
        <v>1580</v>
      </c>
      <c r="C79" s="51" t="s">
        <v>18</v>
      </c>
      <c r="D79" s="51" t="s">
        <v>78</v>
      </c>
      <c r="E79" s="53">
        <v>42408</v>
      </c>
      <c r="F79" s="51">
        <v>93680341</v>
      </c>
      <c r="G79" s="51">
        <v>1580</v>
      </c>
      <c r="H79" s="51">
        <v>1201120</v>
      </c>
      <c r="I79" s="51" t="s">
        <v>117</v>
      </c>
      <c r="J79" s="51">
        <v>1307782</v>
      </c>
      <c r="K79" s="51" t="s">
        <v>119</v>
      </c>
      <c r="L79" s="51">
        <v>1171090</v>
      </c>
      <c r="M79" s="51" t="s">
        <v>118</v>
      </c>
      <c r="N79" s="51" t="s">
        <v>2340</v>
      </c>
      <c r="O79" s="51">
        <v>591379860</v>
      </c>
      <c r="P79" s="51" t="s">
        <v>1580</v>
      </c>
      <c r="Q79" s="51" t="s">
        <v>1322</v>
      </c>
      <c r="R79" s="51" t="s">
        <v>1581</v>
      </c>
      <c r="S79" s="51" t="s">
        <v>1331</v>
      </c>
      <c r="T79" s="51" t="s">
        <v>2342</v>
      </c>
      <c r="U79" s="51">
        <v>768</v>
      </c>
      <c r="V79" s="51">
        <v>12</v>
      </c>
      <c r="W79" s="51" t="s">
        <v>1332</v>
      </c>
      <c r="X79" s="51">
        <v>9</v>
      </c>
      <c r="Y79" s="51" t="s">
        <v>182</v>
      </c>
      <c r="Z79" s="54">
        <v>6912</v>
      </c>
      <c r="AA79" s="51">
        <v>108</v>
      </c>
      <c r="AB79" s="51" t="s">
        <v>182</v>
      </c>
      <c r="AC79" s="51" t="s">
        <v>181</v>
      </c>
      <c r="AD79" s="51" t="s">
        <v>91</v>
      </c>
      <c r="AE79" s="51" t="s">
        <v>69</v>
      </c>
      <c r="AF79" s="51" t="s">
        <v>70</v>
      </c>
      <c r="AG79" s="51" t="s">
        <v>71</v>
      </c>
      <c r="AH79" s="53">
        <v>42419</v>
      </c>
      <c r="AI79" s="51" t="s">
        <v>64</v>
      </c>
      <c r="AJ79" s="53">
        <v>42408</v>
      </c>
      <c r="AK79" s="51" t="s">
        <v>72</v>
      </c>
      <c r="AL79" s="51">
        <v>62085589</v>
      </c>
      <c r="AM79" s="53">
        <v>42422</v>
      </c>
      <c r="AN79" s="51" t="s">
        <v>73</v>
      </c>
      <c r="AO79" s="51" t="s">
        <v>302</v>
      </c>
    </row>
    <row r="80" spans="1:41" x14ac:dyDescent="0.2">
      <c r="A80" s="51">
        <v>10020662</v>
      </c>
      <c r="B80" s="51">
        <v>10</v>
      </c>
      <c r="C80" s="51" t="s">
        <v>18</v>
      </c>
      <c r="D80" s="51" t="s">
        <v>78</v>
      </c>
      <c r="E80" s="53">
        <v>42408</v>
      </c>
      <c r="F80" s="51">
        <v>93672013</v>
      </c>
      <c r="G80" s="51">
        <v>10</v>
      </c>
      <c r="H80" s="51">
        <v>1022013</v>
      </c>
      <c r="I80" s="51" t="s">
        <v>114</v>
      </c>
      <c r="J80" s="51">
        <v>1335507</v>
      </c>
      <c r="K80" s="51" t="s">
        <v>114</v>
      </c>
      <c r="L80" s="51">
        <v>1022013</v>
      </c>
      <c r="M80" s="51" t="s">
        <v>114</v>
      </c>
      <c r="N80" s="51">
        <v>77682</v>
      </c>
      <c r="O80" s="51">
        <v>591379760</v>
      </c>
      <c r="P80" s="51" t="s">
        <v>1411</v>
      </c>
      <c r="Q80" s="51" t="s">
        <v>1322</v>
      </c>
      <c r="R80" s="51" t="s">
        <v>1412</v>
      </c>
      <c r="S80" s="51" t="s">
        <v>1331</v>
      </c>
      <c r="T80" s="51"/>
      <c r="U80" s="51">
        <v>1992</v>
      </c>
      <c r="V80" s="51">
        <v>6</v>
      </c>
      <c r="W80" s="51" t="s">
        <v>1332</v>
      </c>
      <c r="X80" s="51">
        <v>5.07</v>
      </c>
      <c r="Y80" s="51" t="s">
        <v>182</v>
      </c>
      <c r="Z80" s="54">
        <v>10099.44</v>
      </c>
      <c r="AA80" s="51">
        <v>30.42</v>
      </c>
      <c r="AB80" s="51" t="s">
        <v>182</v>
      </c>
      <c r="AC80" s="51" t="s">
        <v>181</v>
      </c>
      <c r="AD80" s="51" t="s">
        <v>91</v>
      </c>
      <c r="AE80" s="51" t="s">
        <v>69</v>
      </c>
      <c r="AF80" s="51" t="s">
        <v>70</v>
      </c>
      <c r="AG80" s="51" t="s">
        <v>76</v>
      </c>
      <c r="AH80" s="53">
        <v>42416</v>
      </c>
      <c r="AI80" s="51" t="s">
        <v>64</v>
      </c>
      <c r="AJ80" s="53">
        <v>42408</v>
      </c>
      <c r="AK80" s="51" t="s">
        <v>100</v>
      </c>
      <c r="AL80" s="51">
        <v>62086918</v>
      </c>
      <c r="AM80" s="53">
        <v>42424</v>
      </c>
      <c r="AN80" s="51" t="s">
        <v>77</v>
      </c>
      <c r="AO80" s="51" t="s">
        <v>386</v>
      </c>
    </row>
    <row r="81" spans="1:41" x14ac:dyDescent="0.2">
      <c r="A81" s="51">
        <v>10020663</v>
      </c>
      <c r="B81" s="51">
        <v>220</v>
      </c>
      <c r="C81" s="51" t="s">
        <v>26</v>
      </c>
      <c r="D81" s="51" t="s">
        <v>78</v>
      </c>
      <c r="E81" s="53">
        <v>42408</v>
      </c>
      <c r="F81" s="51">
        <v>93672266</v>
      </c>
      <c r="G81" s="51">
        <v>220</v>
      </c>
      <c r="H81" s="51">
        <v>1201156</v>
      </c>
      <c r="I81" s="51" t="s">
        <v>131</v>
      </c>
      <c r="J81" s="51">
        <v>1325957</v>
      </c>
      <c r="K81" s="51" t="s">
        <v>133</v>
      </c>
      <c r="L81" s="51">
        <v>1201156</v>
      </c>
      <c r="M81" s="51" t="s">
        <v>131</v>
      </c>
      <c r="N81" s="51">
        <v>299756</v>
      </c>
      <c r="O81" s="51">
        <v>591544005</v>
      </c>
      <c r="P81" s="51" t="s">
        <v>2343</v>
      </c>
      <c r="Q81" s="51" t="s">
        <v>1322</v>
      </c>
      <c r="R81" s="51" t="s">
        <v>2176</v>
      </c>
      <c r="S81" s="51" t="s">
        <v>1331</v>
      </c>
      <c r="T81" s="51"/>
      <c r="U81" s="51">
        <v>222</v>
      </c>
      <c r="V81" s="51">
        <v>60</v>
      </c>
      <c r="W81" s="51" t="s">
        <v>1332</v>
      </c>
      <c r="X81" s="51">
        <v>125</v>
      </c>
      <c r="Y81" s="51" t="s">
        <v>182</v>
      </c>
      <c r="Z81" s="54">
        <v>27750</v>
      </c>
      <c r="AA81" s="54">
        <v>7500</v>
      </c>
      <c r="AB81" s="51" t="s">
        <v>182</v>
      </c>
      <c r="AC81" s="51" t="s">
        <v>181</v>
      </c>
      <c r="AD81" s="51" t="s">
        <v>61</v>
      </c>
      <c r="AE81" s="51" t="s">
        <v>63</v>
      </c>
      <c r="AF81" s="51" t="s">
        <v>81</v>
      </c>
      <c r="AG81" s="51" t="s">
        <v>88</v>
      </c>
      <c r="AH81" s="53">
        <v>42419</v>
      </c>
      <c r="AI81" s="51" t="s">
        <v>64</v>
      </c>
      <c r="AJ81" s="53">
        <v>42408</v>
      </c>
      <c r="AK81" s="51"/>
      <c r="AL81" s="51"/>
      <c r="AM81" s="51"/>
      <c r="AN81" s="51" t="s">
        <v>89</v>
      </c>
      <c r="AO81" s="51" t="s">
        <v>274</v>
      </c>
    </row>
    <row r="82" spans="1:41" x14ac:dyDescent="0.2">
      <c r="A82" s="51">
        <v>10020664</v>
      </c>
      <c r="B82" s="51">
        <v>410</v>
      </c>
      <c r="C82" s="51" t="s">
        <v>26</v>
      </c>
      <c r="D82" s="51" t="s">
        <v>78</v>
      </c>
      <c r="E82" s="53">
        <v>42408</v>
      </c>
      <c r="F82" s="51">
        <v>93679085</v>
      </c>
      <c r="G82" s="51">
        <v>410</v>
      </c>
      <c r="H82" s="51">
        <v>1201315</v>
      </c>
      <c r="I82" s="51" t="s">
        <v>256</v>
      </c>
      <c r="J82" s="51">
        <v>1317763</v>
      </c>
      <c r="K82" s="51" t="s">
        <v>256</v>
      </c>
      <c r="L82" s="51">
        <v>1201315</v>
      </c>
      <c r="M82" s="51" t="s">
        <v>256</v>
      </c>
      <c r="N82" s="51">
        <v>5712356</v>
      </c>
      <c r="O82" s="51">
        <v>591379760</v>
      </c>
      <c r="P82" s="51" t="s">
        <v>1411</v>
      </c>
      <c r="Q82" s="51" t="s">
        <v>1322</v>
      </c>
      <c r="R82" s="51" t="s">
        <v>1412</v>
      </c>
      <c r="S82" s="51" t="s">
        <v>1331</v>
      </c>
      <c r="T82" s="51" t="s">
        <v>2344</v>
      </c>
      <c r="U82" s="51">
        <v>72</v>
      </c>
      <c r="V82" s="51">
        <v>12</v>
      </c>
      <c r="W82" s="51" t="s">
        <v>1332</v>
      </c>
      <c r="X82" s="51">
        <v>9.6</v>
      </c>
      <c r="Y82" s="51" t="s">
        <v>182</v>
      </c>
      <c r="Z82" s="51">
        <v>691.2</v>
      </c>
      <c r="AA82" s="51">
        <v>115.2</v>
      </c>
      <c r="AB82" s="51" t="s">
        <v>182</v>
      </c>
      <c r="AC82" s="51" t="s">
        <v>181</v>
      </c>
      <c r="AD82" s="51" t="s">
        <v>91</v>
      </c>
      <c r="AE82" s="51" t="s">
        <v>63</v>
      </c>
      <c r="AF82" s="51" t="s">
        <v>81</v>
      </c>
      <c r="AG82" s="51" t="s">
        <v>88</v>
      </c>
      <c r="AH82" s="53">
        <v>42419</v>
      </c>
      <c r="AI82" s="51" t="s">
        <v>64</v>
      </c>
      <c r="AJ82" s="53">
        <v>42408</v>
      </c>
      <c r="AK82" s="51"/>
      <c r="AL82" s="51"/>
      <c r="AM82" s="51"/>
      <c r="AN82" s="51" t="s">
        <v>89</v>
      </c>
      <c r="AO82" s="51" t="s">
        <v>274</v>
      </c>
    </row>
    <row r="83" spans="1:41" x14ac:dyDescent="0.2">
      <c r="A83" s="51">
        <v>10020664</v>
      </c>
      <c r="B83" s="51">
        <v>590</v>
      </c>
      <c r="C83" s="51" t="s">
        <v>26</v>
      </c>
      <c r="D83" s="51" t="s">
        <v>78</v>
      </c>
      <c r="E83" s="53">
        <v>42408</v>
      </c>
      <c r="F83" s="51">
        <v>93679085</v>
      </c>
      <c r="G83" s="51">
        <v>590</v>
      </c>
      <c r="H83" s="51">
        <v>1201315</v>
      </c>
      <c r="I83" s="51" t="s">
        <v>256</v>
      </c>
      <c r="J83" s="51">
        <v>1317763</v>
      </c>
      <c r="K83" s="51" t="s">
        <v>256</v>
      </c>
      <c r="L83" s="51">
        <v>1201315</v>
      </c>
      <c r="M83" s="51" t="s">
        <v>256</v>
      </c>
      <c r="N83" s="51">
        <v>5712356</v>
      </c>
      <c r="O83" s="51">
        <v>591090030</v>
      </c>
      <c r="P83" s="51" t="s">
        <v>2074</v>
      </c>
      <c r="Q83" s="51" t="s">
        <v>1322</v>
      </c>
      <c r="R83" s="51" t="s">
        <v>1470</v>
      </c>
      <c r="S83" s="51" t="s">
        <v>1331</v>
      </c>
      <c r="T83" s="51">
        <v>3136781</v>
      </c>
      <c r="U83" s="51">
        <v>240</v>
      </c>
      <c r="V83" s="51">
        <v>144</v>
      </c>
      <c r="W83" s="51" t="s">
        <v>1332</v>
      </c>
      <c r="X83" s="51">
        <v>8.68</v>
      </c>
      <c r="Y83" s="51" t="s">
        <v>182</v>
      </c>
      <c r="Z83" s="54">
        <v>2083.1999999999998</v>
      </c>
      <c r="AA83" s="54">
        <v>1249.92</v>
      </c>
      <c r="AB83" s="51" t="s">
        <v>182</v>
      </c>
      <c r="AC83" s="51" t="s">
        <v>181</v>
      </c>
      <c r="AD83" s="51" t="s">
        <v>91</v>
      </c>
      <c r="AE83" s="51" t="s">
        <v>63</v>
      </c>
      <c r="AF83" s="51" t="s">
        <v>81</v>
      </c>
      <c r="AG83" s="51" t="s">
        <v>88</v>
      </c>
      <c r="AH83" s="53">
        <v>42419</v>
      </c>
      <c r="AI83" s="51" t="s">
        <v>64</v>
      </c>
      <c r="AJ83" s="53">
        <v>42408</v>
      </c>
      <c r="AK83" s="51"/>
      <c r="AL83" s="51"/>
      <c r="AM83" s="51"/>
      <c r="AN83" s="51" t="s">
        <v>89</v>
      </c>
      <c r="AO83" s="51" t="s">
        <v>274</v>
      </c>
    </row>
    <row r="84" spans="1:41" x14ac:dyDescent="0.2">
      <c r="A84" s="51">
        <v>10020665</v>
      </c>
      <c r="B84" s="51">
        <v>740</v>
      </c>
      <c r="C84" s="51" t="s">
        <v>26</v>
      </c>
      <c r="D84" s="51" t="s">
        <v>78</v>
      </c>
      <c r="E84" s="53">
        <v>42408</v>
      </c>
      <c r="F84" s="51">
        <v>93679085</v>
      </c>
      <c r="G84" s="51">
        <v>740</v>
      </c>
      <c r="H84" s="51">
        <v>1201315</v>
      </c>
      <c r="I84" s="51" t="s">
        <v>256</v>
      </c>
      <c r="J84" s="51">
        <v>1317763</v>
      </c>
      <c r="K84" s="51" t="s">
        <v>256</v>
      </c>
      <c r="L84" s="51">
        <v>1201315</v>
      </c>
      <c r="M84" s="51" t="s">
        <v>256</v>
      </c>
      <c r="N84" s="51">
        <v>5712356</v>
      </c>
      <c r="O84" s="51">
        <v>591060601</v>
      </c>
      <c r="P84" s="51" t="s">
        <v>2345</v>
      </c>
      <c r="Q84" s="51" t="s">
        <v>1322</v>
      </c>
      <c r="R84" s="51" t="s">
        <v>2346</v>
      </c>
      <c r="S84" s="51" t="s">
        <v>1331</v>
      </c>
      <c r="T84" s="51" t="s">
        <v>2347</v>
      </c>
      <c r="U84" s="51">
        <v>72</v>
      </c>
      <c r="V84" s="51">
        <v>24</v>
      </c>
      <c r="W84" s="51" t="s">
        <v>1332</v>
      </c>
      <c r="X84" s="51">
        <v>58.23</v>
      </c>
      <c r="Y84" s="51" t="s">
        <v>182</v>
      </c>
      <c r="Z84" s="54">
        <v>4192.5600000000004</v>
      </c>
      <c r="AA84" s="54">
        <v>1397.52</v>
      </c>
      <c r="AB84" s="51" t="s">
        <v>182</v>
      </c>
      <c r="AC84" s="51" t="s">
        <v>181</v>
      </c>
      <c r="AD84" s="51" t="s">
        <v>91</v>
      </c>
      <c r="AE84" s="51" t="s">
        <v>63</v>
      </c>
      <c r="AF84" s="51" t="s">
        <v>81</v>
      </c>
      <c r="AG84" s="51" t="s">
        <v>88</v>
      </c>
      <c r="AH84" s="53">
        <v>42419</v>
      </c>
      <c r="AI84" s="51" t="s">
        <v>64</v>
      </c>
      <c r="AJ84" s="53">
        <v>42408</v>
      </c>
      <c r="AK84" s="51"/>
      <c r="AL84" s="51"/>
      <c r="AM84" s="51"/>
      <c r="AN84" s="51" t="s">
        <v>89</v>
      </c>
      <c r="AO84" s="51" t="s">
        <v>274</v>
      </c>
    </row>
    <row r="85" spans="1:41" x14ac:dyDescent="0.2">
      <c r="A85" s="51">
        <v>10020666</v>
      </c>
      <c r="B85" s="51">
        <v>1230</v>
      </c>
      <c r="C85" s="51" t="s">
        <v>18</v>
      </c>
      <c r="D85" s="51" t="s">
        <v>78</v>
      </c>
      <c r="E85" s="53">
        <v>42408</v>
      </c>
      <c r="F85" s="51">
        <v>93680346</v>
      </c>
      <c r="G85" s="51">
        <v>1230</v>
      </c>
      <c r="H85" s="51">
        <v>1201120</v>
      </c>
      <c r="I85" s="51" t="s">
        <v>117</v>
      </c>
      <c r="J85" s="51">
        <v>1307782</v>
      </c>
      <c r="K85" s="51" t="s">
        <v>119</v>
      </c>
      <c r="L85" s="51">
        <v>1171090</v>
      </c>
      <c r="M85" s="51" t="s">
        <v>118</v>
      </c>
      <c r="N85" s="51" t="s">
        <v>2028</v>
      </c>
      <c r="O85" s="51">
        <v>60758088010</v>
      </c>
      <c r="P85" s="51" t="s">
        <v>1751</v>
      </c>
      <c r="Q85" s="51" t="s">
        <v>1322</v>
      </c>
      <c r="R85" s="51" t="s">
        <v>1752</v>
      </c>
      <c r="S85" s="51" t="s">
        <v>1331</v>
      </c>
      <c r="T85" s="51">
        <v>90426</v>
      </c>
      <c r="U85" s="51">
        <v>1512</v>
      </c>
      <c r="V85" s="51">
        <v>2</v>
      </c>
      <c r="W85" s="51" t="s">
        <v>1332</v>
      </c>
      <c r="X85" s="51">
        <v>123.55</v>
      </c>
      <c r="Y85" s="51" t="s">
        <v>182</v>
      </c>
      <c r="Z85" s="54">
        <v>186807.6</v>
      </c>
      <c r="AA85" s="51">
        <v>247.1</v>
      </c>
      <c r="AB85" s="51" t="s">
        <v>182</v>
      </c>
      <c r="AC85" s="51" t="s">
        <v>181</v>
      </c>
      <c r="AD85" s="51" t="s">
        <v>91</v>
      </c>
      <c r="AE85" s="51" t="s">
        <v>69</v>
      </c>
      <c r="AF85" s="51" t="s">
        <v>70</v>
      </c>
      <c r="AG85" s="51" t="s">
        <v>76</v>
      </c>
      <c r="AH85" s="53">
        <v>42416</v>
      </c>
      <c r="AI85" s="51" t="s">
        <v>64</v>
      </c>
      <c r="AJ85" s="53">
        <v>42408</v>
      </c>
      <c r="AK85" s="51" t="s">
        <v>100</v>
      </c>
      <c r="AL85" s="51">
        <v>62089573</v>
      </c>
      <c r="AM85" s="53">
        <v>42429</v>
      </c>
      <c r="AN85" s="51" t="s">
        <v>77</v>
      </c>
      <c r="AO85" s="51" t="s">
        <v>191</v>
      </c>
    </row>
    <row r="86" spans="1:41" x14ac:dyDescent="0.2">
      <c r="A86" s="51">
        <v>10020667</v>
      </c>
      <c r="B86" s="51">
        <v>350</v>
      </c>
      <c r="C86" s="51" t="s">
        <v>26</v>
      </c>
      <c r="D86" s="51" t="s">
        <v>149</v>
      </c>
      <c r="E86" s="53">
        <v>42408</v>
      </c>
      <c r="F86" s="51">
        <v>93676471</v>
      </c>
      <c r="G86" s="51">
        <v>350</v>
      </c>
      <c r="H86" s="51">
        <v>1201047</v>
      </c>
      <c r="I86" s="51" t="s">
        <v>79</v>
      </c>
      <c r="J86" s="51">
        <v>1311011</v>
      </c>
      <c r="K86" s="51" t="s">
        <v>85</v>
      </c>
      <c r="L86" s="51">
        <v>1171089</v>
      </c>
      <c r="M86" s="51" t="s">
        <v>75</v>
      </c>
      <c r="N86" s="51">
        <v>19636885</v>
      </c>
      <c r="O86" s="51">
        <v>52544055228</v>
      </c>
      <c r="P86" s="51" t="s">
        <v>1613</v>
      </c>
      <c r="Q86" s="51" t="s">
        <v>1344</v>
      </c>
      <c r="R86" s="51" t="s">
        <v>1614</v>
      </c>
      <c r="S86" s="51" t="s">
        <v>1331</v>
      </c>
      <c r="T86" s="51"/>
      <c r="U86" s="51">
        <v>408</v>
      </c>
      <c r="V86" s="51">
        <v>12</v>
      </c>
      <c r="W86" s="51" t="s">
        <v>1332</v>
      </c>
      <c r="X86" s="51">
        <v>132.61000000000001</v>
      </c>
      <c r="Y86" s="51" t="s">
        <v>182</v>
      </c>
      <c r="Z86" s="54">
        <v>54104.88</v>
      </c>
      <c r="AA86" s="54">
        <v>1591.32</v>
      </c>
      <c r="AB86" s="51" t="s">
        <v>182</v>
      </c>
      <c r="AC86" s="51" t="s">
        <v>181</v>
      </c>
      <c r="AD86" s="51" t="s">
        <v>91</v>
      </c>
      <c r="AE86" s="51" t="s">
        <v>63</v>
      </c>
      <c r="AF86" s="51" t="s">
        <v>81</v>
      </c>
      <c r="AG86" s="51" t="s">
        <v>88</v>
      </c>
      <c r="AH86" s="53">
        <v>42419</v>
      </c>
      <c r="AI86" s="51" t="s">
        <v>64</v>
      </c>
      <c r="AJ86" s="53">
        <v>42408</v>
      </c>
      <c r="AK86" s="51"/>
      <c r="AL86" s="51"/>
      <c r="AM86" s="51"/>
      <c r="AN86" s="51" t="s">
        <v>89</v>
      </c>
      <c r="AO86" s="51" t="s">
        <v>274</v>
      </c>
    </row>
    <row r="87" spans="1:41" x14ac:dyDescent="0.2">
      <c r="A87" s="51">
        <v>10020667</v>
      </c>
      <c r="B87" s="51">
        <v>790</v>
      </c>
      <c r="C87" s="51" t="s">
        <v>26</v>
      </c>
      <c r="D87" s="51" t="s">
        <v>149</v>
      </c>
      <c r="E87" s="53">
        <v>42408</v>
      </c>
      <c r="F87" s="51">
        <v>93676471</v>
      </c>
      <c r="G87" s="51">
        <v>790</v>
      </c>
      <c r="H87" s="51">
        <v>1201047</v>
      </c>
      <c r="I87" s="51" t="s">
        <v>79</v>
      </c>
      <c r="J87" s="51">
        <v>1311011</v>
      </c>
      <c r="K87" s="51" t="s">
        <v>85</v>
      </c>
      <c r="L87" s="51">
        <v>1171089</v>
      </c>
      <c r="M87" s="51" t="s">
        <v>75</v>
      </c>
      <c r="N87" s="51">
        <v>19636885</v>
      </c>
      <c r="O87" s="51">
        <v>591080001</v>
      </c>
      <c r="P87" s="51" t="s">
        <v>2003</v>
      </c>
      <c r="Q87" s="51" t="s">
        <v>1322</v>
      </c>
      <c r="R87" s="51" t="s">
        <v>2004</v>
      </c>
      <c r="S87" s="51" t="s">
        <v>1331</v>
      </c>
      <c r="T87" s="51">
        <v>3135296</v>
      </c>
      <c r="U87" s="51">
        <v>264</v>
      </c>
      <c r="V87" s="51">
        <v>24</v>
      </c>
      <c r="W87" s="51" t="s">
        <v>1332</v>
      </c>
      <c r="X87" s="51">
        <v>13.2</v>
      </c>
      <c r="Y87" s="51" t="s">
        <v>182</v>
      </c>
      <c r="Z87" s="54">
        <v>3484.8</v>
      </c>
      <c r="AA87" s="51">
        <v>316.8</v>
      </c>
      <c r="AB87" s="51" t="s">
        <v>182</v>
      </c>
      <c r="AC87" s="51" t="s">
        <v>181</v>
      </c>
      <c r="AD87" s="51" t="s">
        <v>91</v>
      </c>
      <c r="AE87" s="51" t="s">
        <v>63</v>
      </c>
      <c r="AF87" s="51" t="s">
        <v>81</v>
      </c>
      <c r="AG87" s="51" t="s">
        <v>88</v>
      </c>
      <c r="AH87" s="53">
        <v>42419</v>
      </c>
      <c r="AI87" s="51" t="s">
        <v>64</v>
      </c>
      <c r="AJ87" s="53">
        <v>42408</v>
      </c>
      <c r="AK87" s="51"/>
      <c r="AL87" s="51"/>
      <c r="AM87" s="51"/>
      <c r="AN87" s="51" t="s">
        <v>89</v>
      </c>
      <c r="AO87" s="51" t="s">
        <v>274</v>
      </c>
    </row>
    <row r="88" spans="1:41" x14ac:dyDescent="0.2">
      <c r="A88" s="51">
        <v>10020667</v>
      </c>
      <c r="B88" s="51">
        <v>1000</v>
      </c>
      <c r="C88" s="51" t="s">
        <v>26</v>
      </c>
      <c r="D88" s="51" t="s">
        <v>149</v>
      </c>
      <c r="E88" s="53">
        <v>42408</v>
      </c>
      <c r="F88" s="51">
        <v>93676471</v>
      </c>
      <c r="G88" s="51">
        <v>1000</v>
      </c>
      <c r="H88" s="51">
        <v>1201047</v>
      </c>
      <c r="I88" s="51" t="s">
        <v>79</v>
      </c>
      <c r="J88" s="51">
        <v>1311011</v>
      </c>
      <c r="K88" s="51" t="s">
        <v>85</v>
      </c>
      <c r="L88" s="51">
        <v>1171089</v>
      </c>
      <c r="M88" s="51" t="s">
        <v>75</v>
      </c>
      <c r="N88" s="51">
        <v>19636885</v>
      </c>
      <c r="O88" s="51">
        <v>52544062928</v>
      </c>
      <c r="P88" s="51" t="s">
        <v>1343</v>
      </c>
      <c r="Q88" s="51" t="s">
        <v>1344</v>
      </c>
      <c r="R88" s="51" t="s">
        <v>1345</v>
      </c>
      <c r="S88" s="51" t="s">
        <v>1331</v>
      </c>
      <c r="T88" s="51" t="s">
        <v>2348</v>
      </c>
      <c r="U88" s="51">
        <v>324</v>
      </c>
      <c r="V88" s="51">
        <v>24</v>
      </c>
      <c r="W88" s="51" t="s">
        <v>1332</v>
      </c>
      <c r="X88" s="51">
        <v>149.31</v>
      </c>
      <c r="Y88" s="51" t="s">
        <v>182</v>
      </c>
      <c r="Z88" s="54">
        <v>48376.44</v>
      </c>
      <c r="AA88" s="54">
        <v>3583.44</v>
      </c>
      <c r="AB88" s="51" t="s">
        <v>182</v>
      </c>
      <c r="AC88" s="51" t="s">
        <v>181</v>
      </c>
      <c r="AD88" s="51" t="s">
        <v>91</v>
      </c>
      <c r="AE88" s="51" t="s">
        <v>63</v>
      </c>
      <c r="AF88" s="51" t="s">
        <v>81</v>
      </c>
      <c r="AG88" s="51" t="s">
        <v>88</v>
      </c>
      <c r="AH88" s="53">
        <v>42419</v>
      </c>
      <c r="AI88" s="51" t="s">
        <v>64</v>
      </c>
      <c r="AJ88" s="53">
        <v>42408</v>
      </c>
      <c r="AK88" s="51"/>
      <c r="AL88" s="51"/>
      <c r="AM88" s="51"/>
      <c r="AN88" s="51" t="s">
        <v>89</v>
      </c>
      <c r="AO88" s="51" t="s">
        <v>274</v>
      </c>
    </row>
    <row r="89" spans="1:41" x14ac:dyDescent="0.2">
      <c r="A89" s="51">
        <v>10020669</v>
      </c>
      <c r="B89" s="51">
        <v>2520</v>
      </c>
      <c r="C89" s="51" t="s">
        <v>22</v>
      </c>
      <c r="D89" s="51" t="s">
        <v>149</v>
      </c>
      <c r="E89" s="53">
        <v>42409</v>
      </c>
      <c r="F89" s="51">
        <v>93672176</v>
      </c>
      <c r="G89" s="51">
        <v>2520</v>
      </c>
      <c r="H89" s="51">
        <v>1201047</v>
      </c>
      <c r="I89" s="51" t="s">
        <v>79</v>
      </c>
      <c r="J89" s="51">
        <v>1058305</v>
      </c>
      <c r="K89" s="51" t="s">
        <v>99</v>
      </c>
      <c r="L89" s="51">
        <v>1171089</v>
      </c>
      <c r="M89" s="51" t="s">
        <v>75</v>
      </c>
      <c r="N89" s="51">
        <v>52942635</v>
      </c>
      <c r="O89" s="51">
        <v>62037072001</v>
      </c>
      <c r="P89" s="51" t="s">
        <v>1395</v>
      </c>
      <c r="Q89" s="51" t="s">
        <v>1322</v>
      </c>
      <c r="R89" s="51" t="s">
        <v>1396</v>
      </c>
      <c r="S89" s="51" t="s">
        <v>1331</v>
      </c>
      <c r="T89" s="51" t="s">
        <v>2349</v>
      </c>
      <c r="U89" s="51">
        <v>1488</v>
      </c>
      <c r="V89" s="51">
        <v>240</v>
      </c>
      <c r="W89" s="51" t="s">
        <v>1332</v>
      </c>
      <c r="X89" s="51">
        <v>50.19</v>
      </c>
      <c r="Y89" s="51" t="s">
        <v>182</v>
      </c>
      <c r="Z89" s="54">
        <v>74682.720000000001</v>
      </c>
      <c r="AA89" s="54">
        <v>12045.6</v>
      </c>
      <c r="AB89" s="51" t="s">
        <v>182</v>
      </c>
      <c r="AC89" s="51" t="s">
        <v>181</v>
      </c>
      <c r="AD89" s="51" t="s">
        <v>91</v>
      </c>
      <c r="AE89" s="51" t="s">
        <v>69</v>
      </c>
      <c r="AF89" s="51" t="s">
        <v>94</v>
      </c>
      <c r="AG89" s="51" t="s">
        <v>76</v>
      </c>
      <c r="AH89" s="53">
        <v>42423</v>
      </c>
      <c r="AI89" s="51" t="s">
        <v>64</v>
      </c>
      <c r="AJ89" s="53">
        <v>42409</v>
      </c>
      <c r="AK89" s="51" t="s">
        <v>100</v>
      </c>
      <c r="AL89" s="51">
        <v>62086435</v>
      </c>
      <c r="AM89" s="53">
        <v>42423</v>
      </c>
      <c r="AN89" s="51" t="s">
        <v>142</v>
      </c>
      <c r="AO89" s="51" t="s">
        <v>2350</v>
      </c>
    </row>
    <row r="90" spans="1:41" x14ac:dyDescent="0.2">
      <c r="A90" s="51">
        <v>10020670</v>
      </c>
      <c r="B90" s="51">
        <v>80</v>
      </c>
      <c r="C90" s="51" t="s">
        <v>18</v>
      </c>
      <c r="D90" s="51" t="s">
        <v>78</v>
      </c>
      <c r="E90" s="53">
        <v>42409</v>
      </c>
      <c r="F90" s="51">
        <v>93679167</v>
      </c>
      <c r="G90" s="51">
        <v>80</v>
      </c>
      <c r="H90" s="51">
        <v>1201646</v>
      </c>
      <c r="I90" s="51" t="s">
        <v>164</v>
      </c>
      <c r="J90" s="51">
        <v>1201646</v>
      </c>
      <c r="K90" s="51" t="s">
        <v>164</v>
      </c>
      <c r="L90" s="51">
        <v>1201646</v>
      </c>
      <c r="M90" s="51" t="s">
        <v>164</v>
      </c>
      <c r="N90" s="51">
        <v>8047280</v>
      </c>
      <c r="O90" s="51">
        <v>591551310</v>
      </c>
      <c r="P90" s="51" t="s">
        <v>1776</v>
      </c>
      <c r="Q90" s="51" t="s">
        <v>1322</v>
      </c>
      <c r="R90" s="51" t="s">
        <v>1777</v>
      </c>
      <c r="S90" s="51">
        <v>4</v>
      </c>
      <c r="T90" s="51" t="s">
        <v>1778</v>
      </c>
      <c r="U90" s="51">
        <v>144</v>
      </c>
      <c r="V90" s="51">
        <v>1</v>
      </c>
      <c r="W90" s="51" t="s">
        <v>1332</v>
      </c>
      <c r="X90" s="51">
        <v>68.48</v>
      </c>
      <c r="Y90" s="51" t="s">
        <v>182</v>
      </c>
      <c r="Z90" s="54">
        <v>9861.1200000000008</v>
      </c>
      <c r="AA90" s="51">
        <v>68.48</v>
      </c>
      <c r="AB90" s="51" t="s">
        <v>182</v>
      </c>
      <c r="AC90" s="51" t="s">
        <v>181</v>
      </c>
      <c r="AD90" s="51" t="s">
        <v>91</v>
      </c>
      <c r="AE90" s="51" t="s">
        <v>69</v>
      </c>
      <c r="AF90" s="51" t="s">
        <v>70</v>
      </c>
      <c r="AG90" s="51" t="s">
        <v>76</v>
      </c>
      <c r="AH90" s="53">
        <v>42416</v>
      </c>
      <c r="AI90" s="51" t="s">
        <v>83</v>
      </c>
      <c r="AJ90" s="53">
        <v>42411</v>
      </c>
      <c r="AK90" s="51" t="s">
        <v>100</v>
      </c>
      <c r="AL90" s="51">
        <v>62090286</v>
      </c>
      <c r="AM90" s="53">
        <v>42430</v>
      </c>
      <c r="AN90" s="51" t="s">
        <v>77</v>
      </c>
      <c r="AO90" s="51" t="s">
        <v>323</v>
      </c>
    </row>
    <row r="91" spans="1:41" x14ac:dyDescent="0.2">
      <c r="A91" s="51">
        <v>10020671</v>
      </c>
      <c r="B91" s="51">
        <v>2740</v>
      </c>
      <c r="C91" s="51" t="s">
        <v>18</v>
      </c>
      <c r="D91" s="51" t="s">
        <v>149</v>
      </c>
      <c r="E91" s="53">
        <v>42409</v>
      </c>
      <c r="F91" s="51">
        <v>93675168</v>
      </c>
      <c r="G91" s="51">
        <v>2740</v>
      </c>
      <c r="H91" s="51">
        <v>1201047</v>
      </c>
      <c r="I91" s="51" t="s">
        <v>79</v>
      </c>
      <c r="J91" s="51">
        <v>1338648</v>
      </c>
      <c r="K91" s="51" t="s">
        <v>93</v>
      </c>
      <c r="L91" s="51">
        <v>1171089</v>
      </c>
      <c r="M91" s="51" t="s">
        <v>75</v>
      </c>
      <c r="N91" s="51">
        <v>63152741</v>
      </c>
      <c r="O91" s="51">
        <v>472016330</v>
      </c>
      <c r="P91" s="51" t="s">
        <v>2134</v>
      </c>
      <c r="Q91" s="51" t="s">
        <v>1322</v>
      </c>
      <c r="R91" s="51" t="s">
        <v>2351</v>
      </c>
      <c r="S91" s="51" t="s">
        <v>1331</v>
      </c>
      <c r="T91" s="51" t="s">
        <v>2352</v>
      </c>
      <c r="U91" s="51">
        <v>912</v>
      </c>
      <c r="V91" s="51">
        <v>57</v>
      </c>
      <c r="W91" s="51" t="s">
        <v>1332</v>
      </c>
      <c r="X91" s="51">
        <v>21</v>
      </c>
      <c r="Y91" s="51" t="s">
        <v>182</v>
      </c>
      <c r="Z91" s="54">
        <v>19152</v>
      </c>
      <c r="AA91" s="54">
        <v>1197</v>
      </c>
      <c r="AB91" s="51" t="s">
        <v>182</v>
      </c>
      <c r="AC91" s="51" t="s">
        <v>181</v>
      </c>
      <c r="AD91" s="51" t="s">
        <v>91</v>
      </c>
      <c r="AE91" s="51" t="s">
        <v>69</v>
      </c>
      <c r="AF91" s="51" t="s">
        <v>70</v>
      </c>
      <c r="AG91" s="51" t="s">
        <v>76</v>
      </c>
      <c r="AH91" s="53">
        <v>42416</v>
      </c>
      <c r="AI91" s="51" t="s">
        <v>64</v>
      </c>
      <c r="AJ91" s="53">
        <v>42409</v>
      </c>
      <c r="AK91" s="51" t="s">
        <v>100</v>
      </c>
      <c r="AL91" s="51">
        <v>62090292</v>
      </c>
      <c r="AM91" s="53">
        <v>42430</v>
      </c>
      <c r="AN91" s="51" t="s">
        <v>77</v>
      </c>
      <c r="AO91" s="51" t="s">
        <v>1375</v>
      </c>
    </row>
    <row r="92" spans="1:41" x14ac:dyDescent="0.2">
      <c r="A92" s="51">
        <v>10020672</v>
      </c>
      <c r="B92" s="51">
        <v>20</v>
      </c>
      <c r="C92" s="51" t="s">
        <v>26</v>
      </c>
      <c r="D92" s="51" t="s">
        <v>78</v>
      </c>
      <c r="E92" s="53">
        <v>42409</v>
      </c>
      <c r="F92" s="51">
        <v>93679167</v>
      </c>
      <c r="G92" s="51">
        <v>20</v>
      </c>
      <c r="H92" s="51">
        <v>1201646</v>
      </c>
      <c r="I92" s="51" t="s">
        <v>164</v>
      </c>
      <c r="J92" s="51">
        <v>1201646</v>
      </c>
      <c r="K92" s="51" t="s">
        <v>164</v>
      </c>
      <c r="L92" s="51">
        <v>1201646</v>
      </c>
      <c r="M92" s="51" t="s">
        <v>164</v>
      </c>
      <c r="N92" s="51">
        <v>8047280</v>
      </c>
      <c r="O92" s="51">
        <v>228315303</v>
      </c>
      <c r="P92" s="51" t="s">
        <v>2353</v>
      </c>
      <c r="Q92" s="51" t="s">
        <v>1322</v>
      </c>
      <c r="R92" s="51" t="s">
        <v>1830</v>
      </c>
      <c r="S92" s="51">
        <v>3</v>
      </c>
      <c r="T92" s="51" t="s">
        <v>2354</v>
      </c>
      <c r="U92" s="51">
        <v>144</v>
      </c>
      <c r="V92" s="51">
        <v>12</v>
      </c>
      <c r="W92" s="51" t="s">
        <v>1332</v>
      </c>
      <c r="X92" s="51">
        <v>19.670000000000002</v>
      </c>
      <c r="Y92" s="51" t="s">
        <v>182</v>
      </c>
      <c r="Z92" s="54">
        <v>2832.48</v>
      </c>
      <c r="AA92" s="51">
        <v>236.04</v>
      </c>
      <c r="AB92" s="51" t="s">
        <v>182</v>
      </c>
      <c r="AC92" s="51" t="s">
        <v>181</v>
      </c>
      <c r="AD92" s="51" t="s">
        <v>91</v>
      </c>
      <c r="AE92" s="51" t="s">
        <v>63</v>
      </c>
      <c r="AF92" s="51" t="s">
        <v>70</v>
      </c>
      <c r="AG92" s="51" t="s">
        <v>82</v>
      </c>
      <c r="AH92" s="53">
        <v>42419</v>
      </c>
      <c r="AI92" s="51" t="s">
        <v>166</v>
      </c>
      <c r="AJ92" s="53">
        <v>42411</v>
      </c>
      <c r="AK92" s="51"/>
      <c r="AL92" s="51"/>
      <c r="AM92" s="51"/>
      <c r="AN92" s="51" t="s">
        <v>2152</v>
      </c>
      <c r="AO92" s="51" t="s">
        <v>2355</v>
      </c>
    </row>
    <row r="93" spans="1:41" x14ac:dyDescent="0.2">
      <c r="A93" s="51">
        <v>10020673</v>
      </c>
      <c r="B93" s="51">
        <v>850</v>
      </c>
      <c r="C93" s="51" t="s">
        <v>18</v>
      </c>
      <c r="D93" s="51" t="s">
        <v>432</v>
      </c>
      <c r="E93" s="53">
        <v>42410</v>
      </c>
      <c r="F93" s="51">
        <v>93679101</v>
      </c>
      <c r="G93" s="51">
        <v>850</v>
      </c>
      <c r="H93" s="51">
        <v>1201399</v>
      </c>
      <c r="I93" s="51" t="s">
        <v>144</v>
      </c>
      <c r="J93" s="51">
        <v>1334926</v>
      </c>
      <c r="K93" s="51" t="s">
        <v>145</v>
      </c>
      <c r="L93" s="51">
        <v>1171970</v>
      </c>
      <c r="M93" s="51" t="s">
        <v>144</v>
      </c>
      <c r="N93" s="51">
        <v>8106685153</v>
      </c>
      <c r="O93" s="51">
        <v>45963061959</v>
      </c>
      <c r="P93" s="51" t="s">
        <v>1838</v>
      </c>
      <c r="Q93" s="51" t="s">
        <v>1322</v>
      </c>
      <c r="R93" s="51" t="s">
        <v>1839</v>
      </c>
      <c r="S93" s="51" t="s">
        <v>1331</v>
      </c>
      <c r="T93" s="51" t="s">
        <v>2356</v>
      </c>
      <c r="U93" s="51">
        <v>144</v>
      </c>
      <c r="V93" s="51">
        <v>100</v>
      </c>
      <c r="W93" s="51" t="s">
        <v>1332</v>
      </c>
      <c r="X93" s="51">
        <v>140</v>
      </c>
      <c r="Y93" s="51" t="s">
        <v>182</v>
      </c>
      <c r="Z93" s="54">
        <v>20160</v>
      </c>
      <c r="AA93" s="54">
        <v>14000</v>
      </c>
      <c r="AB93" s="51" t="s">
        <v>182</v>
      </c>
      <c r="AC93" s="51" t="s">
        <v>181</v>
      </c>
      <c r="AD93" s="51" t="s">
        <v>91</v>
      </c>
      <c r="AE93" s="51" t="s">
        <v>69</v>
      </c>
      <c r="AF93" s="51" t="s">
        <v>70</v>
      </c>
      <c r="AG93" s="51" t="s">
        <v>76</v>
      </c>
      <c r="AH93" s="53">
        <v>42417</v>
      </c>
      <c r="AI93" s="51" t="s">
        <v>83</v>
      </c>
      <c r="AJ93" s="53">
        <v>42411</v>
      </c>
      <c r="AK93" s="51" t="s">
        <v>100</v>
      </c>
      <c r="AL93" s="51">
        <v>62090290</v>
      </c>
      <c r="AM93" s="53">
        <v>42430</v>
      </c>
      <c r="AN93" s="51" t="s">
        <v>77</v>
      </c>
      <c r="AO93" s="51" t="s">
        <v>2357</v>
      </c>
    </row>
    <row r="94" spans="1:41" x14ac:dyDescent="0.2">
      <c r="A94" s="51">
        <v>10020674</v>
      </c>
      <c r="B94" s="51">
        <v>2840</v>
      </c>
      <c r="C94" s="51" t="s">
        <v>26</v>
      </c>
      <c r="D94" s="51" t="s">
        <v>78</v>
      </c>
      <c r="E94" s="53">
        <v>42410</v>
      </c>
      <c r="F94" s="51">
        <v>93673636</v>
      </c>
      <c r="G94" s="51">
        <v>2840</v>
      </c>
      <c r="H94" s="51">
        <v>1201120</v>
      </c>
      <c r="I94" s="51" t="s">
        <v>117</v>
      </c>
      <c r="J94" s="51">
        <v>1307782</v>
      </c>
      <c r="K94" s="51" t="s">
        <v>119</v>
      </c>
      <c r="L94" s="51">
        <v>1171090</v>
      </c>
      <c r="M94" s="51" t="s">
        <v>118</v>
      </c>
      <c r="N94" s="51" t="s">
        <v>2234</v>
      </c>
      <c r="O94" s="51">
        <v>228267211</v>
      </c>
      <c r="P94" s="51" t="s">
        <v>2358</v>
      </c>
      <c r="Q94" s="51" t="s">
        <v>1322</v>
      </c>
      <c r="R94" s="51" t="s">
        <v>1643</v>
      </c>
      <c r="S94" s="51" t="s">
        <v>1331</v>
      </c>
      <c r="T94" s="51" t="s">
        <v>2359</v>
      </c>
      <c r="U94" s="51">
        <v>60</v>
      </c>
      <c r="V94" s="51">
        <v>12</v>
      </c>
      <c r="W94" s="51" t="s">
        <v>1332</v>
      </c>
      <c r="X94" s="51">
        <v>41.75</v>
      </c>
      <c r="Y94" s="51" t="s">
        <v>182</v>
      </c>
      <c r="Z94" s="54">
        <v>2505</v>
      </c>
      <c r="AA94" s="51">
        <v>501</v>
      </c>
      <c r="AB94" s="51" t="s">
        <v>182</v>
      </c>
      <c r="AC94" s="51" t="s">
        <v>181</v>
      </c>
      <c r="AD94" s="51" t="s">
        <v>91</v>
      </c>
      <c r="AE94" s="51" t="s">
        <v>63</v>
      </c>
      <c r="AF94" s="51" t="s">
        <v>81</v>
      </c>
      <c r="AG94" s="51" t="s">
        <v>88</v>
      </c>
      <c r="AH94" s="53">
        <v>42429</v>
      </c>
      <c r="AI94" s="51" t="s">
        <v>64</v>
      </c>
      <c r="AJ94" s="53">
        <v>42410</v>
      </c>
      <c r="AK94" s="51"/>
      <c r="AL94" s="51"/>
      <c r="AM94" s="51"/>
      <c r="AN94" s="51" t="s">
        <v>89</v>
      </c>
      <c r="AO94" s="51" t="s">
        <v>2360</v>
      </c>
    </row>
    <row r="95" spans="1:41" x14ac:dyDescent="0.2">
      <c r="A95" s="51">
        <v>10020675</v>
      </c>
      <c r="B95" s="51">
        <v>3250</v>
      </c>
      <c r="C95" s="51" t="s">
        <v>18</v>
      </c>
      <c r="D95" s="51" t="s">
        <v>78</v>
      </c>
      <c r="E95" s="53">
        <v>42410</v>
      </c>
      <c r="F95" s="51">
        <v>93682229</v>
      </c>
      <c r="G95" s="51">
        <v>3250</v>
      </c>
      <c r="H95" s="51">
        <v>1201120</v>
      </c>
      <c r="I95" s="51" t="s">
        <v>117</v>
      </c>
      <c r="J95" s="51">
        <v>1307782</v>
      </c>
      <c r="K95" s="51" t="s">
        <v>119</v>
      </c>
      <c r="L95" s="51">
        <v>1171090</v>
      </c>
      <c r="M95" s="51" t="s">
        <v>118</v>
      </c>
      <c r="N95" s="51" t="s">
        <v>2340</v>
      </c>
      <c r="O95" s="51">
        <v>52544095328</v>
      </c>
      <c r="P95" s="51" t="s">
        <v>2361</v>
      </c>
      <c r="Q95" s="51" t="s">
        <v>1344</v>
      </c>
      <c r="R95" s="51" t="s">
        <v>2362</v>
      </c>
      <c r="S95" s="51" t="s">
        <v>1331</v>
      </c>
      <c r="T95" s="51" t="s">
        <v>2363</v>
      </c>
      <c r="U95" s="51">
        <v>36</v>
      </c>
      <c r="V95" s="51">
        <v>12</v>
      </c>
      <c r="W95" s="51" t="s">
        <v>1332</v>
      </c>
      <c r="X95" s="51">
        <v>193.69</v>
      </c>
      <c r="Y95" s="51" t="s">
        <v>182</v>
      </c>
      <c r="Z95" s="54">
        <v>6972.84</v>
      </c>
      <c r="AA95" s="54">
        <v>2324.2800000000002</v>
      </c>
      <c r="AB95" s="51" t="s">
        <v>182</v>
      </c>
      <c r="AC95" s="51" t="s">
        <v>181</v>
      </c>
      <c r="AD95" s="51" t="s">
        <v>121</v>
      </c>
      <c r="AE95" s="51" t="s">
        <v>69</v>
      </c>
      <c r="AF95" s="51" t="s">
        <v>70</v>
      </c>
      <c r="AG95" s="51" t="s">
        <v>76</v>
      </c>
      <c r="AH95" s="53">
        <v>42417</v>
      </c>
      <c r="AI95" s="51" t="s">
        <v>64</v>
      </c>
      <c r="AJ95" s="53">
        <v>42410</v>
      </c>
      <c r="AK95" s="51" t="s">
        <v>100</v>
      </c>
      <c r="AL95" s="51">
        <v>62086907</v>
      </c>
      <c r="AM95" s="53">
        <v>42424</v>
      </c>
      <c r="AN95" s="51" t="s">
        <v>77</v>
      </c>
      <c r="AO95" s="51" t="s">
        <v>376</v>
      </c>
    </row>
    <row r="96" spans="1:41" x14ac:dyDescent="0.2">
      <c r="A96" s="51">
        <v>10020676</v>
      </c>
      <c r="B96" s="51">
        <v>10</v>
      </c>
      <c r="C96" s="51" t="s">
        <v>26</v>
      </c>
      <c r="D96" s="51" t="s">
        <v>149</v>
      </c>
      <c r="E96" s="53">
        <v>42410</v>
      </c>
      <c r="F96" s="51">
        <v>93676476</v>
      </c>
      <c r="G96" s="51">
        <v>10</v>
      </c>
      <c r="H96" s="51">
        <v>1201047</v>
      </c>
      <c r="I96" s="51" t="s">
        <v>79</v>
      </c>
      <c r="J96" s="51">
        <v>1309880</v>
      </c>
      <c r="K96" s="51" t="s">
        <v>108</v>
      </c>
      <c r="L96" s="51">
        <v>1171089</v>
      </c>
      <c r="M96" s="51" t="s">
        <v>75</v>
      </c>
      <c r="N96" s="51">
        <v>18764302</v>
      </c>
      <c r="O96" s="51">
        <v>472038115</v>
      </c>
      <c r="P96" s="51" t="s">
        <v>1768</v>
      </c>
      <c r="Q96" s="51" t="s">
        <v>1322</v>
      </c>
      <c r="R96" s="51" t="s">
        <v>1769</v>
      </c>
      <c r="S96" s="51" t="s">
        <v>1331</v>
      </c>
      <c r="T96" s="51" t="s">
        <v>2364</v>
      </c>
      <c r="U96" s="51">
        <v>360</v>
      </c>
      <c r="V96" s="51">
        <v>72</v>
      </c>
      <c r="W96" s="51" t="s">
        <v>1332</v>
      </c>
      <c r="X96" s="51">
        <v>39.29</v>
      </c>
      <c r="Y96" s="51" t="s">
        <v>182</v>
      </c>
      <c r="Z96" s="54">
        <v>14144.4</v>
      </c>
      <c r="AA96" s="54">
        <v>2828.88</v>
      </c>
      <c r="AB96" s="51" t="s">
        <v>182</v>
      </c>
      <c r="AC96" s="51" t="s">
        <v>181</v>
      </c>
      <c r="AD96" s="51" t="s">
        <v>97</v>
      </c>
      <c r="AE96" s="51" t="s">
        <v>63</v>
      </c>
      <c r="AF96" s="51" t="s">
        <v>81</v>
      </c>
      <c r="AG96" s="51" t="s">
        <v>88</v>
      </c>
      <c r="AH96" s="53">
        <v>42422</v>
      </c>
      <c r="AI96" s="51" t="s">
        <v>64</v>
      </c>
      <c r="AJ96" s="53">
        <v>42410</v>
      </c>
      <c r="AK96" s="51"/>
      <c r="AL96" s="51"/>
      <c r="AM96" s="51"/>
      <c r="AN96" s="51" t="s">
        <v>89</v>
      </c>
      <c r="AO96" s="51" t="s">
        <v>274</v>
      </c>
    </row>
    <row r="97" spans="1:41" x14ac:dyDescent="0.2">
      <c r="A97" s="51">
        <v>10020677</v>
      </c>
      <c r="B97" s="51">
        <v>10</v>
      </c>
      <c r="C97" s="51" t="s">
        <v>18</v>
      </c>
      <c r="D97" s="51" t="s">
        <v>78</v>
      </c>
      <c r="E97" s="53">
        <v>42410</v>
      </c>
      <c r="F97" s="51">
        <v>93654329</v>
      </c>
      <c r="G97" s="51">
        <v>10</v>
      </c>
      <c r="H97" s="51">
        <v>1201120</v>
      </c>
      <c r="I97" s="51" t="s">
        <v>117</v>
      </c>
      <c r="J97" s="51">
        <v>1027711</v>
      </c>
      <c r="K97" s="51" t="s">
        <v>119</v>
      </c>
      <c r="L97" s="51">
        <v>1171090</v>
      </c>
      <c r="M97" s="51" t="s">
        <v>118</v>
      </c>
      <c r="N97" s="51" t="s">
        <v>2365</v>
      </c>
      <c r="O97" s="51">
        <v>591301230</v>
      </c>
      <c r="P97" s="51" t="s">
        <v>2366</v>
      </c>
      <c r="Q97" s="51" t="s">
        <v>1322</v>
      </c>
      <c r="R97" s="51" t="s">
        <v>1856</v>
      </c>
      <c r="S97" s="51" t="s">
        <v>1331</v>
      </c>
      <c r="T97" s="51" t="s">
        <v>2367</v>
      </c>
      <c r="U97" s="51">
        <v>144</v>
      </c>
      <c r="V97" s="51">
        <v>144</v>
      </c>
      <c r="W97" s="51" t="s">
        <v>1332</v>
      </c>
      <c r="X97" s="51">
        <v>10.42</v>
      </c>
      <c r="Y97" s="51" t="s">
        <v>182</v>
      </c>
      <c r="Z97" s="54">
        <v>1500.48</v>
      </c>
      <c r="AA97" s="54">
        <v>1500.48</v>
      </c>
      <c r="AB97" s="51" t="s">
        <v>182</v>
      </c>
      <c r="AC97" s="51" t="s">
        <v>181</v>
      </c>
      <c r="AD97" s="51" t="s">
        <v>102</v>
      </c>
      <c r="AE97" s="51" t="s">
        <v>69</v>
      </c>
      <c r="AF97" s="51" t="s">
        <v>70</v>
      </c>
      <c r="AG97" s="51" t="s">
        <v>76</v>
      </c>
      <c r="AH97" s="53">
        <v>42417</v>
      </c>
      <c r="AI97" s="51" t="s">
        <v>64</v>
      </c>
      <c r="AJ97" s="53">
        <v>42410</v>
      </c>
      <c r="AK97" s="51" t="s">
        <v>100</v>
      </c>
      <c r="AL97" s="51">
        <v>62090288</v>
      </c>
      <c r="AM97" s="53">
        <v>42430</v>
      </c>
      <c r="AN97" s="51" t="s">
        <v>77</v>
      </c>
      <c r="AO97" s="51" t="s">
        <v>622</v>
      </c>
    </row>
    <row r="98" spans="1:41" x14ac:dyDescent="0.2">
      <c r="A98" s="51">
        <v>10020680</v>
      </c>
      <c r="B98" s="51">
        <v>2100</v>
      </c>
      <c r="C98" s="51" t="s">
        <v>26</v>
      </c>
      <c r="D98" s="51" t="s">
        <v>149</v>
      </c>
      <c r="E98" s="53">
        <v>42410</v>
      </c>
      <c r="F98" s="51">
        <v>93675131</v>
      </c>
      <c r="G98" s="51">
        <v>2100</v>
      </c>
      <c r="H98" s="51">
        <v>1201047</v>
      </c>
      <c r="I98" s="51" t="s">
        <v>79</v>
      </c>
      <c r="J98" s="51">
        <v>1338648</v>
      </c>
      <c r="K98" s="51" t="s">
        <v>93</v>
      </c>
      <c r="L98" s="51">
        <v>1171089</v>
      </c>
      <c r="M98" s="51" t="s">
        <v>75</v>
      </c>
      <c r="N98" s="51">
        <v>63152741</v>
      </c>
      <c r="O98" s="51">
        <v>62037086620</v>
      </c>
      <c r="P98" s="51" t="s">
        <v>1946</v>
      </c>
      <c r="Q98" s="51" t="s">
        <v>1322</v>
      </c>
      <c r="R98" s="51" t="s">
        <v>1944</v>
      </c>
      <c r="S98" s="51" t="s">
        <v>1331</v>
      </c>
      <c r="T98" s="51" t="s">
        <v>2208</v>
      </c>
      <c r="U98" s="51">
        <v>40</v>
      </c>
      <c r="V98" s="51">
        <v>5</v>
      </c>
      <c r="W98" s="51" t="s">
        <v>1332</v>
      </c>
      <c r="X98" s="51">
        <v>825</v>
      </c>
      <c r="Y98" s="51" t="s">
        <v>182</v>
      </c>
      <c r="Z98" s="54">
        <v>33000</v>
      </c>
      <c r="AA98" s="54">
        <v>4125</v>
      </c>
      <c r="AB98" s="51" t="s">
        <v>182</v>
      </c>
      <c r="AC98" s="51" t="s">
        <v>181</v>
      </c>
      <c r="AD98" s="51" t="s">
        <v>86</v>
      </c>
      <c r="AE98" s="51" t="s">
        <v>63</v>
      </c>
      <c r="AF98" s="51" t="s">
        <v>81</v>
      </c>
      <c r="AG98" s="51" t="s">
        <v>88</v>
      </c>
      <c r="AH98" s="53">
        <v>42422</v>
      </c>
      <c r="AI98" s="51" t="s">
        <v>64</v>
      </c>
      <c r="AJ98" s="53">
        <v>42410</v>
      </c>
      <c r="AK98" s="51"/>
      <c r="AL98" s="51"/>
      <c r="AM98" s="51"/>
      <c r="AN98" s="51" t="s">
        <v>89</v>
      </c>
      <c r="AO98" s="51" t="s">
        <v>2368</v>
      </c>
    </row>
    <row r="99" spans="1:41" x14ac:dyDescent="0.2">
      <c r="A99" s="51">
        <v>10020681</v>
      </c>
      <c r="B99" s="51">
        <v>120</v>
      </c>
      <c r="C99" s="51" t="s">
        <v>18</v>
      </c>
      <c r="D99" s="51" t="s">
        <v>78</v>
      </c>
      <c r="E99" s="53">
        <v>42411</v>
      </c>
      <c r="F99" s="51">
        <v>93680343</v>
      </c>
      <c r="G99" s="51">
        <v>120</v>
      </c>
      <c r="H99" s="51">
        <v>1201120</v>
      </c>
      <c r="I99" s="51" t="s">
        <v>117</v>
      </c>
      <c r="J99" s="51">
        <v>1307782</v>
      </c>
      <c r="K99" s="51" t="s">
        <v>119</v>
      </c>
      <c r="L99" s="51">
        <v>1171090</v>
      </c>
      <c r="M99" s="51" t="s">
        <v>118</v>
      </c>
      <c r="N99" s="51" t="s">
        <v>2369</v>
      </c>
      <c r="O99" s="51">
        <v>45963061359</v>
      </c>
      <c r="P99" s="51" t="s">
        <v>1914</v>
      </c>
      <c r="Q99" s="51" t="s">
        <v>1322</v>
      </c>
      <c r="R99" s="51" t="s">
        <v>2370</v>
      </c>
      <c r="S99" s="51" t="s">
        <v>1331</v>
      </c>
      <c r="T99" s="51" t="s">
        <v>2371</v>
      </c>
      <c r="U99" s="51">
        <v>200</v>
      </c>
      <c r="V99" s="51">
        <v>5</v>
      </c>
      <c r="W99" s="51" t="s">
        <v>1332</v>
      </c>
      <c r="X99" s="51">
        <v>100</v>
      </c>
      <c r="Y99" s="51" t="s">
        <v>182</v>
      </c>
      <c r="Z99" s="54">
        <v>20000</v>
      </c>
      <c r="AA99" s="51">
        <v>500</v>
      </c>
      <c r="AB99" s="51" t="s">
        <v>182</v>
      </c>
      <c r="AC99" s="51" t="s">
        <v>181</v>
      </c>
      <c r="AD99" s="51" t="s">
        <v>97</v>
      </c>
      <c r="AE99" s="51" t="s">
        <v>69</v>
      </c>
      <c r="AF99" s="51" t="s">
        <v>70</v>
      </c>
      <c r="AG99" s="51" t="s">
        <v>76</v>
      </c>
      <c r="AH99" s="53">
        <v>42417</v>
      </c>
      <c r="AI99" s="51" t="s">
        <v>64</v>
      </c>
      <c r="AJ99" s="53">
        <v>42411</v>
      </c>
      <c r="AK99" s="51" t="s">
        <v>100</v>
      </c>
      <c r="AL99" s="51">
        <v>62086906</v>
      </c>
      <c r="AM99" s="53">
        <v>42424</v>
      </c>
      <c r="AN99" s="51" t="s">
        <v>77</v>
      </c>
      <c r="AO99" s="51" t="s">
        <v>187</v>
      </c>
    </row>
    <row r="100" spans="1:41" x14ac:dyDescent="0.2">
      <c r="A100" s="51">
        <v>10020682</v>
      </c>
      <c r="B100" s="51">
        <v>350</v>
      </c>
      <c r="C100" s="51" t="s">
        <v>24</v>
      </c>
      <c r="D100" s="51" t="s">
        <v>78</v>
      </c>
      <c r="E100" s="53">
        <v>42411</v>
      </c>
      <c r="F100" s="51">
        <v>93682379</v>
      </c>
      <c r="G100" s="51">
        <v>350</v>
      </c>
      <c r="H100" s="51">
        <v>1201540</v>
      </c>
      <c r="I100" s="51" t="s">
        <v>150</v>
      </c>
      <c r="J100" s="51">
        <v>1312297</v>
      </c>
      <c r="K100" s="51" t="s">
        <v>151</v>
      </c>
      <c r="L100" s="51">
        <v>1201540</v>
      </c>
      <c r="M100" s="51" t="s">
        <v>150</v>
      </c>
      <c r="N100" s="51" t="s">
        <v>2372</v>
      </c>
      <c r="O100" s="51">
        <v>45963043864</v>
      </c>
      <c r="P100" s="51" t="s">
        <v>2158</v>
      </c>
      <c r="Q100" s="51" t="s">
        <v>1322</v>
      </c>
      <c r="R100" s="51" t="s">
        <v>2159</v>
      </c>
      <c r="S100" s="51" t="s">
        <v>1331</v>
      </c>
      <c r="T100" s="51">
        <v>17151922</v>
      </c>
      <c r="U100" s="51">
        <v>32</v>
      </c>
      <c r="V100" s="51">
        <v>32</v>
      </c>
      <c r="W100" s="51" t="s">
        <v>1369</v>
      </c>
      <c r="X100" s="51">
        <v>4.49</v>
      </c>
      <c r="Y100" s="51" t="s">
        <v>182</v>
      </c>
      <c r="Z100" s="54">
        <v>1724.16</v>
      </c>
      <c r="AA100" s="54">
        <v>1724.16</v>
      </c>
      <c r="AB100" s="51" t="s">
        <v>182</v>
      </c>
      <c r="AC100" s="51" t="s">
        <v>181</v>
      </c>
      <c r="AD100" s="51" t="s">
        <v>67</v>
      </c>
      <c r="AE100" s="51" t="s">
        <v>63</v>
      </c>
      <c r="AF100" s="51"/>
      <c r="AG100" s="51"/>
      <c r="AH100" s="51"/>
      <c r="AI100" s="51" t="s">
        <v>64</v>
      </c>
      <c r="AJ100" s="53">
        <v>42411</v>
      </c>
      <c r="AK100" s="51"/>
      <c r="AL100" s="51"/>
      <c r="AM100" s="51"/>
      <c r="AN100" s="51"/>
      <c r="AO100" s="51"/>
    </row>
    <row r="101" spans="1:41" x14ac:dyDescent="0.2">
      <c r="A101" s="51">
        <v>10020683</v>
      </c>
      <c r="B101" s="51">
        <v>1050</v>
      </c>
      <c r="C101" s="51" t="s">
        <v>26</v>
      </c>
      <c r="D101" s="51" t="s">
        <v>78</v>
      </c>
      <c r="E101" s="53">
        <v>42411</v>
      </c>
      <c r="F101" s="51">
        <v>93678317</v>
      </c>
      <c r="G101" s="51">
        <v>1050</v>
      </c>
      <c r="H101" s="51">
        <v>1201458</v>
      </c>
      <c r="I101" s="51" t="s">
        <v>594</v>
      </c>
      <c r="J101" s="51">
        <v>1201458</v>
      </c>
      <c r="K101" s="51" t="s">
        <v>594</v>
      </c>
      <c r="L101" s="51">
        <v>1201458</v>
      </c>
      <c r="M101" s="51" t="s">
        <v>594</v>
      </c>
      <c r="N101" s="51">
        <v>279853</v>
      </c>
      <c r="O101" s="51">
        <v>228285011</v>
      </c>
      <c r="P101" s="51" t="s">
        <v>1605</v>
      </c>
      <c r="Q101" s="51" t="s">
        <v>1322</v>
      </c>
      <c r="R101" s="51" t="s">
        <v>1606</v>
      </c>
      <c r="S101" s="51" t="s">
        <v>1331</v>
      </c>
      <c r="T101" s="51" t="s">
        <v>2373</v>
      </c>
      <c r="U101" s="51">
        <v>24</v>
      </c>
      <c r="V101" s="51">
        <v>24</v>
      </c>
      <c r="W101" s="51" t="s">
        <v>1332</v>
      </c>
      <c r="X101" s="51">
        <v>73.44</v>
      </c>
      <c r="Y101" s="51" t="s">
        <v>182</v>
      </c>
      <c r="Z101" s="54">
        <v>1762.56</v>
      </c>
      <c r="AA101" s="54">
        <v>1762.56</v>
      </c>
      <c r="AB101" s="51" t="s">
        <v>182</v>
      </c>
      <c r="AC101" s="51" t="s">
        <v>181</v>
      </c>
      <c r="AD101" s="51" t="s">
        <v>91</v>
      </c>
      <c r="AE101" s="51" t="s">
        <v>63</v>
      </c>
      <c r="AF101" s="51" t="s">
        <v>94</v>
      </c>
      <c r="AG101" s="51" t="s">
        <v>95</v>
      </c>
      <c r="AH101" s="53">
        <v>42422</v>
      </c>
      <c r="AI101" s="51" t="s">
        <v>64</v>
      </c>
      <c r="AJ101" s="53">
        <v>42411</v>
      </c>
      <c r="AK101" s="51"/>
      <c r="AL101" s="51"/>
      <c r="AM101" s="51"/>
      <c r="AN101" s="51" t="s">
        <v>96</v>
      </c>
      <c r="AO101" s="51" t="s">
        <v>2374</v>
      </c>
    </row>
    <row r="102" spans="1:41" x14ac:dyDescent="0.2">
      <c r="A102" s="51">
        <v>10020684</v>
      </c>
      <c r="B102" s="51">
        <v>1170</v>
      </c>
      <c r="C102" s="51" t="s">
        <v>18</v>
      </c>
      <c r="D102" s="51" t="s">
        <v>78</v>
      </c>
      <c r="E102" s="53">
        <v>42411</v>
      </c>
      <c r="F102" s="51">
        <v>93682144</v>
      </c>
      <c r="G102" s="51">
        <v>1170</v>
      </c>
      <c r="H102" s="51">
        <v>1201047</v>
      </c>
      <c r="I102" s="51" t="s">
        <v>79</v>
      </c>
      <c r="J102" s="51">
        <v>1338648</v>
      </c>
      <c r="K102" s="51" t="s">
        <v>93</v>
      </c>
      <c r="L102" s="51">
        <v>1171089</v>
      </c>
      <c r="M102" s="51" t="s">
        <v>75</v>
      </c>
      <c r="N102" s="51">
        <v>63153579</v>
      </c>
      <c r="O102" s="51">
        <v>591319752</v>
      </c>
      <c r="P102" s="51" t="s">
        <v>2094</v>
      </c>
      <c r="Q102" s="51" t="s">
        <v>1322</v>
      </c>
      <c r="R102" s="51" t="s">
        <v>2095</v>
      </c>
      <c r="S102" s="51" t="s">
        <v>1331</v>
      </c>
      <c r="T102" s="51" t="s">
        <v>2375</v>
      </c>
      <c r="U102" s="51">
        <v>288</v>
      </c>
      <c r="V102" s="51">
        <v>1</v>
      </c>
      <c r="W102" s="51" t="s">
        <v>1332</v>
      </c>
      <c r="X102" s="51">
        <v>32.74</v>
      </c>
      <c r="Y102" s="51" t="s">
        <v>182</v>
      </c>
      <c r="Z102" s="54">
        <v>9429.1200000000008</v>
      </c>
      <c r="AA102" s="51">
        <v>32.74</v>
      </c>
      <c r="AB102" s="51" t="s">
        <v>182</v>
      </c>
      <c r="AC102" s="51" t="s">
        <v>181</v>
      </c>
      <c r="AD102" s="51" t="s">
        <v>86</v>
      </c>
      <c r="AE102" s="51" t="s">
        <v>63</v>
      </c>
      <c r="AF102" s="51" t="s">
        <v>70</v>
      </c>
      <c r="AG102" s="51" t="s">
        <v>76</v>
      </c>
      <c r="AH102" s="53">
        <v>42417</v>
      </c>
      <c r="AI102" s="51" t="s">
        <v>64</v>
      </c>
      <c r="AJ102" s="53">
        <v>42411</v>
      </c>
      <c r="AK102" s="51"/>
      <c r="AL102" s="51"/>
      <c r="AM102" s="51"/>
      <c r="AN102" s="51" t="s">
        <v>77</v>
      </c>
      <c r="AO102" s="51" t="s">
        <v>196</v>
      </c>
    </row>
    <row r="103" spans="1:41" x14ac:dyDescent="0.2">
      <c r="A103" s="51">
        <v>10020686</v>
      </c>
      <c r="B103" s="51">
        <v>120</v>
      </c>
      <c r="C103" s="51" t="s">
        <v>18</v>
      </c>
      <c r="D103" s="51" t="s">
        <v>432</v>
      </c>
      <c r="E103" s="53">
        <v>42412</v>
      </c>
      <c r="F103" s="51">
        <v>93675345</v>
      </c>
      <c r="G103" s="51">
        <v>120</v>
      </c>
      <c r="H103" s="51">
        <v>1201399</v>
      </c>
      <c r="I103" s="51" t="s">
        <v>144</v>
      </c>
      <c r="J103" s="51">
        <v>1335374</v>
      </c>
      <c r="K103" s="51" t="s">
        <v>146</v>
      </c>
      <c r="L103" s="51">
        <v>1171970</v>
      </c>
      <c r="M103" s="51" t="s">
        <v>144</v>
      </c>
      <c r="N103" s="51">
        <v>2100046431</v>
      </c>
      <c r="O103" s="51">
        <v>45963073360</v>
      </c>
      <c r="P103" s="51" t="s">
        <v>2376</v>
      </c>
      <c r="Q103" s="51" t="s">
        <v>1322</v>
      </c>
      <c r="R103" s="51" t="s">
        <v>2377</v>
      </c>
      <c r="S103" s="51" t="s">
        <v>1331</v>
      </c>
      <c r="T103" s="51" t="s">
        <v>2378</v>
      </c>
      <c r="U103" s="51">
        <v>48</v>
      </c>
      <c r="V103" s="51">
        <v>1</v>
      </c>
      <c r="W103" s="51" t="s">
        <v>1332</v>
      </c>
      <c r="X103" s="51">
        <v>140</v>
      </c>
      <c r="Y103" s="51" t="s">
        <v>182</v>
      </c>
      <c r="Z103" s="54">
        <v>6720</v>
      </c>
      <c r="AA103" s="51">
        <v>140</v>
      </c>
      <c r="AB103" s="51" t="s">
        <v>182</v>
      </c>
      <c r="AC103" s="51" t="s">
        <v>181</v>
      </c>
      <c r="AD103" s="51" t="s">
        <v>102</v>
      </c>
      <c r="AE103" s="51" t="s">
        <v>69</v>
      </c>
      <c r="AF103" s="51" t="s">
        <v>70</v>
      </c>
      <c r="AG103" s="51" t="s">
        <v>76</v>
      </c>
      <c r="AH103" s="53">
        <v>42422</v>
      </c>
      <c r="AI103" s="51" t="s">
        <v>64</v>
      </c>
      <c r="AJ103" s="53">
        <v>42412</v>
      </c>
      <c r="AK103" s="51" t="s">
        <v>100</v>
      </c>
      <c r="AL103" s="51">
        <v>62090289</v>
      </c>
      <c r="AM103" s="53">
        <v>42430</v>
      </c>
      <c r="AN103" s="51" t="s">
        <v>77</v>
      </c>
      <c r="AO103" s="51" t="s">
        <v>323</v>
      </c>
    </row>
    <row r="104" spans="1:41" x14ac:dyDescent="0.2">
      <c r="A104" s="51">
        <v>10020687</v>
      </c>
      <c r="B104" s="51">
        <v>320</v>
      </c>
      <c r="C104" s="51" t="s">
        <v>18</v>
      </c>
      <c r="D104" s="51" t="s">
        <v>592</v>
      </c>
      <c r="E104" s="53">
        <v>42412</v>
      </c>
      <c r="F104" s="51">
        <v>93678356</v>
      </c>
      <c r="G104" s="51">
        <v>320</v>
      </c>
      <c r="H104" s="51">
        <v>1201766</v>
      </c>
      <c r="I104" s="51" t="s">
        <v>143</v>
      </c>
      <c r="J104" s="51">
        <v>1157939</v>
      </c>
      <c r="K104" s="51" t="s">
        <v>143</v>
      </c>
      <c r="L104" s="51">
        <v>1201766</v>
      </c>
      <c r="M104" s="51" t="s">
        <v>143</v>
      </c>
      <c r="N104" s="51">
        <v>63782</v>
      </c>
      <c r="O104" s="51">
        <v>62037086420</v>
      </c>
      <c r="P104" s="51" t="s">
        <v>2379</v>
      </c>
      <c r="Q104" s="51" t="s">
        <v>1322</v>
      </c>
      <c r="R104" s="51" t="s">
        <v>1944</v>
      </c>
      <c r="S104" s="51" t="s">
        <v>1331</v>
      </c>
      <c r="T104" s="51" t="s">
        <v>2380</v>
      </c>
      <c r="U104" s="51">
        <v>15</v>
      </c>
      <c r="V104" s="51">
        <v>2</v>
      </c>
      <c r="W104" s="51" t="s">
        <v>1332</v>
      </c>
      <c r="X104" s="51">
        <v>146.4</v>
      </c>
      <c r="Y104" s="51" t="s">
        <v>182</v>
      </c>
      <c r="Z104" s="54">
        <v>2196</v>
      </c>
      <c r="AA104" s="51">
        <v>292.8</v>
      </c>
      <c r="AB104" s="51" t="s">
        <v>182</v>
      </c>
      <c r="AC104" s="51" t="s">
        <v>181</v>
      </c>
      <c r="AD104" s="51" t="s">
        <v>67</v>
      </c>
      <c r="AE104" s="51" t="s">
        <v>69</v>
      </c>
      <c r="AF104" s="51" t="s">
        <v>70</v>
      </c>
      <c r="AG104" s="51" t="s">
        <v>76</v>
      </c>
      <c r="AH104" s="53">
        <v>42422</v>
      </c>
      <c r="AI104" s="51" t="s">
        <v>64</v>
      </c>
      <c r="AJ104" s="53">
        <v>42412</v>
      </c>
      <c r="AK104" s="51" t="s">
        <v>100</v>
      </c>
      <c r="AL104" s="51">
        <v>62091523</v>
      </c>
      <c r="AM104" s="53">
        <v>42431</v>
      </c>
      <c r="AN104" s="51" t="s">
        <v>77</v>
      </c>
      <c r="AO104" s="51" t="s">
        <v>211</v>
      </c>
    </row>
    <row r="105" spans="1:41" x14ac:dyDescent="0.2">
      <c r="A105" s="51">
        <v>10020688</v>
      </c>
      <c r="B105" s="51">
        <v>10</v>
      </c>
      <c r="C105" s="51" t="s">
        <v>18</v>
      </c>
      <c r="D105" s="51" t="s">
        <v>78</v>
      </c>
      <c r="E105" s="53">
        <v>42412</v>
      </c>
      <c r="F105" s="51">
        <v>93683510</v>
      </c>
      <c r="G105" s="51">
        <v>10</v>
      </c>
      <c r="H105" s="51">
        <v>1201120</v>
      </c>
      <c r="I105" s="51" t="s">
        <v>117</v>
      </c>
      <c r="J105" s="51">
        <v>1307782</v>
      </c>
      <c r="K105" s="51" t="s">
        <v>119</v>
      </c>
      <c r="L105" s="51">
        <v>1171090</v>
      </c>
      <c r="M105" s="51" t="s">
        <v>118</v>
      </c>
      <c r="N105" s="51" t="s">
        <v>2381</v>
      </c>
      <c r="O105" s="51">
        <v>472052794</v>
      </c>
      <c r="P105" s="51" t="s">
        <v>2063</v>
      </c>
      <c r="Q105" s="51" t="s">
        <v>1459</v>
      </c>
      <c r="R105" s="51" t="s">
        <v>2064</v>
      </c>
      <c r="S105" s="51" t="s">
        <v>1459</v>
      </c>
      <c r="T105" s="51" t="s">
        <v>2382</v>
      </c>
      <c r="U105" s="51">
        <v>144</v>
      </c>
      <c r="V105" s="51">
        <v>36</v>
      </c>
      <c r="W105" s="51" t="s">
        <v>1332</v>
      </c>
      <c r="X105" s="51">
        <v>6.8</v>
      </c>
      <c r="Y105" s="51" t="s">
        <v>182</v>
      </c>
      <c r="Z105" s="51">
        <v>979.2</v>
      </c>
      <c r="AA105" s="51">
        <v>244.8</v>
      </c>
      <c r="AB105" s="51" t="s">
        <v>182</v>
      </c>
      <c r="AC105" s="51" t="s">
        <v>181</v>
      </c>
      <c r="AD105" s="51" t="s">
        <v>102</v>
      </c>
      <c r="AE105" s="51" t="s">
        <v>63</v>
      </c>
      <c r="AF105" s="51" t="s">
        <v>70</v>
      </c>
      <c r="AG105" s="51" t="s">
        <v>76</v>
      </c>
      <c r="AH105" s="53">
        <v>42422</v>
      </c>
      <c r="AI105" s="51" t="s">
        <v>64</v>
      </c>
      <c r="AJ105" s="53">
        <v>42412</v>
      </c>
      <c r="AK105" s="51"/>
      <c r="AL105" s="51"/>
      <c r="AM105" s="51"/>
      <c r="AN105" s="51" t="s">
        <v>77</v>
      </c>
      <c r="AO105" s="51" t="s">
        <v>2383</v>
      </c>
    </row>
    <row r="106" spans="1:41" x14ac:dyDescent="0.2">
      <c r="A106" s="51">
        <v>10020689</v>
      </c>
      <c r="B106" s="51">
        <v>70</v>
      </c>
      <c r="C106" s="51" t="s">
        <v>18</v>
      </c>
      <c r="D106" s="51" t="s">
        <v>78</v>
      </c>
      <c r="E106" s="53">
        <v>42412</v>
      </c>
      <c r="F106" s="51">
        <v>93683336</v>
      </c>
      <c r="G106" s="51">
        <v>70</v>
      </c>
      <c r="H106" s="51">
        <v>1057544</v>
      </c>
      <c r="I106" s="51" t="s">
        <v>363</v>
      </c>
      <c r="J106" s="51">
        <v>1327308</v>
      </c>
      <c r="K106" s="51" t="s">
        <v>363</v>
      </c>
      <c r="L106" s="51">
        <v>1057544</v>
      </c>
      <c r="M106" s="51" t="s">
        <v>363</v>
      </c>
      <c r="N106" s="51">
        <v>8126572</v>
      </c>
      <c r="O106" s="51">
        <v>591376830</v>
      </c>
      <c r="P106" s="51" t="s">
        <v>1590</v>
      </c>
      <c r="Q106" s="51" t="s">
        <v>1322</v>
      </c>
      <c r="R106" s="51" t="s">
        <v>1954</v>
      </c>
      <c r="S106" s="51" t="s">
        <v>1331</v>
      </c>
      <c r="T106" s="51" t="s">
        <v>2384</v>
      </c>
      <c r="U106" s="51">
        <v>96</v>
      </c>
      <c r="V106" s="51">
        <v>48</v>
      </c>
      <c r="W106" s="51" t="s">
        <v>1332</v>
      </c>
      <c r="X106" s="51">
        <v>265.89999999999998</v>
      </c>
      <c r="Y106" s="51" t="s">
        <v>182</v>
      </c>
      <c r="Z106" s="54">
        <v>25526.400000000001</v>
      </c>
      <c r="AA106" s="54">
        <v>12763.2</v>
      </c>
      <c r="AB106" s="51" t="s">
        <v>182</v>
      </c>
      <c r="AC106" s="51" t="s">
        <v>181</v>
      </c>
      <c r="AD106" s="51" t="s">
        <v>102</v>
      </c>
      <c r="AE106" s="51" t="s">
        <v>63</v>
      </c>
      <c r="AF106" s="51" t="s">
        <v>70</v>
      </c>
      <c r="AG106" s="51" t="s">
        <v>76</v>
      </c>
      <c r="AH106" s="53">
        <v>42422</v>
      </c>
      <c r="AI106" s="51" t="s">
        <v>83</v>
      </c>
      <c r="AJ106" s="53">
        <v>42416</v>
      </c>
      <c r="AK106" s="51"/>
      <c r="AL106" s="51"/>
      <c r="AM106" s="51"/>
      <c r="AN106" s="51" t="s">
        <v>77</v>
      </c>
      <c r="AO106" s="51" t="s">
        <v>2385</v>
      </c>
    </row>
    <row r="107" spans="1:41" x14ac:dyDescent="0.2">
      <c r="A107" s="51">
        <v>10020690</v>
      </c>
      <c r="B107" s="51">
        <v>550</v>
      </c>
      <c r="C107" s="51" t="s">
        <v>18</v>
      </c>
      <c r="D107" s="51" t="s">
        <v>432</v>
      </c>
      <c r="E107" s="53">
        <v>42412</v>
      </c>
      <c r="F107" s="51">
        <v>93651471</v>
      </c>
      <c r="G107" s="51">
        <v>550</v>
      </c>
      <c r="H107" s="51">
        <v>1201232</v>
      </c>
      <c r="I107" s="51" t="s">
        <v>772</v>
      </c>
      <c r="J107" s="51">
        <v>1201232</v>
      </c>
      <c r="K107" s="51" t="s">
        <v>772</v>
      </c>
      <c r="L107" s="51">
        <v>1201232</v>
      </c>
      <c r="M107" s="51" t="s">
        <v>772</v>
      </c>
      <c r="N107" s="51">
        <v>29512</v>
      </c>
      <c r="O107" s="51">
        <v>591271960</v>
      </c>
      <c r="P107" s="51" t="s">
        <v>2386</v>
      </c>
      <c r="Q107" s="51" t="s">
        <v>1322</v>
      </c>
      <c r="R107" s="51" t="s">
        <v>1559</v>
      </c>
      <c r="S107" s="51" t="s">
        <v>1331</v>
      </c>
      <c r="T107" s="51" t="s">
        <v>2387</v>
      </c>
      <c r="U107" s="51">
        <v>48</v>
      </c>
      <c r="V107" s="51">
        <v>1</v>
      </c>
      <c r="W107" s="51" t="s">
        <v>1332</v>
      </c>
      <c r="X107" s="51">
        <v>435.94</v>
      </c>
      <c r="Y107" s="51" t="s">
        <v>182</v>
      </c>
      <c r="Z107" s="54">
        <v>20925.12</v>
      </c>
      <c r="AA107" s="51">
        <v>435.94</v>
      </c>
      <c r="AB107" s="51" t="s">
        <v>182</v>
      </c>
      <c r="AC107" s="51" t="s">
        <v>181</v>
      </c>
      <c r="AD107" s="51" t="s">
        <v>91</v>
      </c>
      <c r="AE107" s="51" t="s">
        <v>69</v>
      </c>
      <c r="AF107" s="51" t="s">
        <v>105</v>
      </c>
      <c r="AG107" s="51" t="s">
        <v>76</v>
      </c>
      <c r="AH107" s="53">
        <v>42422</v>
      </c>
      <c r="AI107" s="51" t="s">
        <v>64</v>
      </c>
      <c r="AJ107" s="53">
        <v>42412</v>
      </c>
      <c r="AK107" s="51" t="s">
        <v>100</v>
      </c>
      <c r="AL107" s="51">
        <v>62086912</v>
      </c>
      <c r="AM107" s="53">
        <v>42424</v>
      </c>
      <c r="AN107" s="51" t="s">
        <v>106</v>
      </c>
      <c r="AO107" s="51" t="s">
        <v>2388</v>
      </c>
    </row>
    <row r="108" spans="1:41" x14ac:dyDescent="0.2">
      <c r="A108" s="51">
        <v>10020691</v>
      </c>
      <c r="B108" s="51">
        <v>610</v>
      </c>
      <c r="C108" s="51" t="s">
        <v>26</v>
      </c>
      <c r="D108" s="51" t="s">
        <v>78</v>
      </c>
      <c r="E108" s="53">
        <v>42412</v>
      </c>
      <c r="F108" s="51">
        <v>93637306</v>
      </c>
      <c r="G108" s="51">
        <v>610</v>
      </c>
      <c r="H108" s="51">
        <v>1201315</v>
      </c>
      <c r="I108" s="51" t="s">
        <v>256</v>
      </c>
      <c r="J108" s="51">
        <v>1319408</v>
      </c>
      <c r="K108" s="51" t="s">
        <v>256</v>
      </c>
      <c r="L108" s="51">
        <v>1201315</v>
      </c>
      <c r="M108" s="51" t="s">
        <v>256</v>
      </c>
      <c r="N108" s="51">
        <v>5686367</v>
      </c>
      <c r="O108" s="51">
        <v>591044401</v>
      </c>
      <c r="P108" s="51" t="s">
        <v>1792</v>
      </c>
      <c r="Q108" s="51" t="s">
        <v>1322</v>
      </c>
      <c r="R108" s="51" t="s">
        <v>1793</v>
      </c>
      <c r="S108" s="51" t="s">
        <v>1331</v>
      </c>
      <c r="T108" s="51" t="s">
        <v>1794</v>
      </c>
      <c r="U108" s="51">
        <v>72</v>
      </c>
      <c r="V108" s="51">
        <v>12</v>
      </c>
      <c r="W108" s="51" t="s">
        <v>1332</v>
      </c>
      <c r="X108" s="51">
        <v>20.399999999999999</v>
      </c>
      <c r="Y108" s="51" t="s">
        <v>182</v>
      </c>
      <c r="Z108" s="54">
        <v>1468.8</v>
      </c>
      <c r="AA108" s="51">
        <v>244.8</v>
      </c>
      <c r="AB108" s="51" t="s">
        <v>182</v>
      </c>
      <c r="AC108" s="51" t="s">
        <v>181</v>
      </c>
      <c r="AD108" s="51" t="s">
        <v>67</v>
      </c>
      <c r="AE108" s="51" t="s">
        <v>63</v>
      </c>
      <c r="AF108" s="51" t="s">
        <v>94</v>
      </c>
      <c r="AG108" s="51" t="s">
        <v>95</v>
      </c>
      <c r="AH108" s="53">
        <v>42422</v>
      </c>
      <c r="AI108" s="51" t="s">
        <v>64</v>
      </c>
      <c r="AJ108" s="53">
        <v>42412</v>
      </c>
      <c r="AK108" s="51"/>
      <c r="AL108" s="51"/>
      <c r="AM108" s="51"/>
      <c r="AN108" s="51" t="s">
        <v>96</v>
      </c>
      <c r="AO108" s="51" t="s">
        <v>2389</v>
      </c>
    </row>
    <row r="109" spans="1:41" x14ac:dyDescent="0.2">
      <c r="A109" s="51">
        <v>10020692</v>
      </c>
      <c r="B109" s="51">
        <v>1300</v>
      </c>
      <c r="C109" s="51" t="s">
        <v>26</v>
      </c>
      <c r="D109" s="51" t="s">
        <v>78</v>
      </c>
      <c r="E109" s="53">
        <v>42412</v>
      </c>
      <c r="F109" s="51">
        <v>93678948</v>
      </c>
      <c r="G109" s="51">
        <v>1300</v>
      </c>
      <c r="H109" s="51">
        <v>1201047</v>
      </c>
      <c r="I109" s="51" t="s">
        <v>79</v>
      </c>
      <c r="J109" s="51">
        <v>1034532</v>
      </c>
      <c r="K109" s="51" t="s">
        <v>301</v>
      </c>
      <c r="L109" s="51">
        <v>1171089</v>
      </c>
      <c r="M109" s="51" t="s">
        <v>75</v>
      </c>
      <c r="N109" s="51">
        <v>25440006</v>
      </c>
      <c r="O109" s="51">
        <v>228364003</v>
      </c>
      <c r="P109" s="51" t="s">
        <v>2390</v>
      </c>
      <c r="Q109" s="51" t="s">
        <v>1322</v>
      </c>
      <c r="R109" s="51" t="s">
        <v>2031</v>
      </c>
      <c r="S109" s="51" t="s">
        <v>1331</v>
      </c>
      <c r="T109" s="51" t="s">
        <v>2391</v>
      </c>
      <c r="U109" s="51">
        <v>12</v>
      </c>
      <c r="V109" s="51">
        <v>12</v>
      </c>
      <c r="W109" s="51" t="s">
        <v>1332</v>
      </c>
      <c r="X109" s="51">
        <v>193.95</v>
      </c>
      <c r="Y109" s="51" t="s">
        <v>182</v>
      </c>
      <c r="Z109" s="54">
        <v>2327.4</v>
      </c>
      <c r="AA109" s="54">
        <v>2327.4</v>
      </c>
      <c r="AB109" s="51" t="s">
        <v>182</v>
      </c>
      <c r="AC109" s="51" t="s">
        <v>181</v>
      </c>
      <c r="AD109" s="51" t="s">
        <v>91</v>
      </c>
      <c r="AE109" s="51" t="s">
        <v>69</v>
      </c>
      <c r="AF109" s="51" t="s">
        <v>94</v>
      </c>
      <c r="AG109" s="51" t="s">
        <v>95</v>
      </c>
      <c r="AH109" s="53">
        <v>42418</v>
      </c>
      <c r="AI109" s="51" t="s">
        <v>64</v>
      </c>
      <c r="AJ109" s="53">
        <v>42412</v>
      </c>
      <c r="AK109" s="51" t="s">
        <v>100</v>
      </c>
      <c r="AL109" s="51">
        <v>62085586</v>
      </c>
      <c r="AM109" s="53">
        <v>42422</v>
      </c>
      <c r="AN109" s="51" t="s">
        <v>96</v>
      </c>
      <c r="AO109" s="51" t="s">
        <v>2392</v>
      </c>
    </row>
    <row r="110" spans="1:41" x14ac:dyDescent="0.2">
      <c r="A110" s="51">
        <v>10020693</v>
      </c>
      <c r="B110" s="51">
        <v>10</v>
      </c>
      <c r="C110" s="51" t="s">
        <v>18</v>
      </c>
      <c r="D110" s="51" t="s">
        <v>432</v>
      </c>
      <c r="E110" s="53">
        <v>42412</v>
      </c>
      <c r="F110" s="51">
        <v>93661947</v>
      </c>
      <c r="G110" s="51">
        <v>10</v>
      </c>
      <c r="H110" s="51">
        <v>1201399</v>
      </c>
      <c r="I110" s="51" t="s">
        <v>144</v>
      </c>
      <c r="J110" s="51">
        <v>1335374</v>
      </c>
      <c r="K110" s="51" t="s">
        <v>146</v>
      </c>
      <c r="L110" s="51">
        <v>1171970</v>
      </c>
      <c r="M110" s="51" t="s">
        <v>144</v>
      </c>
      <c r="N110" s="51">
        <v>2100045546</v>
      </c>
      <c r="O110" s="51">
        <v>591014987</v>
      </c>
      <c r="P110" s="51" t="s">
        <v>2251</v>
      </c>
      <c r="Q110" s="51" t="s">
        <v>1322</v>
      </c>
      <c r="R110" s="51" t="s">
        <v>2232</v>
      </c>
      <c r="S110" s="51" t="s">
        <v>1331</v>
      </c>
      <c r="T110" s="51">
        <v>152239.1</v>
      </c>
      <c r="U110" s="51">
        <v>256</v>
      </c>
      <c r="V110" s="51">
        <v>7</v>
      </c>
      <c r="W110" s="51" t="s">
        <v>1332</v>
      </c>
      <c r="X110" s="51">
        <v>318</v>
      </c>
      <c r="Y110" s="51" t="s">
        <v>182</v>
      </c>
      <c r="Z110" s="54">
        <v>81408</v>
      </c>
      <c r="AA110" s="54">
        <v>2226</v>
      </c>
      <c r="AB110" s="51" t="s">
        <v>182</v>
      </c>
      <c r="AC110" s="51" t="s">
        <v>181</v>
      </c>
      <c r="AD110" s="51" t="s">
        <v>97</v>
      </c>
      <c r="AE110" s="51" t="s">
        <v>63</v>
      </c>
      <c r="AF110" s="51" t="s">
        <v>70</v>
      </c>
      <c r="AG110" s="51" t="s">
        <v>76</v>
      </c>
      <c r="AH110" s="53">
        <v>42422</v>
      </c>
      <c r="AI110" s="51" t="s">
        <v>64</v>
      </c>
      <c r="AJ110" s="53">
        <v>42412</v>
      </c>
      <c r="AK110" s="51"/>
      <c r="AL110" s="51"/>
      <c r="AM110" s="51"/>
      <c r="AN110" s="51" t="s">
        <v>77</v>
      </c>
      <c r="AO110" s="51" t="s">
        <v>345</v>
      </c>
    </row>
    <row r="111" spans="1:41" x14ac:dyDescent="0.2">
      <c r="A111" s="51">
        <v>10020694</v>
      </c>
      <c r="B111" s="51">
        <v>170</v>
      </c>
      <c r="C111" s="51" t="s">
        <v>26</v>
      </c>
      <c r="D111" s="51" t="s">
        <v>78</v>
      </c>
      <c r="E111" s="53">
        <v>42412</v>
      </c>
      <c r="F111" s="51">
        <v>93678166</v>
      </c>
      <c r="G111" s="51">
        <v>170</v>
      </c>
      <c r="H111" s="51">
        <v>1201047</v>
      </c>
      <c r="I111" s="51" t="s">
        <v>79</v>
      </c>
      <c r="J111" s="51">
        <v>1307128</v>
      </c>
      <c r="K111" s="51" t="s">
        <v>85</v>
      </c>
      <c r="L111" s="51">
        <v>1171089</v>
      </c>
      <c r="M111" s="51" t="s">
        <v>75</v>
      </c>
      <c r="N111" s="51">
        <v>10501083</v>
      </c>
      <c r="O111" s="51">
        <v>16252051501</v>
      </c>
      <c r="P111" s="51" t="s">
        <v>2393</v>
      </c>
      <c r="Q111" s="51" t="s">
        <v>1322</v>
      </c>
      <c r="R111" s="51" t="s">
        <v>2394</v>
      </c>
      <c r="S111" s="51" t="s">
        <v>1331</v>
      </c>
      <c r="T111" s="51" t="s">
        <v>2395</v>
      </c>
      <c r="U111" s="51">
        <v>330</v>
      </c>
      <c r="V111" s="51">
        <v>18</v>
      </c>
      <c r="W111" s="51" t="s">
        <v>1332</v>
      </c>
      <c r="X111" s="51">
        <v>86.04</v>
      </c>
      <c r="Y111" s="51" t="s">
        <v>182</v>
      </c>
      <c r="Z111" s="54">
        <v>28393.200000000001</v>
      </c>
      <c r="AA111" s="54">
        <v>1548.72</v>
      </c>
      <c r="AB111" s="51" t="s">
        <v>182</v>
      </c>
      <c r="AC111" s="51" t="s">
        <v>181</v>
      </c>
      <c r="AD111" s="51" t="s">
        <v>102</v>
      </c>
      <c r="AE111" s="51" t="s">
        <v>63</v>
      </c>
      <c r="AF111" s="51" t="s">
        <v>94</v>
      </c>
      <c r="AG111" s="51" t="s">
        <v>95</v>
      </c>
      <c r="AH111" s="53">
        <v>42418</v>
      </c>
      <c r="AI111" s="51" t="s">
        <v>64</v>
      </c>
      <c r="AJ111" s="53">
        <v>42412</v>
      </c>
      <c r="AK111" s="51"/>
      <c r="AL111" s="51"/>
      <c r="AM111" s="51"/>
      <c r="AN111" s="51" t="s">
        <v>96</v>
      </c>
      <c r="AO111" s="51" t="s">
        <v>2396</v>
      </c>
    </row>
    <row r="112" spans="1:41" x14ac:dyDescent="0.2">
      <c r="A112" s="51">
        <v>10020695</v>
      </c>
      <c r="B112" s="51">
        <v>90</v>
      </c>
      <c r="C112" s="51" t="s">
        <v>18</v>
      </c>
      <c r="D112" s="51" t="s">
        <v>78</v>
      </c>
      <c r="E112" s="53">
        <v>42412</v>
      </c>
      <c r="F112" s="51">
        <v>93641530</v>
      </c>
      <c r="G112" s="51">
        <v>90</v>
      </c>
      <c r="H112" s="51">
        <v>1201047</v>
      </c>
      <c r="I112" s="51" t="s">
        <v>79</v>
      </c>
      <c r="J112" s="51">
        <v>1034532</v>
      </c>
      <c r="K112" s="51" t="s">
        <v>301</v>
      </c>
      <c r="L112" s="51">
        <v>1171089</v>
      </c>
      <c r="M112" s="51" t="s">
        <v>75</v>
      </c>
      <c r="N112" s="51">
        <v>25437534</v>
      </c>
      <c r="O112" s="51">
        <v>228266650</v>
      </c>
      <c r="P112" s="51" t="s">
        <v>2192</v>
      </c>
      <c r="Q112" s="51" t="s">
        <v>1322</v>
      </c>
      <c r="R112" s="51" t="s">
        <v>2190</v>
      </c>
      <c r="S112" s="51" t="s">
        <v>1331</v>
      </c>
      <c r="T112" s="51"/>
      <c r="U112" s="51">
        <v>252</v>
      </c>
      <c r="V112" s="51">
        <v>2</v>
      </c>
      <c r="W112" s="51" t="s">
        <v>1332</v>
      </c>
      <c r="X112" s="51">
        <v>43.75</v>
      </c>
      <c r="Y112" s="51" t="s">
        <v>182</v>
      </c>
      <c r="Z112" s="54">
        <v>11025</v>
      </c>
      <c r="AA112" s="51">
        <v>87.5</v>
      </c>
      <c r="AB112" s="51" t="s">
        <v>182</v>
      </c>
      <c r="AC112" s="51" t="s">
        <v>181</v>
      </c>
      <c r="AD112" s="51" t="s">
        <v>61</v>
      </c>
      <c r="AE112" s="51" t="s">
        <v>63</v>
      </c>
      <c r="AF112" s="51" t="s">
        <v>105</v>
      </c>
      <c r="AG112" s="51" t="s">
        <v>82</v>
      </c>
      <c r="AH112" s="53">
        <v>42422</v>
      </c>
      <c r="AI112" s="51" t="s">
        <v>64</v>
      </c>
      <c r="AJ112" s="53">
        <v>42412</v>
      </c>
      <c r="AK112" s="51"/>
      <c r="AL112" s="51"/>
      <c r="AM112" s="51"/>
      <c r="AN112" s="51" t="s">
        <v>106</v>
      </c>
      <c r="AO112" s="51" t="s">
        <v>2397</v>
      </c>
    </row>
    <row r="113" spans="1:41" x14ac:dyDescent="0.2">
      <c r="A113" s="51">
        <v>10020696</v>
      </c>
      <c r="B113" s="51">
        <v>120</v>
      </c>
      <c r="C113" s="51" t="s">
        <v>25</v>
      </c>
      <c r="D113" s="51" t="s">
        <v>78</v>
      </c>
      <c r="E113" s="53">
        <v>42412</v>
      </c>
      <c r="F113" s="51">
        <v>93672258</v>
      </c>
      <c r="G113" s="51">
        <v>120</v>
      </c>
      <c r="H113" s="51">
        <v>1201156</v>
      </c>
      <c r="I113" s="51" t="s">
        <v>131</v>
      </c>
      <c r="J113" s="51">
        <v>1319569</v>
      </c>
      <c r="K113" s="51" t="s">
        <v>132</v>
      </c>
      <c r="L113" s="51">
        <v>1201156</v>
      </c>
      <c r="M113" s="51" t="s">
        <v>131</v>
      </c>
      <c r="N113" s="51">
        <v>8353131</v>
      </c>
      <c r="O113" s="51">
        <v>591079601</v>
      </c>
      <c r="P113" s="51" t="s">
        <v>2398</v>
      </c>
      <c r="Q113" s="51" t="s">
        <v>1322</v>
      </c>
      <c r="R113" s="51" t="s">
        <v>2399</v>
      </c>
      <c r="S113" s="51" t="s">
        <v>1331</v>
      </c>
      <c r="T113" s="51">
        <v>3136799</v>
      </c>
      <c r="U113" s="51">
        <v>744</v>
      </c>
      <c r="V113" s="51">
        <v>1</v>
      </c>
      <c r="W113" s="51" t="s">
        <v>1369</v>
      </c>
      <c r="X113" s="51">
        <v>8.9</v>
      </c>
      <c r="Y113" s="51" t="s">
        <v>182</v>
      </c>
      <c r="Z113" s="54">
        <v>6621.6</v>
      </c>
      <c r="AA113" s="51">
        <v>213.6</v>
      </c>
      <c r="AB113" s="51" t="s">
        <v>182</v>
      </c>
      <c r="AC113" s="51" t="s">
        <v>181</v>
      </c>
      <c r="AD113" s="51" t="s">
        <v>102</v>
      </c>
      <c r="AE113" s="51" t="s">
        <v>69</v>
      </c>
      <c r="AF113" s="51" t="s">
        <v>70</v>
      </c>
      <c r="AG113" s="51" t="s">
        <v>71</v>
      </c>
      <c r="AH113" s="53">
        <v>42416</v>
      </c>
      <c r="AI113" s="51" t="s">
        <v>64</v>
      </c>
      <c r="AJ113" s="53">
        <v>42412</v>
      </c>
      <c r="AK113" s="51" t="s">
        <v>72</v>
      </c>
      <c r="AL113" s="51">
        <v>62085581</v>
      </c>
      <c r="AM113" s="53">
        <v>42422</v>
      </c>
      <c r="AN113" s="51" t="s">
        <v>73</v>
      </c>
      <c r="AO113" s="51" t="s">
        <v>302</v>
      </c>
    </row>
    <row r="114" spans="1:41" x14ac:dyDescent="0.2">
      <c r="A114" s="51">
        <v>10020697</v>
      </c>
      <c r="B114" s="51">
        <v>120</v>
      </c>
      <c r="C114" s="51" t="s">
        <v>26</v>
      </c>
      <c r="D114" s="51" t="s">
        <v>78</v>
      </c>
      <c r="E114" s="53">
        <v>42412</v>
      </c>
      <c r="F114" s="51">
        <v>93682379</v>
      </c>
      <c r="G114" s="51">
        <v>120</v>
      </c>
      <c r="H114" s="51">
        <v>1201540</v>
      </c>
      <c r="I114" s="51" t="s">
        <v>150</v>
      </c>
      <c r="J114" s="51">
        <v>1312297</v>
      </c>
      <c r="K114" s="51" t="s">
        <v>151</v>
      </c>
      <c r="L114" s="51">
        <v>1201540</v>
      </c>
      <c r="M114" s="51" t="s">
        <v>150</v>
      </c>
      <c r="N114" s="51" t="s">
        <v>2372</v>
      </c>
      <c r="O114" s="51">
        <v>591045301</v>
      </c>
      <c r="P114" s="51" t="s">
        <v>2400</v>
      </c>
      <c r="Q114" s="51" t="s">
        <v>1322</v>
      </c>
      <c r="R114" s="51" t="s">
        <v>1793</v>
      </c>
      <c r="S114" s="51" t="s">
        <v>1331</v>
      </c>
      <c r="T114" s="51" t="s">
        <v>2401</v>
      </c>
      <c r="U114" s="51">
        <v>1</v>
      </c>
      <c r="V114" s="51">
        <v>48</v>
      </c>
      <c r="W114" s="51" t="s">
        <v>1332</v>
      </c>
      <c r="X114" s="51">
        <v>6.02</v>
      </c>
      <c r="Y114" s="51" t="s">
        <v>182</v>
      </c>
      <c r="Z114" s="51">
        <v>288.95999999999998</v>
      </c>
      <c r="AA114" s="51">
        <v>288.95999999999998</v>
      </c>
      <c r="AB114" s="51" t="s">
        <v>182</v>
      </c>
      <c r="AC114" s="51" t="s">
        <v>181</v>
      </c>
      <c r="AD114" s="51" t="s">
        <v>102</v>
      </c>
      <c r="AE114" s="51" t="s">
        <v>63</v>
      </c>
      <c r="AF114" s="51" t="s">
        <v>94</v>
      </c>
      <c r="AG114" s="51" t="s">
        <v>95</v>
      </c>
      <c r="AH114" s="53">
        <v>42422</v>
      </c>
      <c r="AI114" s="51" t="s">
        <v>64</v>
      </c>
      <c r="AJ114" s="53">
        <v>42412</v>
      </c>
      <c r="AK114" s="51"/>
      <c r="AL114" s="51"/>
      <c r="AM114" s="51"/>
      <c r="AN114" s="51" t="s">
        <v>96</v>
      </c>
      <c r="AO114" s="51" t="s">
        <v>2402</v>
      </c>
    </row>
    <row r="115" spans="1:41" x14ac:dyDescent="0.2">
      <c r="A115" s="51">
        <v>10020697</v>
      </c>
      <c r="B115" s="51">
        <v>400</v>
      </c>
      <c r="C115" s="51" t="s">
        <v>26</v>
      </c>
      <c r="D115" s="51" t="s">
        <v>78</v>
      </c>
      <c r="E115" s="53">
        <v>42412</v>
      </c>
      <c r="F115" s="51">
        <v>93682379</v>
      </c>
      <c r="G115" s="51">
        <v>400</v>
      </c>
      <c r="H115" s="51">
        <v>1201540</v>
      </c>
      <c r="I115" s="51" t="s">
        <v>150</v>
      </c>
      <c r="J115" s="51">
        <v>1312297</v>
      </c>
      <c r="K115" s="51" t="s">
        <v>151</v>
      </c>
      <c r="L115" s="51">
        <v>1201540</v>
      </c>
      <c r="M115" s="51" t="s">
        <v>150</v>
      </c>
      <c r="N115" s="51" t="s">
        <v>2372</v>
      </c>
      <c r="O115" s="51">
        <v>591350904</v>
      </c>
      <c r="P115" s="51" t="s">
        <v>2112</v>
      </c>
      <c r="Q115" s="51" t="s">
        <v>1322</v>
      </c>
      <c r="R115" s="51" t="s">
        <v>1952</v>
      </c>
      <c r="S115" s="51" t="s">
        <v>1331</v>
      </c>
      <c r="T115" s="51" t="s">
        <v>2113</v>
      </c>
      <c r="U115" s="51">
        <v>2</v>
      </c>
      <c r="V115" s="51">
        <v>48</v>
      </c>
      <c r="W115" s="51" t="s">
        <v>1332</v>
      </c>
      <c r="X115" s="51">
        <v>49.01</v>
      </c>
      <c r="Y115" s="51" t="s">
        <v>182</v>
      </c>
      <c r="Z115" s="54">
        <v>2352.48</v>
      </c>
      <c r="AA115" s="54">
        <v>2352.48</v>
      </c>
      <c r="AB115" s="51" t="s">
        <v>182</v>
      </c>
      <c r="AC115" s="51" t="s">
        <v>181</v>
      </c>
      <c r="AD115" s="51" t="s">
        <v>102</v>
      </c>
      <c r="AE115" s="51" t="s">
        <v>63</v>
      </c>
      <c r="AF115" s="51" t="s">
        <v>94</v>
      </c>
      <c r="AG115" s="51" t="s">
        <v>95</v>
      </c>
      <c r="AH115" s="53">
        <v>42422</v>
      </c>
      <c r="AI115" s="51" t="s">
        <v>64</v>
      </c>
      <c r="AJ115" s="53">
        <v>42412</v>
      </c>
      <c r="AK115" s="51"/>
      <c r="AL115" s="51"/>
      <c r="AM115" s="51"/>
      <c r="AN115" s="51" t="s">
        <v>96</v>
      </c>
      <c r="AO115" s="51" t="s">
        <v>2402</v>
      </c>
    </row>
    <row r="116" spans="1:41" x14ac:dyDescent="0.2">
      <c r="A116" s="51">
        <v>10020697</v>
      </c>
      <c r="B116" s="51">
        <v>430</v>
      </c>
      <c r="C116" s="51" t="s">
        <v>26</v>
      </c>
      <c r="D116" s="51" t="s">
        <v>78</v>
      </c>
      <c r="E116" s="53">
        <v>42412</v>
      </c>
      <c r="F116" s="51">
        <v>93682379</v>
      </c>
      <c r="G116" s="51">
        <v>430</v>
      </c>
      <c r="H116" s="51">
        <v>1201540</v>
      </c>
      <c r="I116" s="51" t="s">
        <v>150</v>
      </c>
      <c r="J116" s="51">
        <v>1312297</v>
      </c>
      <c r="K116" s="51" t="s">
        <v>151</v>
      </c>
      <c r="L116" s="51">
        <v>1201540</v>
      </c>
      <c r="M116" s="51" t="s">
        <v>150</v>
      </c>
      <c r="N116" s="51" t="s">
        <v>2372</v>
      </c>
      <c r="O116" s="51">
        <v>228285011</v>
      </c>
      <c r="P116" s="51" t="s">
        <v>1605</v>
      </c>
      <c r="Q116" s="51" t="s">
        <v>1322</v>
      </c>
      <c r="R116" s="51" t="s">
        <v>1606</v>
      </c>
      <c r="S116" s="51" t="s">
        <v>1331</v>
      </c>
      <c r="T116" s="51"/>
      <c r="U116" s="51">
        <v>2</v>
      </c>
      <c r="V116" s="51">
        <v>24</v>
      </c>
      <c r="W116" s="51" t="s">
        <v>1332</v>
      </c>
      <c r="X116" s="51">
        <v>32.86</v>
      </c>
      <c r="Y116" s="51" t="s">
        <v>182</v>
      </c>
      <c r="Z116" s="54">
        <v>1577.28</v>
      </c>
      <c r="AA116" s="51">
        <v>788.64</v>
      </c>
      <c r="AB116" s="51" t="s">
        <v>182</v>
      </c>
      <c r="AC116" s="51" t="s">
        <v>181</v>
      </c>
      <c r="AD116" s="51" t="s">
        <v>102</v>
      </c>
      <c r="AE116" s="51" t="s">
        <v>63</v>
      </c>
      <c r="AF116" s="51" t="s">
        <v>94</v>
      </c>
      <c r="AG116" s="51" t="s">
        <v>95</v>
      </c>
      <c r="AH116" s="53">
        <v>42422</v>
      </c>
      <c r="AI116" s="51" t="s">
        <v>64</v>
      </c>
      <c r="AJ116" s="53">
        <v>42412</v>
      </c>
      <c r="AK116" s="51"/>
      <c r="AL116" s="51"/>
      <c r="AM116" s="51"/>
      <c r="AN116" s="51" t="s">
        <v>96</v>
      </c>
      <c r="AO116" s="51" t="s">
        <v>2402</v>
      </c>
    </row>
    <row r="117" spans="1:41" x14ac:dyDescent="0.2">
      <c r="A117" s="51">
        <v>10020698</v>
      </c>
      <c r="B117" s="51">
        <v>360</v>
      </c>
      <c r="C117" s="51" t="s">
        <v>18</v>
      </c>
      <c r="D117" s="51" t="s">
        <v>78</v>
      </c>
      <c r="E117" s="53">
        <v>42412</v>
      </c>
      <c r="F117" s="51">
        <v>93682379</v>
      </c>
      <c r="G117" s="51">
        <v>360</v>
      </c>
      <c r="H117" s="51">
        <v>1201540</v>
      </c>
      <c r="I117" s="51" t="s">
        <v>150</v>
      </c>
      <c r="J117" s="51">
        <v>1312297</v>
      </c>
      <c r="K117" s="51" t="s">
        <v>151</v>
      </c>
      <c r="L117" s="51">
        <v>1201540</v>
      </c>
      <c r="M117" s="51" t="s">
        <v>150</v>
      </c>
      <c r="N117" s="51" t="s">
        <v>2372</v>
      </c>
      <c r="O117" s="51">
        <v>591565810</v>
      </c>
      <c r="P117" s="51" t="s">
        <v>2403</v>
      </c>
      <c r="Q117" s="51" t="s">
        <v>1322</v>
      </c>
      <c r="R117" s="51" t="s">
        <v>2404</v>
      </c>
      <c r="S117" s="51" t="s">
        <v>1331</v>
      </c>
      <c r="T117" s="51"/>
      <c r="U117" s="51">
        <v>4</v>
      </c>
      <c r="V117" s="51">
        <v>5</v>
      </c>
      <c r="W117" s="51" t="s">
        <v>1332</v>
      </c>
      <c r="X117" s="51">
        <v>10.09</v>
      </c>
      <c r="Y117" s="51" t="s">
        <v>182</v>
      </c>
      <c r="Z117" s="54">
        <v>1937.28</v>
      </c>
      <c r="AA117" s="51">
        <v>50.45</v>
      </c>
      <c r="AB117" s="51" t="s">
        <v>182</v>
      </c>
      <c r="AC117" s="51" t="s">
        <v>181</v>
      </c>
      <c r="AD117" s="51" t="s">
        <v>61</v>
      </c>
      <c r="AE117" s="51" t="s">
        <v>63</v>
      </c>
      <c r="AF117" s="51" t="s">
        <v>70</v>
      </c>
      <c r="AG117" s="51" t="s">
        <v>76</v>
      </c>
      <c r="AH117" s="53">
        <v>42422</v>
      </c>
      <c r="AI117" s="51" t="s">
        <v>64</v>
      </c>
      <c r="AJ117" s="53">
        <v>42412</v>
      </c>
      <c r="AK117" s="51"/>
      <c r="AL117" s="51"/>
      <c r="AM117" s="51"/>
      <c r="AN117" s="51" t="s">
        <v>77</v>
      </c>
      <c r="AO117" s="51" t="s">
        <v>187</v>
      </c>
    </row>
    <row r="118" spans="1:41" x14ac:dyDescent="0.2">
      <c r="A118" s="51">
        <v>10020700</v>
      </c>
      <c r="B118" s="51">
        <v>80</v>
      </c>
      <c r="C118" s="51" t="s">
        <v>18</v>
      </c>
      <c r="D118" s="51" t="s">
        <v>78</v>
      </c>
      <c r="E118" s="53">
        <v>42415</v>
      </c>
      <c r="F118" s="51">
        <v>93687542</v>
      </c>
      <c r="G118" s="51">
        <v>80</v>
      </c>
      <c r="H118" s="51">
        <v>1201120</v>
      </c>
      <c r="I118" s="51" t="s">
        <v>117</v>
      </c>
      <c r="J118" s="51">
        <v>1307782</v>
      </c>
      <c r="K118" s="51" t="s">
        <v>119</v>
      </c>
      <c r="L118" s="51">
        <v>1171090</v>
      </c>
      <c r="M118" s="51" t="s">
        <v>118</v>
      </c>
      <c r="N118" s="51" t="s">
        <v>2405</v>
      </c>
      <c r="O118" s="51">
        <v>591381760</v>
      </c>
      <c r="P118" s="51" t="s">
        <v>1357</v>
      </c>
      <c r="Q118" s="51" t="s">
        <v>1322</v>
      </c>
      <c r="R118" s="51" t="s">
        <v>1358</v>
      </c>
      <c r="S118" s="51" t="s">
        <v>1331</v>
      </c>
      <c r="T118" s="51"/>
      <c r="U118" s="51">
        <v>6240</v>
      </c>
      <c r="V118" s="51">
        <v>228</v>
      </c>
      <c r="W118" s="51" t="s">
        <v>1332</v>
      </c>
      <c r="X118" s="51">
        <v>24</v>
      </c>
      <c r="Y118" s="51" t="s">
        <v>182</v>
      </c>
      <c r="Z118" s="54">
        <v>149760</v>
      </c>
      <c r="AA118" s="54">
        <v>5472</v>
      </c>
      <c r="AB118" s="51" t="s">
        <v>182</v>
      </c>
      <c r="AC118" s="51" t="s">
        <v>181</v>
      </c>
      <c r="AD118" s="51" t="s">
        <v>61</v>
      </c>
      <c r="AE118" s="51" t="s">
        <v>63</v>
      </c>
      <c r="AF118" s="51" t="s">
        <v>70</v>
      </c>
      <c r="AG118" s="51" t="s">
        <v>71</v>
      </c>
      <c r="AH118" s="53">
        <v>42431</v>
      </c>
      <c r="AI118" s="51" t="s">
        <v>83</v>
      </c>
      <c r="AJ118" s="53">
        <v>42416</v>
      </c>
      <c r="AK118" s="51"/>
      <c r="AL118" s="51"/>
      <c r="AM118" s="53">
        <v>42431</v>
      </c>
      <c r="AN118" s="51" t="s">
        <v>73</v>
      </c>
      <c r="AO118" s="51" t="s">
        <v>2406</v>
      </c>
    </row>
    <row r="119" spans="1:41" x14ac:dyDescent="0.2">
      <c r="A119" s="51">
        <v>10020700</v>
      </c>
      <c r="B119" s="51">
        <v>90</v>
      </c>
      <c r="C119" s="51" t="s">
        <v>18</v>
      </c>
      <c r="D119" s="51" t="s">
        <v>78</v>
      </c>
      <c r="E119" s="53">
        <v>42415</v>
      </c>
      <c r="F119" s="51">
        <v>93687542</v>
      </c>
      <c r="G119" s="51">
        <v>90</v>
      </c>
      <c r="H119" s="51">
        <v>1201120</v>
      </c>
      <c r="I119" s="51" t="s">
        <v>117</v>
      </c>
      <c r="J119" s="51">
        <v>1307782</v>
      </c>
      <c r="K119" s="51" t="s">
        <v>119</v>
      </c>
      <c r="L119" s="51">
        <v>1171090</v>
      </c>
      <c r="M119" s="51" t="s">
        <v>118</v>
      </c>
      <c r="N119" s="51" t="s">
        <v>2405</v>
      </c>
      <c r="O119" s="51">
        <v>591381730</v>
      </c>
      <c r="P119" s="51" t="s">
        <v>1373</v>
      </c>
      <c r="Q119" s="51" t="s">
        <v>1322</v>
      </c>
      <c r="R119" s="51" t="s">
        <v>1358</v>
      </c>
      <c r="S119" s="51" t="s">
        <v>1331</v>
      </c>
      <c r="T119" s="51"/>
      <c r="U119" s="51">
        <v>20160</v>
      </c>
      <c r="V119" s="51">
        <v>816</v>
      </c>
      <c r="W119" s="51" t="s">
        <v>1332</v>
      </c>
      <c r="X119" s="51">
        <v>12</v>
      </c>
      <c r="Y119" s="51" t="s">
        <v>182</v>
      </c>
      <c r="Z119" s="54">
        <v>241920</v>
      </c>
      <c r="AA119" s="54">
        <v>9792</v>
      </c>
      <c r="AB119" s="51" t="s">
        <v>182</v>
      </c>
      <c r="AC119" s="51" t="s">
        <v>181</v>
      </c>
      <c r="AD119" s="51" t="s">
        <v>61</v>
      </c>
      <c r="AE119" s="51" t="s">
        <v>63</v>
      </c>
      <c r="AF119" s="51" t="s">
        <v>70</v>
      </c>
      <c r="AG119" s="51" t="s">
        <v>71</v>
      </c>
      <c r="AH119" s="53">
        <v>42431</v>
      </c>
      <c r="AI119" s="51" t="s">
        <v>83</v>
      </c>
      <c r="AJ119" s="53">
        <v>42416</v>
      </c>
      <c r="AK119" s="51"/>
      <c r="AL119" s="51"/>
      <c r="AM119" s="53">
        <v>42431</v>
      </c>
      <c r="AN119" s="51" t="s">
        <v>73</v>
      </c>
      <c r="AO119" s="51" t="s">
        <v>2406</v>
      </c>
    </row>
    <row r="120" spans="1:41" x14ac:dyDescent="0.2">
      <c r="A120" s="51">
        <v>10020700</v>
      </c>
      <c r="B120" s="51">
        <v>1560</v>
      </c>
      <c r="C120" s="51" t="s">
        <v>18</v>
      </c>
      <c r="D120" s="51" t="s">
        <v>78</v>
      </c>
      <c r="E120" s="53">
        <v>42415</v>
      </c>
      <c r="F120" s="51">
        <v>93687542</v>
      </c>
      <c r="G120" s="51">
        <v>1560</v>
      </c>
      <c r="H120" s="51">
        <v>1201120</v>
      </c>
      <c r="I120" s="51" t="s">
        <v>117</v>
      </c>
      <c r="J120" s="51">
        <v>1307782</v>
      </c>
      <c r="K120" s="51" t="s">
        <v>119</v>
      </c>
      <c r="L120" s="51">
        <v>1171090</v>
      </c>
      <c r="M120" s="51" t="s">
        <v>118</v>
      </c>
      <c r="N120" s="51" t="s">
        <v>2405</v>
      </c>
      <c r="O120" s="51">
        <v>591379860</v>
      </c>
      <c r="P120" s="51" t="s">
        <v>1580</v>
      </c>
      <c r="Q120" s="51" t="s">
        <v>1322</v>
      </c>
      <c r="R120" s="51" t="s">
        <v>1581</v>
      </c>
      <c r="S120" s="51" t="s">
        <v>1331</v>
      </c>
      <c r="T120" s="51"/>
      <c r="U120" s="51">
        <v>2304</v>
      </c>
      <c r="V120" s="51">
        <v>12</v>
      </c>
      <c r="W120" s="51" t="s">
        <v>1332</v>
      </c>
      <c r="X120" s="51">
        <v>9</v>
      </c>
      <c r="Y120" s="51" t="s">
        <v>182</v>
      </c>
      <c r="Z120" s="54">
        <v>20736</v>
      </c>
      <c r="AA120" s="51">
        <v>108</v>
      </c>
      <c r="AB120" s="51" t="s">
        <v>182</v>
      </c>
      <c r="AC120" s="51" t="s">
        <v>181</v>
      </c>
      <c r="AD120" s="51" t="s">
        <v>61</v>
      </c>
      <c r="AE120" s="51" t="s">
        <v>63</v>
      </c>
      <c r="AF120" s="51" t="s">
        <v>70</v>
      </c>
      <c r="AG120" s="51" t="s">
        <v>71</v>
      </c>
      <c r="AH120" s="53">
        <v>42431</v>
      </c>
      <c r="AI120" s="51" t="s">
        <v>83</v>
      </c>
      <c r="AJ120" s="53">
        <v>42416</v>
      </c>
      <c r="AK120" s="51"/>
      <c r="AL120" s="51"/>
      <c r="AM120" s="53">
        <v>42431</v>
      </c>
      <c r="AN120" s="51" t="s">
        <v>73</v>
      </c>
      <c r="AO120" s="51" t="s">
        <v>2406</v>
      </c>
    </row>
    <row r="121" spans="1:41" x14ac:dyDescent="0.2">
      <c r="A121" s="51">
        <v>10020701</v>
      </c>
      <c r="B121" s="51">
        <v>80</v>
      </c>
      <c r="C121" s="51" t="s">
        <v>26</v>
      </c>
      <c r="D121" s="51" t="s">
        <v>78</v>
      </c>
      <c r="E121" s="53">
        <v>42415</v>
      </c>
      <c r="F121" s="51">
        <v>93687542</v>
      </c>
      <c r="G121" s="51">
        <v>80</v>
      </c>
      <c r="H121" s="51">
        <v>1201120</v>
      </c>
      <c r="I121" s="51" t="s">
        <v>117</v>
      </c>
      <c r="J121" s="51">
        <v>1307782</v>
      </c>
      <c r="K121" s="51" t="s">
        <v>119</v>
      </c>
      <c r="L121" s="51">
        <v>1171090</v>
      </c>
      <c r="M121" s="51" t="s">
        <v>118</v>
      </c>
      <c r="N121" s="51" t="s">
        <v>2405</v>
      </c>
      <c r="O121" s="51">
        <v>591381760</v>
      </c>
      <c r="P121" s="51" t="s">
        <v>1357</v>
      </c>
      <c r="Q121" s="51" t="s">
        <v>1322</v>
      </c>
      <c r="R121" s="51" t="s">
        <v>1358</v>
      </c>
      <c r="S121" s="51" t="s">
        <v>1331</v>
      </c>
      <c r="T121" s="51"/>
      <c r="U121" s="51">
        <v>6240</v>
      </c>
      <c r="V121" s="51">
        <v>120</v>
      </c>
      <c r="W121" s="51" t="s">
        <v>1332</v>
      </c>
      <c r="X121" s="51">
        <v>24</v>
      </c>
      <c r="Y121" s="51" t="s">
        <v>182</v>
      </c>
      <c r="Z121" s="54">
        <v>149760</v>
      </c>
      <c r="AA121" s="54">
        <v>2880</v>
      </c>
      <c r="AB121" s="51" t="s">
        <v>182</v>
      </c>
      <c r="AC121" s="51" t="s">
        <v>181</v>
      </c>
      <c r="AD121" s="51" t="s">
        <v>61</v>
      </c>
      <c r="AE121" s="51" t="s">
        <v>63</v>
      </c>
      <c r="AF121" s="51"/>
      <c r="AG121" s="51"/>
      <c r="AH121" s="51"/>
      <c r="AI121" s="51" t="s">
        <v>64</v>
      </c>
      <c r="AJ121" s="53">
        <v>42415</v>
      </c>
      <c r="AK121" s="51"/>
      <c r="AL121" s="51"/>
      <c r="AM121" s="51"/>
      <c r="AN121" s="51"/>
      <c r="AO121" s="51"/>
    </row>
    <row r="122" spans="1:41" x14ac:dyDescent="0.2">
      <c r="A122" s="51">
        <v>10020702</v>
      </c>
      <c r="B122" s="51">
        <v>40</v>
      </c>
      <c r="C122" s="51" t="s">
        <v>18</v>
      </c>
      <c r="D122" s="51" t="s">
        <v>78</v>
      </c>
      <c r="E122" s="53">
        <v>42415</v>
      </c>
      <c r="F122" s="51">
        <v>93684552</v>
      </c>
      <c r="G122" s="51">
        <v>40</v>
      </c>
      <c r="H122" s="51">
        <v>1022013</v>
      </c>
      <c r="I122" s="51" t="s">
        <v>114</v>
      </c>
      <c r="J122" s="51">
        <v>1022013</v>
      </c>
      <c r="K122" s="51" t="s">
        <v>114</v>
      </c>
      <c r="L122" s="51">
        <v>1022013</v>
      </c>
      <c r="M122" s="51" t="s">
        <v>114</v>
      </c>
      <c r="N122" s="51">
        <v>77867</v>
      </c>
      <c r="O122" s="51">
        <v>591381730</v>
      </c>
      <c r="P122" s="51" t="s">
        <v>1373</v>
      </c>
      <c r="Q122" s="51" t="s">
        <v>1322</v>
      </c>
      <c r="R122" s="51" t="s">
        <v>1358</v>
      </c>
      <c r="S122" s="51" t="s">
        <v>1331</v>
      </c>
      <c r="T122" s="51"/>
      <c r="U122" s="51">
        <v>2280</v>
      </c>
      <c r="V122" s="51">
        <v>2</v>
      </c>
      <c r="W122" s="51" t="s">
        <v>1332</v>
      </c>
      <c r="X122" s="51">
        <v>3.83</v>
      </c>
      <c r="Y122" s="51" t="s">
        <v>182</v>
      </c>
      <c r="Z122" s="54">
        <v>8732.4</v>
      </c>
      <c r="AA122" s="51">
        <v>7.66</v>
      </c>
      <c r="AB122" s="51" t="s">
        <v>182</v>
      </c>
      <c r="AC122" s="51" t="s">
        <v>181</v>
      </c>
      <c r="AD122" s="51" t="s">
        <v>61</v>
      </c>
      <c r="AE122" s="51" t="s">
        <v>63</v>
      </c>
      <c r="AF122" s="51" t="s">
        <v>70</v>
      </c>
      <c r="AG122" s="51" t="s">
        <v>76</v>
      </c>
      <c r="AH122" s="53">
        <v>42422</v>
      </c>
      <c r="AI122" s="51" t="s">
        <v>64</v>
      </c>
      <c r="AJ122" s="53">
        <v>42415</v>
      </c>
      <c r="AK122" s="51"/>
      <c r="AL122" s="51"/>
      <c r="AM122" s="51"/>
      <c r="AN122" s="51" t="s">
        <v>77</v>
      </c>
      <c r="AO122" s="51" t="s">
        <v>211</v>
      </c>
    </row>
    <row r="123" spans="1:41" x14ac:dyDescent="0.2">
      <c r="A123" s="51">
        <v>10020703</v>
      </c>
      <c r="B123" s="51">
        <v>60</v>
      </c>
      <c r="C123" s="51" t="s">
        <v>24</v>
      </c>
      <c r="D123" s="51" t="s">
        <v>78</v>
      </c>
      <c r="E123" s="53">
        <v>42415</v>
      </c>
      <c r="F123" s="51">
        <v>93672270</v>
      </c>
      <c r="G123" s="51">
        <v>60</v>
      </c>
      <c r="H123" s="51">
        <v>1201156</v>
      </c>
      <c r="I123" s="51" t="s">
        <v>131</v>
      </c>
      <c r="J123" s="51">
        <v>1039283</v>
      </c>
      <c r="K123" s="51" t="s">
        <v>711</v>
      </c>
      <c r="L123" s="51">
        <v>1201156</v>
      </c>
      <c r="M123" s="51" t="s">
        <v>131</v>
      </c>
      <c r="N123" s="51">
        <v>6588090</v>
      </c>
      <c r="O123" s="51">
        <v>228299611</v>
      </c>
      <c r="P123" s="51" t="s">
        <v>2090</v>
      </c>
      <c r="Q123" s="51" t="s">
        <v>1322</v>
      </c>
      <c r="R123" s="51" t="s">
        <v>2078</v>
      </c>
      <c r="S123" s="51" t="s">
        <v>1331</v>
      </c>
      <c r="T123" s="51"/>
      <c r="U123" s="51">
        <v>10344</v>
      </c>
      <c r="V123" s="51">
        <v>2</v>
      </c>
      <c r="W123" s="51" t="s">
        <v>1369</v>
      </c>
      <c r="X123" s="51">
        <v>15.01</v>
      </c>
      <c r="Y123" s="51" t="s">
        <v>182</v>
      </c>
      <c r="Z123" s="54">
        <v>155263.44</v>
      </c>
      <c r="AA123" s="51">
        <v>720.48</v>
      </c>
      <c r="AB123" s="51" t="s">
        <v>182</v>
      </c>
      <c r="AC123" s="51" t="s">
        <v>181</v>
      </c>
      <c r="AD123" s="51" t="s">
        <v>61</v>
      </c>
      <c r="AE123" s="51" t="s">
        <v>69</v>
      </c>
      <c r="AF123" s="51" t="s">
        <v>70</v>
      </c>
      <c r="AG123" s="51" t="s">
        <v>71</v>
      </c>
      <c r="AH123" s="53">
        <v>42423</v>
      </c>
      <c r="AI123" s="51" t="s">
        <v>64</v>
      </c>
      <c r="AJ123" s="53">
        <v>42415</v>
      </c>
      <c r="AK123" s="51" t="s">
        <v>72</v>
      </c>
      <c r="AL123" s="51">
        <v>62086433</v>
      </c>
      <c r="AM123" s="53">
        <v>42423</v>
      </c>
      <c r="AN123" s="51" t="s">
        <v>73</v>
      </c>
      <c r="AO123" s="51" t="s">
        <v>2407</v>
      </c>
    </row>
    <row r="124" spans="1:41" x14ac:dyDescent="0.2">
      <c r="A124" s="51">
        <v>10020704</v>
      </c>
      <c r="B124" s="51">
        <v>200</v>
      </c>
      <c r="C124" s="51" t="s">
        <v>18</v>
      </c>
      <c r="D124" s="51" t="s">
        <v>78</v>
      </c>
      <c r="E124" s="53">
        <v>42415</v>
      </c>
      <c r="F124" s="51">
        <v>93404112</v>
      </c>
      <c r="G124" s="51">
        <v>200</v>
      </c>
      <c r="H124" s="51">
        <v>1201494</v>
      </c>
      <c r="I124" s="51" t="s">
        <v>161</v>
      </c>
      <c r="J124" s="51">
        <v>1060523</v>
      </c>
      <c r="K124" s="51" t="s">
        <v>427</v>
      </c>
      <c r="L124" s="51">
        <v>1172005</v>
      </c>
      <c r="M124" s="51" t="s">
        <v>161</v>
      </c>
      <c r="N124" s="51">
        <v>21134</v>
      </c>
      <c r="O124" s="51">
        <v>472037945</v>
      </c>
      <c r="P124" s="51" t="s">
        <v>2408</v>
      </c>
      <c r="Q124" s="51" t="s">
        <v>1322</v>
      </c>
      <c r="R124" s="51" t="s">
        <v>2265</v>
      </c>
      <c r="S124" s="51" t="s">
        <v>1331</v>
      </c>
      <c r="T124" s="51" t="s">
        <v>2409</v>
      </c>
      <c r="U124" s="51">
        <v>384</v>
      </c>
      <c r="V124" s="51">
        <v>48</v>
      </c>
      <c r="W124" s="51" t="s">
        <v>1332</v>
      </c>
      <c r="X124" s="51">
        <v>10.37</v>
      </c>
      <c r="Y124" s="51" t="s">
        <v>182</v>
      </c>
      <c r="Z124" s="54">
        <v>3982.08</v>
      </c>
      <c r="AA124" s="51">
        <v>497.76</v>
      </c>
      <c r="AB124" s="51" t="s">
        <v>182</v>
      </c>
      <c r="AC124" s="51" t="s">
        <v>181</v>
      </c>
      <c r="AD124" s="51" t="s">
        <v>61</v>
      </c>
      <c r="AE124" s="51" t="s">
        <v>63</v>
      </c>
      <c r="AF124" s="51" t="s">
        <v>70</v>
      </c>
      <c r="AG124" s="51" t="s">
        <v>76</v>
      </c>
      <c r="AH124" s="53">
        <v>42422</v>
      </c>
      <c r="AI124" s="51" t="s">
        <v>64</v>
      </c>
      <c r="AJ124" s="53">
        <v>42415</v>
      </c>
      <c r="AK124" s="51"/>
      <c r="AL124" s="51"/>
      <c r="AM124" s="51"/>
      <c r="AN124" s="51" t="s">
        <v>77</v>
      </c>
      <c r="AO124" s="51" t="s">
        <v>1487</v>
      </c>
    </row>
    <row r="125" spans="1:41" x14ac:dyDescent="0.2">
      <c r="A125" s="51">
        <v>10020705</v>
      </c>
      <c r="B125" s="51">
        <v>70</v>
      </c>
      <c r="C125" s="51" t="s">
        <v>18</v>
      </c>
      <c r="D125" s="51" t="s">
        <v>78</v>
      </c>
      <c r="E125" s="53">
        <v>42415</v>
      </c>
      <c r="F125" s="51">
        <v>93454833</v>
      </c>
      <c r="G125" s="51">
        <v>70</v>
      </c>
      <c r="H125" s="51">
        <v>1201494</v>
      </c>
      <c r="I125" s="51" t="s">
        <v>161</v>
      </c>
      <c r="J125" s="51">
        <v>1060523</v>
      </c>
      <c r="K125" s="51" t="s">
        <v>427</v>
      </c>
      <c r="L125" s="51">
        <v>1172005</v>
      </c>
      <c r="M125" s="51" t="s">
        <v>161</v>
      </c>
      <c r="N125" s="51">
        <v>27602</v>
      </c>
      <c r="O125" s="51">
        <v>591207030</v>
      </c>
      <c r="P125" s="51" t="s">
        <v>1475</v>
      </c>
      <c r="Q125" s="51" t="s">
        <v>1322</v>
      </c>
      <c r="R125" s="51" t="s">
        <v>1476</v>
      </c>
      <c r="S125" s="51" t="s">
        <v>1331</v>
      </c>
      <c r="T125" s="51">
        <v>5263</v>
      </c>
      <c r="U125" s="51">
        <v>216</v>
      </c>
      <c r="V125" s="51">
        <v>24</v>
      </c>
      <c r="W125" s="51" t="s">
        <v>1332</v>
      </c>
      <c r="X125" s="51">
        <v>11.55</v>
      </c>
      <c r="Y125" s="51" t="s">
        <v>182</v>
      </c>
      <c r="Z125" s="54">
        <v>2494.8000000000002</v>
      </c>
      <c r="AA125" s="51">
        <v>277.2</v>
      </c>
      <c r="AB125" s="51" t="s">
        <v>182</v>
      </c>
      <c r="AC125" s="51" t="s">
        <v>181</v>
      </c>
      <c r="AD125" s="51" t="s">
        <v>61</v>
      </c>
      <c r="AE125" s="51" t="s">
        <v>63</v>
      </c>
      <c r="AF125" s="51" t="s">
        <v>70</v>
      </c>
      <c r="AG125" s="51" t="s">
        <v>76</v>
      </c>
      <c r="AH125" s="53">
        <v>42422</v>
      </c>
      <c r="AI125" s="51" t="s">
        <v>64</v>
      </c>
      <c r="AJ125" s="53">
        <v>42415</v>
      </c>
      <c r="AK125" s="51"/>
      <c r="AL125" s="51"/>
      <c r="AM125" s="51"/>
      <c r="AN125" s="51" t="s">
        <v>77</v>
      </c>
      <c r="AO125" s="51" t="s">
        <v>2410</v>
      </c>
    </row>
    <row r="126" spans="1:41" x14ac:dyDescent="0.2">
      <c r="A126" s="51">
        <v>10020706</v>
      </c>
      <c r="B126" s="51">
        <v>1070</v>
      </c>
      <c r="C126" s="51" t="s">
        <v>26</v>
      </c>
      <c r="D126" s="51" t="s">
        <v>432</v>
      </c>
      <c r="E126" s="53">
        <v>42415</v>
      </c>
      <c r="F126" s="51">
        <v>93675452</v>
      </c>
      <c r="G126" s="51">
        <v>1070</v>
      </c>
      <c r="H126" s="51">
        <v>1201605</v>
      </c>
      <c r="I126" s="51" t="s">
        <v>155</v>
      </c>
      <c r="J126" s="51">
        <v>1023292</v>
      </c>
      <c r="K126" s="51" t="s">
        <v>155</v>
      </c>
      <c r="L126" s="51">
        <v>1172017</v>
      </c>
      <c r="M126" s="51" t="s">
        <v>155</v>
      </c>
      <c r="N126" s="51">
        <v>560156</v>
      </c>
      <c r="O126" s="51">
        <v>591315901</v>
      </c>
      <c r="P126" s="51" t="s">
        <v>2411</v>
      </c>
      <c r="Q126" s="51" t="s">
        <v>1322</v>
      </c>
      <c r="R126" s="51" t="s">
        <v>2412</v>
      </c>
      <c r="S126" s="51" t="s">
        <v>1331</v>
      </c>
      <c r="T126" s="51" t="s">
        <v>2413</v>
      </c>
      <c r="U126" s="51">
        <v>12</v>
      </c>
      <c r="V126" s="51">
        <v>2</v>
      </c>
      <c r="W126" s="51" t="s">
        <v>1332</v>
      </c>
      <c r="X126" s="51">
        <v>510.75</v>
      </c>
      <c r="Y126" s="51" t="s">
        <v>182</v>
      </c>
      <c r="Z126" s="54">
        <v>6129</v>
      </c>
      <c r="AA126" s="54">
        <v>1021.5</v>
      </c>
      <c r="AB126" s="51" t="s">
        <v>182</v>
      </c>
      <c r="AC126" s="51" t="s">
        <v>181</v>
      </c>
      <c r="AD126" s="51" t="s">
        <v>61</v>
      </c>
      <c r="AE126" s="51" t="s">
        <v>63</v>
      </c>
      <c r="AF126" s="51" t="s">
        <v>94</v>
      </c>
      <c r="AG126" s="51" t="s">
        <v>95</v>
      </c>
      <c r="AH126" s="53">
        <v>42418</v>
      </c>
      <c r="AI126" s="51" t="s">
        <v>64</v>
      </c>
      <c r="AJ126" s="53">
        <v>42415</v>
      </c>
      <c r="AK126" s="51"/>
      <c r="AL126" s="51"/>
      <c r="AM126" s="51"/>
      <c r="AN126" s="51" t="s">
        <v>96</v>
      </c>
      <c r="AO126" s="51" t="s">
        <v>2414</v>
      </c>
    </row>
    <row r="127" spans="1:41" x14ac:dyDescent="0.2">
      <c r="A127" s="51">
        <v>10020707</v>
      </c>
      <c r="B127" s="51">
        <v>2650</v>
      </c>
      <c r="C127" s="51" t="s">
        <v>26</v>
      </c>
      <c r="D127" s="51" t="s">
        <v>78</v>
      </c>
      <c r="E127" s="53">
        <v>42415</v>
      </c>
      <c r="F127" s="51">
        <v>93683437</v>
      </c>
      <c r="G127" s="51">
        <v>2650</v>
      </c>
      <c r="H127" s="51">
        <v>1201047</v>
      </c>
      <c r="I127" s="51" t="s">
        <v>79</v>
      </c>
      <c r="J127" s="51">
        <v>1019056</v>
      </c>
      <c r="K127" s="51" t="s">
        <v>80</v>
      </c>
      <c r="L127" s="51">
        <v>1171089</v>
      </c>
      <c r="M127" s="51" t="s">
        <v>75</v>
      </c>
      <c r="N127" s="51">
        <v>41408210</v>
      </c>
      <c r="O127" s="51">
        <v>591350904</v>
      </c>
      <c r="P127" s="51" t="s">
        <v>2112</v>
      </c>
      <c r="Q127" s="51" t="s">
        <v>1322</v>
      </c>
      <c r="R127" s="51" t="s">
        <v>1952</v>
      </c>
      <c r="S127" s="51" t="s">
        <v>1331</v>
      </c>
      <c r="T127" s="51" t="s">
        <v>2113</v>
      </c>
      <c r="U127" s="51">
        <v>120</v>
      </c>
      <c r="V127" s="51">
        <v>24</v>
      </c>
      <c r="W127" s="51" t="s">
        <v>1332</v>
      </c>
      <c r="X127" s="51">
        <v>178.45</v>
      </c>
      <c r="Y127" s="51" t="s">
        <v>182</v>
      </c>
      <c r="Z127" s="54">
        <v>21414</v>
      </c>
      <c r="AA127" s="54">
        <v>4282.8</v>
      </c>
      <c r="AB127" s="51" t="s">
        <v>182</v>
      </c>
      <c r="AC127" s="51" t="s">
        <v>181</v>
      </c>
      <c r="AD127" s="51" t="s">
        <v>86</v>
      </c>
      <c r="AE127" s="51" t="s">
        <v>63</v>
      </c>
      <c r="AF127" s="51" t="s">
        <v>94</v>
      </c>
      <c r="AG127" s="51" t="s">
        <v>95</v>
      </c>
      <c r="AH127" s="53">
        <v>42418</v>
      </c>
      <c r="AI127" s="51" t="s">
        <v>64</v>
      </c>
      <c r="AJ127" s="53">
        <v>42415</v>
      </c>
      <c r="AK127" s="51"/>
      <c r="AL127" s="51"/>
      <c r="AM127" s="51"/>
      <c r="AN127" s="51" t="s">
        <v>96</v>
      </c>
      <c r="AO127" s="51" t="s">
        <v>2415</v>
      </c>
    </row>
    <row r="128" spans="1:41" x14ac:dyDescent="0.2">
      <c r="A128" s="51">
        <v>10020708</v>
      </c>
      <c r="B128" s="51">
        <v>2500</v>
      </c>
      <c r="C128" s="51" t="s">
        <v>26</v>
      </c>
      <c r="D128" s="51" t="s">
        <v>149</v>
      </c>
      <c r="E128" s="53">
        <v>42416</v>
      </c>
      <c r="F128" s="51">
        <v>93683470</v>
      </c>
      <c r="G128" s="51">
        <v>2500</v>
      </c>
      <c r="H128" s="51">
        <v>1201047</v>
      </c>
      <c r="I128" s="51" t="s">
        <v>79</v>
      </c>
      <c r="J128" s="51">
        <v>1311671</v>
      </c>
      <c r="K128" s="51" t="s">
        <v>90</v>
      </c>
      <c r="L128" s="51">
        <v>1171089</v>
      </c>
      <c r="M128" s="51" t="s">
        <v>75</v>
      </c>
      <c r="N128" s="51">
        <v>21475557</v>
      </c>
      <c r="O128" s="51">
        <v>591250887</v>
      </c>
      <c r="P128" s="51" t="s">
        <v>2231</v>
      </c>
      <c r="Q128" s="51" t="s">
        <v>1322</v>
      </c>
      <c r="R128" s="51" t="s">
        <v>2232</v>
      </c>
      <c r="S128" s="51" t="s">
        <v>1331</v>
      </c>
      <c r="T128" s="51">
        <v>152238.1</v>
      </c>
      <c r="U128" s="51">
        <v>12</v>
      </c>
      <c r="V128" s="51">
        <v>2</v>
      </c>
      <c r="W128" s="51" t="s">
        <v>1332</v>
      </c>
      <c r="X128" s="51">
        <v>318</v>
      </c>
      <c r="Y128" s="51" t="s">
        <v>182</v>
      </c>
      <c r="Z128" s="54">
        <v>3816</v>
      </c>
      <c r="AA128" s="51">
        <v>636</v>
      </c>
      <c r="AB128" s="51" t="s">
        <v>182</v>
      </c>
      <c r="AC128" s="51" t="s">
        <v>181</v>
      </c>
      <c r="AD128" s="51" t="s">
        <v>91</v>
      </c>
      <c r="AE128" s="51" t="s">
        <v>63</v>
      </c>
      <c r="AF128" s="51"/>
      <c r="AG128" s="51"/>
      <c r="AH128" s="51"/>
      <c r="AI128" s="51" t="s">
        <v>64</v>
      </c>
      <c r="AJ128" s="53">
        <v>42416</v>
      </c>
      <c r="AK128" s="51"/>
      <c r="AL128" s="51"/>
      <c r="AM128" s="51"/>
      <c r="AN128" s="51"/>
      <c r="AO128" s="51"/>
    </row>
    <row r="129" spans="1:41" x14ac:dyDescent="0.2">
      <c r="A129" s="51">
        <v>10020709</v>
      </c>
      <c r="B129" s="51">
        <v>290</v>
      </c>
      <c r="C129" s="51" t="s">
        <v>18</v>
      </c>
      <c r="D129" s="51" t="s">
        <v>149</v>
      </c>
      <c r="E129" s="53">
        <v>42416</v>
      </c>
      <c r="F129" s="51">
        <v>93678136</v>
      </c>
      <c r="G129" s="51">
        <v>290</v>
      </c>
      <c r="H129" s="51">
        <v>1201047</v>
      </c>
      <c r="I129" s="51" t="s">
        <v>79</v>
      </c>
      <c r="J129" s="51">
        <v>1341515</v>
      </c>
      <c r="K129" s="51" t="s">
        <v>85</v>
      </c>
      <c r="L129" s="51">
        <v>1171089</v>
      </c>
      <c r="M129" s="51" t="s">
        <v>75</v>
      </c>
      <c r="N129" s="51">
        <v>14106616</v>
      </c>
      <c r="O129" s="51">
        <v>591346753</v>
      </c>
      <c r="P129" s="51" t="s">
        <v>1568</v>
      </c>
      <c r="Q129" s="51" t="s">
        <v>1322</v>
      </c>
      <c r="R129" s="51" t="s">
        <v>2416</v>
      </c>
      <c r="S129" s="51" t="s">
        <v>1331</v>
      </c>
      <c r="T129" s="51" t="s">
        <v>2417</v>
      </c>
      <c r="U129" s="51">
        <v>50</v>
      </c>
      <c r="V129" s="51">
        <v>2</v>
      </c>
      <c r="W129" s="51" t="s">
        <v>1332</v>
      </c>
      <c r="X129" s="51">
        <v>33.200000000000003</v>
      </c>
      <c r="Y129" s="51" t="s">
        <v>182</v>
      </c>
      <c r="Z129" s="54">
        <v>1660</v>
      </c>
      <c r="AA129" s="51">
        <v>66.400000000000006</v>
      </c>
      <c r="AB129" s="51" t="s">
        <v>182</v>
      </c>
      <c r="AC129" s="51" t="s">
        <v>181</v>
      </c>
      <c r="AD129" s="51" t="s">
        <v>67</v>
      </c>
      <c r="AE129" s="51" t="s">
        <v>69</v>
      </c>
      <c r="AF129" s="51" t="s">
        <v>70</v>
      </c>
      <c r="AG129" s="51" t="s">
        <v>76</v>
      </c>
      <c r="AH129" s="53">
        <v>42422</v>
      </c>
      <c r="AI129" s="51" t="s">
        <v>64</v>
      </c>
      <c r="AJ129" s="53">
        <v>42416</v>
      </c>
      <c r="AK129" s="51" t="s">
        <v>100</v>
      </c>
      <c r="AL129" s="51">
        <v>62089574</v>
      </c>
      <c r="AM129" s="53">
        <v>42429</v>
      </c>
      <c r="AN129" s="51" t="s">
        <v>77</v>
      </c>
      <c r="AO129" s="51" t="s">
        <v>211</v>
      </c>
    </row>
    <row r="130" spans="1:41" x14ac:dyDescent="0.2">
      <c r="A130" s="51">
        <v>10020710</v>
      </c>
      <c r="B130" s="51">
        <v>2670</v>
      </c>
      <c r="C130" s="51" t="s">
        <v>18</v>
      </c>
      <c r="D130" s="51" t="s">
        <v>149</v>
      </c>
      <c r="E130" s="53">
        <v>42416</v>
      </c>
      <c r="F130" s="51">
        <v>93684629</v>
      </c>
      <c r="G130" s="51">
        <v>2670</v>
      </c>
      <c r="H130" s="51">
        <v>1201047</v>
      </c>
      <c r="I130" s="51" t="s">
        <v>79</v>
      </c>
      <c r="J130" s="51">
        <v>1307128</v>
      </c>
      <c r="K130" s="51" t="s">
        <v>85</v>
      </c>
      <c r="L130" s="51">
        <v>1171089</v>
      </c>
      <c r="M130" s="51" t="s">
        <v>75</v>
      </c>
      <c r="N130" s="51">
        <v>10501883</v>
      </c>
      <c r="O130" s="51">
        <v>472080415</v>
      </c>
      <c r="P130" s="51" t="s">
        <v>1601</v>
      </c>
      <c r="Q130" s="51" t="s">
        <v>1322</v>
      </c>
      <c r="R130" s="51" t="s">
        <v>2334</v>
      </c>
      <c r="S130" s="51" t="s">
        <v>1331</v>
      </c>
      <c r="T130" s="51" t="s">
        <v>2418</v>
      </c>
      <c r="U130" s="51">
        <v>324</v>
      </c>
      <c r="V130" s="51">
        <v>4</v>
      </c>
      <c r="W130" s="51" t="s">
        <v>1332</v>
      </c>
      <c r="X130" s="51">
        <v>64.23</v>
      </c>
      <c r="Y130" s="51" t="s">
        <v>182</v>
      </c>
      <c r="Z130" s="54">
        <v>20810.52</v>
      </c>
      <c r="AA130" s="51">
        <v>256.92</v>
      </c>
      <c r="AB130" s="51" t="s">
        <v>182</v>
      </c>
      <c r="AC130" s="51" t="s">
        <v>181</v>
      </c>
      <c r="AD130" s="51" t="s">
        <v>91</v>
      </c>
      <c r="AE130" s="51" t="s">
        <v>69</v>
      </c>
      <c r="AF130" s="51" t="s">
        <v>70</v>
      </c>
      <c r="AG130" s="51" t="s">
        <v>76</v>
      </c>
      <c r="AH130" s="53">
        <v>42422</v>
      </c>
      <c r="AI130" s="51" t="s">
        <v>64</v>
      </c>
      <c r="AJ130" s="53">
        <v>42416</v>
      </c>
      <c r="AK130" s="51" t="s">
        <v>100</v>
      </c>
      <c r="AL130" s="51">
        <v>62090291</v>
      </c>
      <c r="AM130" s="53">
        <v>42430</v>
      </c>
      <c r="AN130" s="51" t="s">
        <v>77</v>
      </c>
      <c r="AO130" s="51" t="s">
        <v>655</v>
      </c>
    </row>
    <row r="131" spans="1:41" x14ac:dyDescent="0.2">
      <c r="A131" s="51">
        <v>10020711</v>
      </c>
      <c r="B131" s="51">
        <v>80</v>
      </c>
      <c r="C131" s="51" t="s">
        <v>18</v>
      </c>
      <c r="D131" s="51" t="s">
        <v>78</v>
      </c>
      <c r="E131" s="53">
        <v>42416</v>
      </c>
      <c r="F131" s="51">
        <v>93679037</v>
      </c>
      <c r="G131" s="51">
        <v>80</v>
      </c>
      <c r="H131" s="51">
        <v>1201057</v>
      </c>
      <c r="I131" s="51" t="s">
        <v>643</v>
      </c>
      <c r="J131" s="51">
        <v>1325925</v>
      </c>
      <c r="K131" s="51" t="s">
        <v>643</v>
      </c>
      <c r="L131" s="51">
        <v>1201057</v>
      </c>
      <c r="M131" s="51" t="s">
        <v>643</v>
      </c>
      <c r="N131" s="51">
        <v>179336</v>
      </c>
      <c r="O131" s="51">
        <v>45963043864</v>
      </c>
      <c r="P131" s="51" t="s">
        <v>2158</v>
      </c>
      <c r="Q131" s="51" t="s">
        <v>1322</v>
      </c>
      <c r="R131" s="51" t="s">
        <v>2159</v>
      </c>
      <c r="S131" s="51" t="s">
        <v>1331</v>
      </c>
      <c r="T131" s="51">
        <v>17151922</v>
      </c>
      <c r="U131" s="51">
        <v>12</v>
      </c>
      <c r="V131" s="51">
        <v>1</v>
      </c>
      <c r="W131" s="51" t="s">
        <v>1332</v>
      </c>
      <c r="X131" s="51">
        <v>4.34</v>
      </c>
      <c r="Y131" s="51" t="s">
        <v>182</v>
      </c>
      <c r="Z131" s="51">
        <v>52.08</v>
      </c>
      <c r="AA131" s="51">
        <v>4.34</v>
      </c>
      <c r="AB131" s="51" t="s">
        <v>182</v>
      </c>
      <c r="AC131" s="51" t="s">
        <v>181</v>
      </c>
      <c r="AD131" s="51" t="s">
        <v>97</v>
      </c>
      <c r="AE131" s="51" t="s">
        <v>63</v>
      </c>
      <c r="AF131" s="51" t="s">
        <v>70</v>
      </c>
      <c r="AG131" s="51" t="s">
        <v>76</v>
      </c>
      <c r="AH131" s="53">
        <v>42422</v>
      </c>
      <c r="AI131" s="51" t="s">
        <v>64</v>
      </c>
      <c r="AJ131" s="53">
        <v>42416</v>
      </c>
      <c r="AK131" s="51"/>
      <c r="AL131" s="51"/>
      <c r="AM131" s="51"/>
      <c r="AN131" s="51" t="s">
        <v>77</v>
      </c>
      <c r="AO131" s="51" t="s">
        <v>323</v>
      </c>
    </row>
    <row r="132" spans="1:41" x14ac:dyDescent="0.2">
      <c r="A132" s="51">
        <v>10020712</v>
      </c>
      <c r="B132" s="51">
        <v>50</v>
      </c>
      <c r="C132" s="51" t="s">
        <v>18</v>
      </c>
      <c r="D132" s="51" t="s">
        <v>78</v>
      </c>
      <c r="E132" s="53">
        <v>42416</v>
      </c>
      <c r="F132" s="51">
        <v>93686331</v>
      </c>
      <c r="G132" s="51">
        <v>50</v>
      </c>
      <c r="H132" s="51">
        <v>1201133</v>
      </c>
      <c r="I132" s="51" t="s">
        <v>128</v>
      </c>
      <c r="J132" s="51">
        <v>1325387</v>
      </c>
      <c r="K132" s="51" t="s">
        <v>129</v>
      </c>
      <c r="L132" s="51">
        <v>1171102</v>
      </c>
      <c r="M132" s="51" t="s">
        <v>130</v>
      </c>
      <c r="N132" s="51" t="s">
        <v>2419</v>
      </c>
      <c r="O132" s="51">
        <v>591350904</v>
      </c>
      <c r="P132" s="51" t="s">
        <v>2112</v>
      </c>
      <c r="Q132" s="51" t="s">
        <v>1322</v>
      </c>
      <c r="R132" s="51" t="s">
        <v>1952</v>
      </c>
      <c r="S132" s="51" t="s">
        <v>1331</v>
      </c>
      <c r="T132" s="51" t="s">
        <v>2113</v>
      </c>
      <c r="U132" s="51">
        <v>168</v>
      </c>
      <c r="V132" s="51">
        <v>48</v>
      </c>
      <c r="W132" s="51" t="s">
        <v>1621</v>
      </c>
      <c r="X132" s="51">
        <v>49.6</v>
      </c>
      <c r="Y132" s="51" t="s">
        <v>182</v>
      </c>
      <c r="Z132" s="54">
        <v>8332.7999999999993</v>
      </c>
      <c r="AA132" s="54">
        <v>2380.8000000000002</v>
      </c>
      <c r="AB132" s="51" t="s">
        <v>182</v>
      </c>
      <c r="AC132" s="51" t="s">
        <v>181</v>
      </c>
      <c r="AD132" s="51" t="s">
        <v>67</v>
      </c>
      <c r="AE132" s="51" t="s">
        <v>63</v>
      </c>
      <c r="AF132" s="51" t="s">
        <v>70</v>
      </c>
      <c r="AG132" s="51" t="s">
        <v>76</v>
      </c>
      <c r="AH132" s="53">
        <v>42422</v>
      </c>
      <c r="AI132" s="51" t="s">
        <v>64</v>
      </c>
      <c r="AJ132" s="53">
        <v>42416</v>
      </c>
      <c r="AK132" s="51"/>
      <c r="AL132" s="51"/>
      <c r="AM132" s="51"/>
      <c r="AN132" s="51" t="s">
        <v>77</v>
      </c>
      <c r="AO132" s="51" t="s">
        <v>388</v>
      </c>
    </row>
    <row r="133" spans="1:41" x14ac:dyDescent="0.2">
      <c r="A133" s="51">
        <v>10020713</v>
      </c>
      <c r="B133" s="51">
        <v>2620</v>
      </c>
      <c r="C133" s="51" t="s">
        <v>18</v>
      </c>
      <c r="D133" s="51" t="s">
        <v>78</v>
      </c>
      <c r="E133" s="53">
        <v>42416</v>
      </c>
      <c r="F133" s="51">
        <v>93689039</v>
      </c>
      <c r="G133" s="51">
        <v>2620</v>
      </c>
      <c r="H133" s="51">
        <v>1201120</v>
      </c>
      <c r="I133" s="51" t="s">
        <v>117</v>
      </c>
      <c r="J133" s="51">
        <v>1307782</v>
      </c>
      <c r="K133" s="51" t="s">
        <v>119</v>
      </c>
      <c r="L133" s="51">
        <v>1171090</v>
      </c>
      <c r="M133" s="51" t="s">
        <v>118</v>
      </c>
      <c r="N133" s="51" t="s">
        <v>2405</v>
      </c>
      <c r="O133" s="51">
        <v>591320413</v>
      </c>
      <c r="P133" s="51" t="s">
        <v>2136</v>
      </c>
      <c r="Q133" s="51" t="s">
        <v>1322</v>
      </c>
      <c r="R133" s="51" t="s">
        <v>2137</v>
      </c>
      <c r="S133" s="51" t="s">
        <v>1331</v>
      </c>
      <c r="T133" s="51" t="s">
        <v>2138</v>
      </c>
      <c r="U133" s="51">
        <v>72</v>
      </c>
      <c r="V133" s="51">
        <v>6</v>
      </c>
      <c r="W133" s="51" t="s">
        <v>1332</v>
      </c>
      <c r="X133" s="51">
        <v>79.58</v>
      </c>
      <c r="Y133" s="51" t="s">
        <v>182</v>
      </c>
      <c r="Z133" s="54">
        <v>5729.76</v>
      </c>
      <c r="AA133" s="51">
        <v>477.48</v>
      </c>
      <c r="AB133" s="51" t="s">
        <v>182</v>
      </c>
      <c r="AC133" s="51" t="s">
        <v>181</v>
      </c>
      <c r="AD133" s="51" t="s">
        <v>123</v>
      </c>
      <c r="AE133" s="51" t="s">
        <v>63</v>
      </c>
      <c r="AF133" s="51" t="s">
        <v>70</v>
      </c>
      <c r="AG133" s="51" t="s">
        <v>76</v>
      </c>
      <c r="AH133" s="53">
        <v>42422</v>
      </c>
      <c r="AI133" s="51" t="s">
        <v>64</v>
      </c>
      <c r="AJ133" s="53">
        <v>42416</v>
      </c>
      <c r="AK133" s="51"/>
      <c r="AL133" s="51"/>
      <c r="AM133" s="51"/>
      <c r="AN133" s="51" t="s">
        <v>77</v>
      </c>
      <c r="AO133" s="51" t="s">
        <v>386</v>
      </c>
    </row>
    <row r="134" spans="1:41" x14ac:dyDescent="0.2">
      <c r="A134" s="51">
        <v>10020714</v>
      </c>
      <c r="B134" s="51">
        <v>1580</v>
      </c>
      <c r="C134" s="51" t="s">
        <v>18</v>
      </c>
      <c r="D134" s="51" t="s">
        <v>78</v>
      </c>
      <c r="E134" s="53">
        <v>42416</v>
      </c>
      <c r="F134" s="51">
        <v>93659431</v>
      </c>
      <c r="G134" s="51">
        <v>1580</v>
      </c>
      <c r="H134" s="51">
        <v>1201120</v>
      </c>
      <c r="I134" s="51" t="s">
        <v>117</v>
      </c>
      <c r="J134" s="51">
        <v>1307782</v>
      </c>
      <c r="K134" s="51" t="s">
        <v>119</v>
      </c>
      <c r="L134" s="51">
        <v>1171090</v>
      </c>
      <c r="M134" s="51" t="s">
        <v>118</v>
      </c>
      <c r="N134" s="51" t="s">
        <v>2126</v>
      </c>
      <c r="O134" s="51">
        <v>591379830</v>
      </c>
      <c r="P134" s="51" t="s">
        <v>2259</v>
      </c>
      <c r="Q134" s="51" t="s">
        <v>1322</v>
      </c>
      <c r="R134" s="51" t="s">
        <v>1581</v>
      </c>
      <c r="S134" s="51" t="s">
        <v>1331</v>
      </c>
      <c r="T134" s="51" t="s">
        <v>2420</v>
      </c>
      <c r="U134" s="51">
        <v>1536</v>
      </c>
      <c r="V134" s="51">
        <v>24</v>
      </c>
      <c r="W134" s="51" t="s">
        <v>1332</v>
      </c>
      <c r="X134" s="51">
        <v>4.5</v>
      </c>
      <c r="Y134" s="51" t="s">
        <v>182</v>
      </c>
      <c r="Z134" s="54">
        <v>6912</v>
      </c>
      <c r="AA134" s="51">
        <v>108</v>
      </c>
      <c r="AB134" s="51" t="s">
        <v>182</v>
      </c>
      <c r="AC134" s="51" t="s">
        <v>181</v>
      </c>
      <c r="AD134" s="51" t="s">
        <v>91</v>
      </c>
      <c r="AE134" s="51" t="s">
        <v>63</v>
      </c>
      <c r="AF134" s="51" t="s">
        <v>70</v>
      </c>
      <c r="AG134" s="51" t="s">
        <v>76</v>
      </c>
      <c r="AH134" s="53">
        <v>42422</v>
      </c>
      <c r="AI134" s="51" t="s">
        <v>64</v>
      </c>
      <c r="AJ134" s="53">
        <v>42416</v>
      </c>
      <c r="AK134" s="51"/>
      <c r="AL134" s="51"/>
      <c r="AM134" s="51"/>
      <c r="AN134" s="51" t="s">
        <v>77</v>
      </c>
      <c r="AO134" s="51" t="s">
        <v>2421</v>
      </c>
    </row>
    <row r="135" spans="1:41" x14ac:dyDescent="0.2">
      <c r="A135" s="51">
        <v>10020714</v>
      </c>
      <c r="B135" s="51">
        <v>1590</v>
      </c>
      <c r="C135" s="51" t="s">
        <v>18</v>
      </c>
      <c r="D135" s="51" t="s">
        <v>78</v>
      </c>
      <c r="E135" s="53">
        <v>42416</v>
      </c>
      <c r="F135" s="51">
        <v>93659431</v>
      </c>
      <c r="G135" s="51">
        <v>1590</v>
      </c>
      <c r="H135" s="51">
        <v>1201120</v>
      </c>
      <c r="I135" s="51" t="s">
        <v>117</v>
      </c>
      <c r="J135" s="51">
        <v>1307782</v>
      </c>
      <c r="K135" s="51" t="s">
        <v>119</v>
      </c>
      <c r="L135" s="51">
        <v>1171090</v>
      </c>
      <c r="M135" s="51" t="s">
        <v>118</v>
      </c>
      <c r="N135" s="51" t="s">
        <v>2126</v>
      </c>
      <c r="O135" s="51">
        <v>591379883</v>
      </c>
      <c r="P135" s="51" t="s">
        <v>1848</v>
      </c>
      <c r="Q135" s="51" t="s">
        <v>1322</v>
      </c>
      <c r="R135" s="51" t="s">
        <v>1581</v>
      </c>
      <c r="S135" s="51" t="s">
        <v>1331</v>
      </c>
      <c r="T135" s="51"/>
      <c r="U135" s="51">
        <v>3072</v>
      </c>
      <c r="V135" s="51">
        <v>72</v>
      </c>
      <c r="W135" s="51" t="s">
        <v>1332</v>
      </c>
      <c r="X135" s="51">
        <v>3.75</v>
      </c>
      <c r="Y135" s="51" t="s">
        <v>182</v>
      </c>
      <c r="Z135" s="54">
        <v>11520</v>
      </c>
      <c r="AA135" s="51">
        <v>270</v>
      </c>
      <c r="AB135" s="51" t="s">
        <v>182</v>
      </c>
      <c r="AC135" s="51" t="s">
        <v>181</v>
      </c>
      <c r="AD135" s="51" t="s">
        <v>91</v>
      </c>
      <c r="AE135" s="51" t="s">
        <v>63</v>
      </c>
      <c r="AF135" s="51" t="s">
        <v>70</v>
      </c>
      <c r="AG135" s="51" t="s">
        <v>76</v>
      </c>
      <c r="AH135" s="53">
        <v>42422</v>
      </c>
      <c r="AI135" s="51" t="s">
        <v>64</v>
      </c>
      <c r="AJ135" s="53">
        <v>42416</v>
      </c>
      <c r="AK135" s="51"/>
      <c r="AL135" s="51"/>
      <c r="AM135" s="51"/>
      <c r="AN135" s="51" t="s">
        <v>77</v>
      </c>
      <c r="AO135" s="51" t="s">
        <v>2421</v>
      </c>
    </row>
    <row r="136" spans="1:41" x14ac:dyDescent="0.2">
      <c r="A136" s="51">
        <v>10020715</v>
      </c>
      <c r="B136" s="51">
        <v>40</v>
      </c>
      <c r="C136" s="51" t="s">
        <v>18</v>
      </c>
      <c r="D136" s="51" t="s">
        <v>78</v>
      </c>
      <c r="E136" s="53">
        <v>42416</v>
      </c>
      <c r="F136" s="51">
        <v>93684912</v>
      </c>
      <c r="G136" s="51">
        <v>40</v>
      </c>
      <c r="H136" s="51">
        <v>1201646</v>
      </c>
      <c r="I136" s="51" t="s">
        <v>164</v>
      </c>
      <c r="J136" s="51">
        <v>1201646</v>
      </c>
      <c r="K136" s="51" t="s">
        <v>164</v>
      </c>
      <c r="L136" s="51">
        <v>1201646</v>
      </c>
      <c r="M136" s="51" t="s">
        <v>164</v>
      </c>
      <c r="N136" s="51">
        <v>8047371</v>
      </c>
      <c r="O136" s="51">
        <v>45963055650</v>
      </c>
      <c r="P136" s="51" t="s">
        <v>2192</v>
      </c>
      <c r="Q136" s="51" t="s">
        <v>1322</v>
      </c>
      <c r="R136" s="51" t="s">
        <v>2190</v>
      </c>
      <c r="S136" s="51" t="s">
        <v>1331</v>
      </c>
      <c r="T136" s="51"/>
      <c r="U136" s="51">
        <v>432</v>
      </c>
      <c r="V136" s="51">
        <v>1</v>
      </c>
      <c r="W136" s="51" t="s">
        <v>1332</v>
      </c>
      <c r="X136" s="51">
        <v>16.850000000000001</v>
      </c>
      <c r="Y136" s="51" t="s">
        <v>182</v>
      </c>
      <c r="Z136" s="54">
        <v>7279.2</v>
      </c>
      <c r="AA136" s="51">
        <v>16.850000000000001</v>
      </c>
      <c r="AB136" s="51" t="s">
        <v>182</v>
      </c>
      <c r="AC136" s="51" t="s">
        <v>181</v>
      </c>
      <c r="AD136" s="51" t="s">
        <v>67</v>
      </c>
      <c r="AE136" s="51" t="s">
        <v>63</v>
      </c>
      <c r="AF136" s="51" t="s">
        <v>70</v>
      </c>
      <c r="AG136" s="51" t="s">
        <v>76</v>
      </c>
      <c r="AH136" s="53">
        <v>42422</v>
      </c>
      <c r="AI136" s="51" t="s">
        <v>64</v>
      </c>
      <c r="AJ136" s="53">
        <v>42416</v>
      </c>
      <c r="AK136" s="51"/>
      <c r="AL136" s="51"/>
      <c r="AM136" s="51"/>
      <c r="AN136" s="51" t="s">
        <v>77</v>
      </c>
      <c r="AO136" s="51" t="s">
        <v>323</v>
      </c>
    </row>
    <row r="137" spans="1:41" x14ac:dyDescent="0.2">
      <c r="A137" s="51">
        <v>10020716</v>
      </c>
      <c r="B137" s="51">
        <v>10</v>
      </c>
      <c r="C137" s="51" t="s">
        <v>25</v>
      </c>
      <c r="D137" s="51" t="s">
        <v>78</v>
      </c>
      <c r="E137" s="53">
        <v>42416</v>
      </c>
      <c r="F137" s="51"/>
      <c r="G137" s="51">
        <v>10</v>
      </c>
      <c r="H137" s="51">
        <v>1201315</v>
      </c>
      <c r="I137" s="51" t="s">
        <v>256</v>
      </c>
      <c r="J137" s="51">
        <v>1319408</v>
      </c>
      <c r="K137" s="51" t="s">
        <v>256</v>
      </c>
      <c r="L137" s="51">
        <v>1201315</v>
      </c>
      <c r="M137" s="51" t="s">
        <v>256</v>
      </c>
      <c r="N137" s="51">
        <v>5600050</v>
      </c>
      <c r="O137" s="51">
        <v>591079601</v>
      </c>
      <c r="P137" s="51" t="s">
        <v>2398</v>
      </c>
      <c r="Q137" s="51" t="s">
        <v>1322</v>
      </c>
      <c r="R137" s="51" t="s">
        <v>2399</v>
      </c>
      <c r="S137" s="51" t="s">
        <v>1331</v>
      </c>
      <c r="T137" s="51"/>
      <c r="U137" s="51">
        <v>0</v>
      </c>
      <c r="V137" s="51">
        <v>7</v>
      </c>
      <c r="W137" s="51" t="s">
        <v>1324</v>
      </c>
      <c r="X137" s="51">
        <v>18.649999999999999</v>
      </c>
      <c r="Y137" s="51" t="s">
        <v>182</v>
      </c>
      <c r="Z137" s="51">
        <v>0</v>
      </c>
      <c r="AA137" s="51">
        <v>130.55000000000001</v>
      </c>
      <c r="AB137" s="51" t="s">
        <v>182</v>
      </c>
      <c r="AC137" s="51" t="s">
        <v>181</v>
      </c>
      <c r="AD137" s="51"/>
      <c r="AE137" s="51" t="s">
        <v>63</v>
      </c>
      <c r="AF137" s="51"/>
      <c r="AG137" s="51"/>
      <c r="AH137" s="51"/>
      <c r="AI137" s="51" t="s">
        <v>64</v>
      </c>
      <c r="AJ137" s="53">
        <v>42416</v>
      </c>
      <c r="AK137" s="51"/>
      <c r="AL137" s="51"/>
      <c r="AM137" s="51"/>
      <c r="AN137" s="51"/>
      <c r="AO137" s="51"/>
    </row>
    <row r="138" spans="1:41" x14ac:dyDescent="0.2">
      <c r="A138" s="51">
        <v>10020717</v>
      </c>
      <c r="B138" s="51">
        <v>870</v>
      </c>
      <c r="C138" s="51" t="s">
        <v>25</v>
      </c>
      <c r="D138" s="51" t="s">
        <v>78</v>
      </c>
      <c r="E138" s="53">
        <v>42416</v>
      </c>
      <c r="F138" s="51">
        <v>93613888</v>
      </c>
      <c r="G138" s="51">
        <v>870</v>
      </c>
      <c r="H138" s="51">
        <v>1201044</v>
      </c>
      <c r="I138" s="51" t="s">
        <v>65</v>
      </c>
      <c r="J138" s="51">
        <v>1033809</v>
      </c>
      <c r="K138" s="51" t="s">
        <v>66</v>
      </c>
      <c r="L138" s="51">
        <v>1201044</v>
      </c>
      <c r="M138" s="51" t="s">
        <v>65</v>
      </c>
      <c r="N138" s="51">
        <v>10441024</v>
      </c>
      <c r="O138" s="51">
        <v>52544005431</v>
      </c>
      <c r="P138" s="51" t="s">
        <v>1631</v>
      </c>
      <c r="Q138" s="51" t="s">
        <v>1344</v>
      </c>
      <c r="R138" s="51" t="s">
        <v>2422</v>
      </c>
      <c r="S138" s="51" t="s">
        <v>1331</v>
      </c>
      <c r="T138" s="51" t="s">
        <v>1633</v>
      </c>
      <c r="U138" s="51">
        <v>144</v>
      </c>
      <c r="V138" s="51">
        <v>144</v>
      </c>
      <c r="W138" s="51" t="s">
        <v>1332</v>
      </c>
      <c r="X138" s="51">
        <v>57</v>
      </c>
      <c r="Y138" s="51" t="s">
        <v>182</v>
      </c>
      <c r="Z138" s="54">
        <v>8208</v>
      </c>
      <c r="AA138" s="54">
        <v>8208</v>
      </c>
      <c r="AB138" s="51" t="s">
        <v>182</v>
      </c>
      <c r="AC138" s="51" t="s">
        <v>181</v>
      </c>
      <c r="AD138" s="51" t="s">
        <v>97</v>
      </c>
      <c r="AE138" s="51" t="s">
        <v>63</v>
      </c>
      <c r="AF138" s="51"/>
      <c r="AG138" s="51"/>
      <c r="AH138" s="51"/>
      <c r="AI138" s="51" t="s">
        <v>64</v>
      </c>
      <c r="AJ138" s="53">
        <v>42416</v>
      </c>
      <c r="AK138" s="51"/>
      <c r="AL138" s="51"/>
      <c r="AM138" s="51"/>
      <c r="AN138" s="51"/>
      <c r="AO138" s="51"/>
    </row>
    <row r="139" spans="1:41" x14ac:dyDescent="0.2">
      <c r="A139" s="51">
        <v>10020718</v>
      </c>
      <c r="B139" s="51">
        <v>870</v>
      </c>
      <c r="C139" s="51" t="s">
        <v>25</v>
      </c>
      <c r="D139" s="51" t="s">
        <v>78</v>
      </c>
      <c r="E139" s="53">
        <v>42416</v>
      </c>
      <c r="F139" s="51">
        <v>93615602</v>
      </c>
      <c r="G139" s="51">
        <v>870</v>
      </c>
      <c r="H139" s="51">
        <v>1201044</v>
      </c>
      <c r="I139" s="51" t="s">
        <v>65</v>
      </c>
      <c r="J139" s="51">
        <v>1033809</v>
      </c>
      <c r="K139" s="51" t="s">
        <v>66</v>
      </c>
      <c r="L139" s="51">
        <v>1201044</v>
      </c>
      <c r="M139" s="51" t="s">
        <v>65</v>
      </c>
      <c r="N139" s="51">
        <v>10441025</v>
      </c>
      <c r="O139" s="51">
        <v>52544005431</v>
      </c>
      <c r="P139" s="51" t="s">
        <v>1631</v>
      </c>
      <c r="Q139" s="51" t="s">
        <v>1344</v>
      </c>
      <c r="R139" s="51" t="s">
        <v>2422</v>
      </c>
      <c r="S139" s="51" t="s">
        <v>1331</v>
      </c>
      <c r="T139" s="51" t="s">
        <v>1633</v>
      </c>
      <c r="U139" s="51">
        <v>144</v>
      </c>
      <c r="V139" s="51">
        <v>144</v>
      </c>
      <c r="W139" s="51" t="s">
        <v>1332</v>
      </c>
      <c r="X139" s="51">
        <v>57</v>
      </c>
      <c r="Y139" s="51" t="s">
        <v>182</v>
      </c>
      <c r="Z139" s="54">
        <v>8208</v>
      </c>
      <c r="AA139" s="54">
        <v>8208</v>
      </c>
      <c r="AB139" s="51" t="s">
        <v>182</v>
      </c>
      <c r="AC139" s="51" t="s">
        <v>181</v>
      </c>
      <c r="AD139" s="51" t="s">
        <v>67</v>
      </c>
      <c r="AE139" s="51" t="s">
        <v>63</v>
      </c>
      <c r="AF139" s="51"/>
      <c r="AG139" s="51"/>
      <c r="AH139" s="51"/>
      <c r="AI139" s="51" t="s">
        <v>64</v>
      </c>
      <c r="AJ139" s="53">
        <v>42416</v>
      </c>
      <c r="AK139" s="51"/>
      <c r="AL139" s="51"/>
      <c r="AM139" s="51"/>
      <c r="AN139" s="51"/>
      <c r="AO139" s="51"/>
    </row>
    <row r="140" spans="1:41" x14ac:dyDescent="0.2">
      <c r="A140" s="51">
        <v>10020719</v>
      </c>
      <c r="B140" s="51">
        <v>700</v>
      </c>
      <c r="C140" s="51" t="s">
        <v>18</v>
      </c>
      <c r="D140" s="51" t="s">
        <v>78</v>
      </c>
      <c r="E140" s="53">
        <v>42416</v>
      </c>
      <c r="F140" s="51">
        <v>93689037</v>
      </c>
      <c r="G140" s="51">
        <v>700</v>
      </c>
      <c r="H140" s="51">
        <v>1201120</v>
      </c>
      <c r="I140" s="51" t="s">
        <v>117</v>
      </c>
      <c r="J140" s="51">
        <v>1307782</v>
      </c>
      <c r="K140" s="51" t="s">
        <v>119</v>
      </c>
      <c r="L140" s="51">
        <v>1171090</v>
      </c>
      <c r="M140" s="51" t="s">
        <v>118</v>
      </c>
      <c r="N140" s="51" t="s">
        <v>2405</v>
      </c>
      <c r="O140" s="51">
        <v>591351004</v>
      </c>
      <c r="P140" s="51" t="s">
        <v>2423</v>
      </c>
      <c r="Q140" s="51" t="s">
        <v>1322</v>
      </c>
      <c r="R140" s="51" t="s">
        <v>1952</v>
      </c>
      <c r="S140" s="51" t="s">
        <v>1331</v>
      </c>
      <c r="T140" s="51" t="s">
        <v>2424</v>
      </c>
      <c r="U140" s="51">
        <v>72</v>
      </c>
      <c r="V140" s="51">
        <v>3</v>
      </c>
      <c r="W140" s="51" t="s">
        <v>1332</v>
      </c>
      <c r="X140" s="51">
        <v>247.56</v>
      </c>
      <c r="Y140" s="51" t="s">
        <v>182</v>
      </c>
      <c r="Z140" s="54">
        <v>17824.32</v>
      </c>
      <c r="AA140" s="51">
        <v>742.68</v>
      </c>
      <c r="AB140" s="51" t="s">
        <v>182</v>
      </c>
      <c r="AC140" s="51" t="s">
        <v>181</v>
      </c>
      <c r="AD140" s="51" t="s">
        <v>123</v>
      </c>
      <c r="AE140" s="51" t="s">
        <v>63</v>
      </c>
      <c r="AF140" s="51" t="s">
        <v>70</v>
      </c>
      <c r="AG140" s="51" t="s">
        <v>76</v>
      </c>
      <c r="AH140" s="53">
        <v>42422</v>
      </c>
      <c r="AI140" s="51" t="s">
        <v>64</v>
      </c>
      <c r="AJ140" s="53">
        <v>42416</v>
      </c>
      <c r="AK140" s="51"/>
      <c r="AL140" s="51"/>
      <c r="AM140" s="51"/>
      <c r="AN140" s="51" t="s">
        <v>77</v>
      </c>
      <c r="AO140" s="51" t="s">
        <v>2425</v>
      </c>
    </row>
    <row r="141" spans="1:41" x14ac:dyDescent="0.2">
      <c r="A141" s="51">
        <v>10020719</v>
      </c>
      <c r="B141" s="51">
        <v>2330</v>
      </c>
      <c r="C141" s="51" t="s">
        <v>18</v>
      </c>
      <c r="D141" s="51" t="s">
        <v>78</v>
      </c>
      <c r="E141" s="53">
        <v>42416</v>
      </c>
      <c r="F141" s="51">
        <v>93689037</v>
      </c>
      <c r="G141" s="51">
        <v>2330</v>
      </c>
      <c r="H141" s="51">
        <v>1201120</v>
      </c>
      <c r="I141" s="51" t="s">
        <v>117</v>
      </c>
      <c r="J141" s="51">
        <v>1307782</v>
      </c>
      <c r="K141" s="51" t="s">
        <v>119</v>
      </c>
      <c r="L141" s="51">
        <v>1171090</v>
      </c>
      <c r="M141" s="51" t="s">
        <v>118</v>
      </c>
      <c r="N141" s="51" t="s">
        <v>2405</v>
      </c>
      <c r="O141" s="51">
        <v>591247015</v>
      </c>
      <c r="P141" s="51" t="s">
        <v>2426</v>
      </c>
      <c r="Q141" s="51" t="s">
        <v>1322</v>
      </c>
      <c r="R141" s="51" t="s">
        <v>2427</v>
      </c>
      <c r="S141" s="51" t="s">
        <v>1331</v>
      </c>
      <c r="T141" s="51" t="s">
        <v>2428</v>
      </c>
      <c r="U141" s="51">
        <v>48</v>
      </c>
      <c r="V141" s="51">
        <v>24</v>
      </c>
      <c r="W141" s="51" t="s">
        <v>1332</v>
      </c>
      <c r="X141" s="51">
        <v>57.8</v>
      </c>
      <c r="Y141" s="51" t="s">
        <v>182</v>
      </c>
      <c r="Z141" s="54">
        <v>2774.4</v>
      </c>
      <c r="AA141" s="54">
        <v>1387.2</v>
      </c>
      <c r="AB141" s="51" t="s">
        <v>182</v>
      </c>
      <c r="AC141" s="51" t="s">
        <v>181</v>
      </c>
      <c r="AD141" s="51" t="s">
        <v>123</v>
      </c>
      <c r="AE141" s="51" t="s">
        <v>63</v>
      </c>
      <c r="AF141" s="51" t="s">
        <v>70</v>
      </c>
      <c r="AG141" s="51" t="s">
        <v>76</v>
      </c>
      <c r="AH141" s="53">
        <v>42422</v>
      </c>
      <c r="AI141" s="51" t="s">
        <v>64</v>
      </c>
      <c r="AJ141" s="53">
        <v>42416</v>
      </c>
      <c r="AK141" s="51"/>
      <c r="AL141" s="51"/>
      <c r="AM141" s="51"/>
      <c r="AN141" s="51" t="s">
        <v>77</v>
      </c>
      <c r="AO141" s="51" t="s">
        <v>2425</v>
      </c>
    </row>
    <row r="142" spans="1:41" x14ac:dyDescent="0.2">
      <c r="A142" s="51">
        <v>10020720</v>
      </c>
      <c r="B142" s="51">
        <v>2420</v>
      </c>
      <c r="C142" s="51" t="s">
        <v>18</v>
      </c>
      <c r="D142" s="51" t="s">
        <v>78</v>
      </c>
      <c r="E142" s="53">
        <v>42416</v>
      </c>
      <c r="F142" s="51">
        <v>93689039</v>
      </c>
      <c r="G142" s="51">
        <v>2420</v>
      </c>
      <c r="H142" s="51">
        <v>1201120</v>
      </c>
      <c r="I142" s="51" t="s">
        <v>117</v>
      </c>
      <c r="J142" s="51">
        <v>1307782</v>
      </c>
      <c r="K142" s="51" t="s">
        <v>119</v>
      </c>
      <c r="L142" s="51">
        <v>1171090</v>
      </c>
      <c r="M142" s="51" t="s">
        <v>118</v>
      </c>
      <c r="N142" s="51" t="s">
        <v>2405</v>
      </c>
      <c r="O142" s="51">
        <v>52544024531</v>
      </c>
      <c r="P142" s="51" t="s">
        <v>2097</v>
      </c>
      <c r="Q142" s="51" t="s">
        <v>1344</v>
      </c>
      <c r="R142" s="51" t="s">
        <v>1614</v>
      </c>
      <c r="S142" s="51" t="s">
        <v>1331</v>
      </c>
      <c r="T142" s="51" t="s">
        <v>2098</v>
      </c>
      <c r="U142" s="51">
        <v>120</v>
      </c>
      <c r="V142" s="51">
        <v>12</v>
      </c>
      <c r="W142" s="51" t="s">
        <v>1332</v>
      </c>
      <c r="X142" s="51">
        <v>66.31</v>
      </c>
      <c r="Y142" s="51" t="s">
        <v>182</v>
      </c>
      <c r="Z142" s="54">
        <v>7957.2</v>
      </c>
      <c r="AA142" s="51">
        <v>795.72</v>
      </c>
      <c r="AB142" s="51" t="s">
        <v>182</v>
      </c>
      <c r="AC142" s="51" t="s">
        <v>181</v>
      </c>
      <c r="AD142" s="51" t="s">
        <v>123</v>
      </c>
      <c r="AE142" s="51" t="s">
        <v>63</v>
      </c>
      <c r="AF142" s="51" t="s">
        <v>70</v>
      </c>
      <c r="AG142" s="51" t="s">
        <v>76</v>
      </c>
      <c r="AH142" s="53">
        <v>42422</v>
      </c>
      <c r="AI142" s="51" t="s">
        <v>64</v>
      </c>
      <c r="AJ142" s="53">
        <v>42416</v>
      </c>
      <c r="AK142" s="51"/>
      <c r="AL142" s="51"/>
      <c r="AM142" s="51"/>
      <c r="AN142" s="51" t="s">
        <v>77</v>
      </c>
      <c r="AO142" s="51" t="s">
        <v>1539</v>
      </c>
    </row>
    <row r="143" spans="1:41" x14ac:dyDescent="0.2">
      <c r="A143" s="51">
        <v>10020720</v>
      </c>
      <c r="B143" s="51">
        <v>2440</v>
      </c>
      <c r="C143" s="51" t="s">
        <v>18</v>
      </c>
      <c r="D143" s="51" t="s">
        <v>78</v>
      </c>
      <c r="E143" s="53">
        <v>42416</v>
      </c>
      <c r="F143" s="51">
        <v>93689039</v>
      </c>
      <c r="G143" s="51">
        <v>2440</v>
      </c>
      <c r="H143" s="51">
        <v>1201120</v>
      </c>
      <c r="I143" s="51" t="s">
        <v>117</v>
      </c>
      <c r="J143" s="51">
        <v>1307782</v>
      </c>
      <c r="K143" s="51" t="s">
        <v>119</v>
      </c>
      <c r="L143" s="51">
        <v>1171090</v>
      </c>
      <c r="M143" s="51" t="s">
        <v>118</v>
      </c>
      <c r="N143" s="51" t="s">
        <v>2405</v>
      </c>
      <c r="O143" s="51">
        <v>52544016528</v>
      </c>
      <c r="P143" s="51" t="s">
        <v>2429</v>
      </c>
      <c r="Q143" s="51" t="s">
        <v>1344</v>
      </c>
      <c r="R143" s="51" t="s">
        <v>2430</v>
      </c>
      <c r="S143" s="51" t="s">
        <v>1331</v>
      </c>
      <c r="T143" s="51" t="s">
        <v>2431</v>
      </c>
      <c r="U143" s="51">
        <v>48</v>
      </c>
      <c r="V143" s="51">
        <v>2</v>
      </c>
      <c r="W143" s="51" t="s">
        <v>1332</v>
      </c>
      <c r="X143" s="51">
        <v>154.55000000000001</v>
      </c>
      <c r="Y143" s="51" t="s">
        <v>182</v>
      </c>
      <c r="Z143" s="54">
        <v>7418.4</v>
      </c>
      <c r="AA143" s="51">
        <v>309.10000000000002</v>
      </c>
      <c r="AB143" s="51" t="s">
        <v>182</v>
      </c>
      <c r="AC143" s="51" t="s">
        <v>181</v>
      </c>
      <c r="AD143" s="51" t="s">
        <v>123</v>
      </c>
      <c r="AE143" s="51" t="s">
        <v>63</v>
      </c>
      <c r="AF143" s="51" t="s">
        <v>70</v>
      </c>
      <c r="AG143" s="51" t="s">
        <v>76</v>
      </c>
      <c r="AH143" s="53">
        <v>42422</v>
      </c>
      <c r="AI143" s="51" t="s">
        <v>64</v>
      </c>
      <c r="AJ143" s="53">
        <v>42416</v>
      </c>
      <c r="AK143" s="51"/>
      <c r="AL143" s="51"/>
      <c r="AM143" s="51"/>
      <c r="AN143" s="51" t="s">
        <v>77</v>
      </c>
      <c r="AO143" s="51" t="s">
        <v>1539</v>
      </c>
    </row>
    <row r="144" spans="1:41" x14ac:dyDescent="0.2">
      <c r="A144" s="51">
        <v>10020721</v>
      </c>
      <c r="B144" s="51">
        <v>90</v>
      </c>
      <c r="C144" s="51" t="s">
        <v>26</v>
      </c>
      <c r="D144" s="51" t="s">
        <v>432</v>
      </c>
      <c r="E144" s="53">
        <v>42417</v>
      </c>
      <c r="F144" s="51">
        <v>93666372</v>
      </c>
      <c r="G144" s="51">
        <v>90</v>
      </c>
      <c r="H144" s="51">
        <v>1201232</v>
      </c>
      <c r="I144" s="51" t="s">
        <v>772</v>
      </c>
      <c r="J144" s="51">
        <v>1201232</v>
      </c>
      <c r="K144" s="51" t="s">
        <v>772</v>
      </c>
      <c r="L144" s="51">
        <v>1201232</v>
      </c>
      <c r="M144" s="51" t="s">
        <v>772</v>
      </c>
      <c r="N144" s="51">
        <v>30171</v>
      </c>
      <c r="O144" s="51">
        <v>591354260</v>
      </c>
      <c r="P144" s="51" t="s">
        <v>2432</v>
      </c>
      <c r="Q144" s="51" t="s">
        <v>1322</v>
      </c>
      <c r="R144" s="51" t="s">
        <v>2067</v>
      </c>
      <c r="S144" s="51" t="s">
        <v>1331</v>
      </c>
      <c r="T144" s="51"/>
      <c r="U144" s="51">
        <v>12</v>
      </c>
      <c r="V144" s="51">
        <v>1</v>
      </c>
      <c r="W144" s="51" t="s">
        <v>1332</v>
      </c>
      <c r="X144" s="51">
        <v>81.93</v>
      </c>
      <c r="Y144" s="51" t="s">
        <v>182</v>
      </c>
      <c r="Z144" s="51">
        <v>983.16</v>
      </c>
      <c r="AA144" s="51">
        <v>81.93</v>
      </c>
      <c r="AB144" s="51" t="s">
        <v>182</v>
      </c>
      <c r="AC144" s="51" t="s">
        <v>181</v>
      </c>
      <c r="AD144" s="51" t="s">
        <v>67</v>
      </c>
      <c r="AE144" s="51" t="s">
        <v>63</v>
      </c>
      <c r="AF144" s="51" t="s">
        <v>94</v>
      </c>
      <c r="AG144" s="51" t="s">
        <v>95</v>
      </c>
      <c r="AH144" s="53">
        <v>42418</v>
      </c>
      <c r="AI144" s="51" t="s">
        <v>64</v>
      </c>
      <c r="AJ144" s="53">
        <v>42417</v>
      </c>
      <c r="AK144" s="51"/>
      <c r="AL144" s="51"/>
      <c r="AM144" s="51"/>
      <c r="AN144" s="51" t="s">
        <v>96</v>
      </c>
      <c r="AO144" s="51" t="s">
        <v>2433</v>
      </c>
    </row>
    <row r="145" spans="1:41" x14ac:dyDescent="0.2">
      <c r="A145" s="51">
        <v>10020722</v>
      </c>
      <c r="B145" s="51">
        <v>720</v>
      </c>
      <c r="C145" s="51" t="s">
        <v>20</v>
      </c>
      <c r="D145" s="51" t="s">
        <v>432</v>
      </c>
      <c r="E145" s="53">
        <v>42417</v>
      </c>
      <c r="F145" s="51">
        <v>93664659</v>
      </c>
      <c r="G145" s="51">
        <v>720</v>
      </c>
      <c r="H145" s="51">
        <v>1201232</v>
      </c>
      <c r="I145" s="51" t="s">
        <v>772</v>
      </c>
      <c r="J145" s="51">
        <v>1201232</v>
      </c>
      <c r="K145" s="51" t="s">
        <v>772</v>
      </c>
      <c r="L145" s="51">
        <v>1201232</v>
      </c>
      <c r="M145" s="51" t="s">
        <v>772</v>
      </c>
      <c r="N145" s="51">
        <v>29079</v>
      </c>
      <c r="O145" s="51">
        <v>591058201</v>
      </c>
      <c r="P145" s="51" t="s">
        <v>2154</v>
      </c>
      <c r="Q145" s="51" t="s">
        <v>1322</v>
      </c>
      <c r="R145" s="51" t="s">
        <v>2155</v>
      </c>
      <c r="S145" s="51" t="s">
        <v>1331</v>
      </c>
      <c r="T145" s="51" t="s">
        <v>2156</v>
      </c>
      <c r="U145" s="51">
        <v>24</v>
      </c>
      <c r="V145" s="51">
        <v>24</v>
      </c>
      <c r="W145" s="51" t="s">
        <v>1332</v>
      </c>
      <c r="X145" s="51">
        <v>38.53</v>
      </c>
      <c r="Y145" s="51" t="s">
        <v>182</v>
      </c>
      <c r="Z145" s="51">
        <v>924.72</v>
      </c>
      <c r="AA145" s="51">
        <v>924.72</v>
      </c>
      <c r="AB145" s="51" t="s">
        <v>182</v>
      </c>
      <c r="AC145" s="51" t="s">
        <v>181</v>
      </c>
      <c r="AD145" s="51" t="s">
        <v>97</v>
      </c>
      <c r="AE145" s="51" t="s">
        <v>120</v>
      </c>
      <c r="AF145" s="51"/>
      <c r="AG145" s="51"/>
      <c r="AH145" s="51"/>
      <c r="AI145" s="51"/>
      <c r="AJ145" s="51"/>
      <c r="AK145" s="51"/>
      <c r="AL145" s="51"/>
      <c r="AM145" s="51"/>
      <c r="AN145" s="51"/>
      <c r="AO145" s="51"/>
    </row>
    <row r="146" spans="1:41" x14ac:dyDescent="0.2">
      <c r="A146" s="51">
        <v>10020733</v>
      </c>
      <c r="B146" s="51">
        <v>130</v>
      </c>
      <c r="C146" s="51" t="s">
        <v>26</v>
      </c>
      <c r="D146" s="51" t="s">
        <v>149</v>
      </c>
      <c r="E146" s="53">
        <v>42417</v>
      </c>
      <c r="F146" s="51">
        <v>93684570</v>
      </c>
      <c r="G146" s="51">
        <v>130</v>
      </c>
      <c r="H146" s="51">
        <v>1201047</v>
      </c>
      <c r="I146" s="51" t="s">
        <v>79</v>
      </c>
      <c r="J146" s="51">
        <v>1321618</v>
      </c>
      <c r="K146" s="51" t="s">
        <v>85</v>
      </c>
      <c r="L146" s="51">
        <v>1171089</v>
      </c>
      <c r="M146" s="51" t="s">
        <v>75</v>
      </c>
      <c r="N146" s="51">
        <v>55535145</v>
      </c>
      <c r="O146" s="51">
        <v>591271801</v>
      </c>
      <c r="P146" s="51" t="s">
        <v>2317</v>
      </c>
      <c r="Q146" s="51" t="s">
        <v>1322</v>
      </c>
      <c r="R146" s="51" t="s">
        <v>2318</v>
      </c>
      <c r="S146" s="51" t="s">
        <v>1740</v>
      </c>
      <c r="T146" s="51" t="s">
        <v>2434</v>
      </c>
      <c r="U146" s="51">
        <v>240</v>
      </c>
      <c r="V146" s="51">
        <v>1</v>
      </c>
      <c r="W146" s="51" t="s">
        <v>1332</v>
      </c>
      <c r="X146" s="51">
        <v>755.78</v>
      </c>
      <c r="Y146" s="51" t="s">
        <v>182</v>
      </c>
      <c r="Z146" s="54">
        <v>181387.2</v>
      </c>
      <c r="AA146" s="51">
        <v>755.78</v>
      </c>
      <c r="AB146" s="51" t="s">
        <v>182</v>
      </c>
      <c r="AC146" s="51" t="s">
        <v>181</v>
      </c>
      <c r="AD146" s="51" t="s">
        <v>91</v>
      </c>
      <c r="AE146" s="51" t="s">
        <v>69</v>
      </c>
      <c r="AF146" s="51" t="s">
        <v>105</v>
      </c>
      <c r="AG146" s="51" t="s">
        <v>82</v>
      </c>
      <c r="AH146" s="53">
        <v>42424</v>
      </c>
      <c r="AI146" s="51" t="s">
        <v>83</v>
      </c>
      <c r="AJ146" s="53">
        <v>42425</v>
      </c>
      <c r="AK146" s="51" t="s">
        <v>100</v>
      </c>
      <c r="AL146" s="51">
        <v>62087925</v>
      </c>
      <c r="AM146" s="53">
        <v>42425</v>
      </c>
      <c r="AN146" s="51" t="s">
        <v>89</v>
      </c>
      <c r="AO146" s="51" t="s">
        <v>2435</v>
      </c>
    </row>
    <row r="147" spans="1:41" x14ac:dyDescent="0.2">
      <c r="A147" s="51">
        <v>10020734</v>
      </c>
      <c r="B147" s="51">
        <v>2210</v>
      </c>
      <c r="C147" s="51" t="s">
        <v>22</v>
      </c>
      <c r="D147" s="51" t="s">
        <v>149</v>
      </c>
      <c r="E147" s="53">
        <v>42417</v>
      </c>
      <c r="F147" s="51">
        <v>93661752</v>
      </c>
      <c r="G147" s="51">
        <v>2210</v>
      </c>
      <c r="H147" s="51">
        <v>1201047</v>
      </c>
      <c r="I147" s="51" t="s">
        <v>79</v>
      </c>
      <c r="J147" s="51">
        <v>1317086</v>
      </c>
      <c r="K147" s="51" t="s">
        <v>85</v>
      </c>
      <c r="L147" s="51">
        <v>1171089</v>
      </c>
      <c r="M147" s="51" t="s">
        <v>75</v>
      </c>
      <c r="N147" s="51">
        <v>23621845</v>
      </c>
      <c r="O147" s="51">
        <v>62037084920</v>
      </c>
      <c r="P147" s="51" t="s">
        <v>1616</v>
      </c>
      <c r="Q147" s="51" t="s">
        <v>1322</v>
      </c>
      <c r="R147" s="51" t="s">
        <v>1944</v>
      </c>
      <c r="S147" s="51" t="s">
        <v>1331</v>
      </c>
      <c r="T147" s="51" t="s">
        <v>2436</v>
      </c>
      <c r="U147" s="51">
        <v>700</v>
      </c>
      <c r="V147" s="51">
        <v>215</v>
      </c>
      <c r="W147" s="51" t="s">
        <v>1332</v>
      </c>
      <c r="X147" s="51">
        <v>220</v>
      </c>
      <c r="Y147" s="51" t="s">
        <v>182</v>
      </c>
      <c r="Z147" s="54">
        <v>154000</v>
      </c>
      <c r="AA147" s="54">
        <v>47300</v>
      </c>
      <c r="AB147" s="51" t="s">
        <v>182</v>
      </c>
      <c r="AC147" s="51" t="s">
        <v>181</v>
      </c>
      <c r="AD147" s="51" t="s">
        <v>91</v>
      </c>
      <c r="AE147" s="51" t="s">
        <v>63</v>
      </c>
      <c r="AF147" s="51" t="s">
        <v>94</v>
      </c>
      <c r="AG147" s="51" t="s">
        <v>141</v>
      </c>
      <c r="AH147" s="53">
        <v>42423</v>
      </c>
      <c r="AI147" s="51" t="s">
        <v>64</v>
      </c>
      <c r="AJ147" s="53">
        <v>42417</v>
      </c>
      <c r="AK147" s="51"/>
      <c r="AL147" s="51"/>
      <c r="AM147" s="51"/>
      <c r="AN147" s="51" t="s">
        <v>142</v>
      </c>
      <c r="AO147" s="51" t="s">
        <v>2437</v>
      </c>
    </row>
    <row r="148" spans="1:41" x14ac:dyDescent="0.2">
      <c r="A148" s="51">
        <v>10020735</v>
      </c>
      <c r="B148" s="51">
        <v>440</v>
      </c>
      <c r="C148" s="51"/>
      <c r="D148" s="51" t="s">
        <v>149</v>
      </c>
      <c r="E148" s="53">
        <v>42417</v>
      </c>
      <c r="F148" s="51">
        <v>93686203</v>
      </c>
      <c r="G148" s="51">
        <v>440</v>
      </c>
      <c r="H148" s="51">
        <v>1201047</v>
      </c>
      <c r="I148" s="51" t="s">
        <v>79</v>
      </c>
      <c r="J148" s="51">
        <v>1064887</v>
      </c>
      <c r="K148" s="51" t="s">
        <v>80</v>
      </c>
      <c r="L148" s="51">
        <v>1171089</v>
      </c>
      <c r="M148" s="51" t="s">
        <v>75</v>
      </c>
      <c r="N148" s="51">
        <v>26991441</v>
      </c>
      <c r="O148" s="51">
        <v>591320413</v>
      </c>
      <c r="P148" s="51" t="s">
        <v>2136</v>
      </c>
      <c r="Q148" s="51" t="s">
        <v>1322</v>
      </c>
      <c r="R148" s="51" t="s">
        <v>2137</v>
      </c>
      <c r="S148" s="51" t="s">
        <v>1331</v>
      </c>
      <c r="T148" s="51" t="s">
        <v>2138</v>
      </c>
      <c r="U148" s="51">
        <v>36</v>
      </c>
      <c r="V148" s="51">
        <v>36</v>
      </c>
      <c r="W148" s="51" t="s">
        <v>1332</v>
      </c>
      <c r="X148" s="51">
        <v>79.58</v>
      </c>
      <c r="Y148" s="51" t="s">
        <v>182</v>
      </c>
      <c r="Z148" s="54">
        <v>2864.88</v>
      </c>
      <c r="AA148" s="54">
        <v>2864.88</v>
      </c>
      <c r="AB148" s="51" t="s">
        <v>182</v>
      </c>
      <c r="AC148" s="51" t="s">
        <v>181</v>
      </c>
      <c r="AD148" s="51" t="s">
        <v>102</v>
      </c>
      <c r="AE148" s="51" t="s">
        <v>120</v>
      </c>
      <c r="AF148" s="51"/>
      <c r="AG148" s="51"/>
      <c r="AH148" s="51"/>
      <c r="AI148" s="51"/>
      <c r="AJ148" s="51"/>
      <c r="AK148" s="51"/>
      <c r="AL148" s="51"/>
      <c r="AM148" s="51"/>
      <c r="AN148" s="51"/>
      <c r="AO148" s="51"/>
    </row>
    <row r="149" spans="1:41" x14ac:dyDescent="0.2">
      <c r="A149" s="51">
        <v>10020735</v>
      </c>
      <c r="B149" s="51">
        <v>520</v>
      </c>
      <c r="C149" s="51"/>
      <c r="D149" s="51" t="s">
        <v>149</v>
      </c>
      <c r="E149" s="53">
        <v>42417</v>
      </c>
      <c r="F149" s="51">
        <v>93686203</v>
      </c>
      <c r="G149" s="51">
        <v>520</v>
      </c>
      <c r="H149" s="51">
        <v>1201047</v>
      </c>
      <c r="I149" s="51" t="s">
        <v>79</v>
      </c>
      <c r="J149" s="51">
        <v>1064887</v>
      </c>
      <c r="K149" s="51" t="s">
        <v>80</v>
      </c>
      <c r="L149" s="51">
        <v>1171089</v>
      </c>
      <c r="M149" s="51" t="s">
        <v>75</v>
      </c>
      <c r="N149" s="51">
        <v>26991441</v>
      </c>
      <c r="O149" s="51">
        <v>472009475</v>
      </c>
      <c r="P149" s="51" t="s">
        <v>2438</v>
      </c>
      <c r="Q149" s="51" t="s">
        <v>1459</v>
      </c>
      <c r="R149" s="51" t="s">
        <v>2439</v>
      </c>
      <c r="S149" s="51" t="s">
        <v>1459</v>
      </c>
      <c r="T149" s="51">
        <v>95956</v>
      </c>
      <c r="U149" s="51">
        <v>24</v>
      </c>
      <c r="V149" s="51">
        <v>24</v>
      </c>
      <c r="W149" s="51" t="s">
        <v>1332</v>
      </c>
      <c r="X149" s="51">
        <v>34.18</v>
      </c>
      <c r="Y149" s="51" t="s">
        <v>182</v>
      </c>
      <c r="Z149" s="51">
        <v>820.32</v>
      </c>
      <c r="AA149" s="51">
        <v>820.32</v>
      </c>
      <c r="AB149" s="51" t="s">
        <v>182</v>
      </c>
      <c r="AC149" s="51" t="s">
        <v>181</v>
      </c>
      <c r="AD149" s="51" t="s">
        <v>102</v>
      </c>
      <c r="AE149" s="51" t="s">
        <v>120</v>
      </c>
      <c r="AF149" s="51"/>
      <c r="AG149" s="51"/>
      <c r="AH149" s="51"/>
      <c r="AI149" s="51"/>
      <c r="AJ149" s="51"/>
      <c r="AK149" s="51"/>
      <c r="AL149" s="51"/>
      <c r="AM149" s="51"/>
      <c r="AN149" s="51"/>
      <c r="AO149" s="51"/>
    </row>
    <row r="150" spans="1:41" x14ac:dyDescent="0.2">
      <c r="A150" s="51">
        <v>10020735</v>
      </c>
      <c r="B150" s="51">
        <v>850</v>
      </c>
      <c r="C150" s="51"/>
      <c r="D150" s="51" t="s">
        <v>149</v>
      </c>
      <c r="E150" s="53">
        <v>42417</v>
      </c>
      <c r="F150" s="51">
        <v>93686203</v>
      </c>
      <c r="G150" s="51">
        <v>850</v>
      </c>
      <c r="H150" s="51">
        <v>1201047</v>
      </c>
      <c r="I150" s="51" t="s">
        <v>79</v>
      </c>
      <c r="J150" s="51">
        <v>1064887</v>
      </c>
      <c r="K150" s="51" t="s">
        <v>80</v>
      </c>
      <c r="L150" s="51">
        <v>1171089</v>
      </c>
      <c r="M150" s="51" t="s">
        <v>75</v>
      </c>
      <c r="N150" s="51">
        <v>26991441</v>
      </c>
      <c r="O150" s="51">
        <v>472098792</v>
      </c>
      <c r="P150" s="51" t="s">
        <v>2440</v>
      </c>
      <c r="Q150" s="51" t="s">
        <v>1322</v>
      </c>
      <c r="R150" s="51" t="s">
        <v>2441</v>
      </c>
      <c r="S150" s="51" t="s">
        <v>1331</v>
      </c>
      <c r="T150" s="51">
        <v>32100066</v>
      </c>
      <c r="U150" s="51">
        <v>24</v>
      </c>
      <c r="V150" s="51">
        <v>24</v>
      </c>
      <c r="W150" s="51" t="s">
        <v>1332</v>
      </c>
      <c r="X150" s="51">
        <v>65.290000000000006</v>
      </c>
      <c r="Y150" s="51" t="s">
        <v>182</v>
      </c>
      <c r="Z150" s="54">
        <v>1566.96</v>
      </c>
      <c r="AA150" s="54">
        <v>1566.96</v>
      </c>
      <c r="AB150" s="51" t="s">
        <v>182</v>
      </c>
      <c r="AC150" s="51" t="s">
        <v>181</v>
      </c>
      <c r="AD150" s="51" t="s">
        <v>102</v>
      </c>
      <c r="AE150" s="51" t="s">
        <v>120</v>
      </c>
      <c r="AF150" s="51"/>
      <c r="AG150" s="51"/>
      <c r="AH150" s="51"/>
      <c r="AI150" s="51"/>
      <c r="AJ150" s="51"/>
      <c r="AK150" s="51"/>
      <c r="AL150" s="51"/>
      <c r="AM150" s="51"/>
      <c r="AN150" s="51"/>
      <c r="AO150" s="51"/>
    </row>
    <row r="151" spans="1:41" x14ac:dyDescent="0.2">
      <c r="A151" s="51">
        <v>10020735</v>
      </c>
      <c r="B151" s="51">
        <v>860</v>
      </c>
      <c r="C151" s="51"/>
      <c r="D151" s="51" t="s">
        <v>149</v>
      </c>
      <c r="E151" s="53">
        <v>42417</v>
      </c>
      <c r="F151" s="51">
        <v>93686203</v>
      </c>
      <c r="G151" s="51">
        <v>860</v>
      </c>
      <c r="H151" s="51">
        <v>1201047</v>
      </c>
      <c r="I151" s="51" t="s">
        <v>79</v>
      </c>
      <c r="J151" s="51">
        <v>1064887</v>
      </c>
      <c r="K151" s="51" t="s">
        <v>80</v>
      </c>
      <c r="L151" s="51">
        <v>1171089</v>
      </c>
      <c r="M151" s="51" t="s">
        <v>75</v>
      </c>
      <c r="N151" s="51">
        <v>26991441</v>
      </c>
      <c r="O151" s="51">
        <v>591403946</v>
      </c>
      <c r="P151" s="51" t="s">
        <v>2442</v>
      </c>
      <c r="Q151" s="51" t="s">
        <v>1322</v>
      </c>
      <c r="R151" s="51" t="s">
        <v>1438</v>
      </c>
      <c r="S151" s="51" t="s">
        <v>1331</v>
      </c>
      <c r="T151" s="51" t="s">
        <v>2443</v>
      </c>
      <c r="U151" s="51">
        <v>24</v>
      </c>
      <c r="V151" s="51">
        <v>24</v>
      </c>
      <c r="W151" s="51" t="s">
        <v>1332</v>
      </c>
      <c r="X151" s="51">
        <v>329.13</v>
      </c>
      <c r="Y151" s="51" t="s">
        <v>182</v>
      </c>
      <c r="Z151" s="54">
        <v>7899.12</v>
      </c>
      <c r="AA151" s="54">
        <v>7899.12</v>
      </c>
      <c r="AB151" s="51" t="s">
        <v>182</v>
      </c>
      <c r="AC151" s="51" t="s">
        <v>181</v>
      </c>
      <c r="AD151" s="51" t="s">
        <v>102</v>
      </c>
      <c r="AE151" s="51" t="s">
        <v>120</v>
      </c>
      <c r="AF151" s="51"/>
      <c r="AG151" s="51"/>
      <c r="AH151" s="51"/>
      <c r="AI151" s="51"/>
      <c r="AJ151" s="51"/>
      <c r="AK151" s="51"/>
      <c r="AL151" s="51"/>
      <c r="AM151" s="51"/>
      <c r="AN151" s="51"/>
      <c r="AO151" s="51"/>
    </row>
    <row r="152" spans="1:41" x14ac:dyDescent="0.2">
      <c r="A152" s="51">
        <v>10020736</v>
      </c>
      <c r="B152" s="51">
        <v>510</v>
      </c>
      <c r="C152" s="51" t="s">
        <v>22</v>
      </c>
      <c r="D152" s="51" t="s">
        <v>149</v>
      </c>
      <c r="E152" s="53">
        <v>42417</v>
      </c>
      <c r="F152" s="51">
        <v>93683398</v>
      </c>
      <c r="G152" s="51">
        <v>510</v>
      </c>
      <c r="H152" s="51">
        <v>1201047</v>
      </c>
      <c r="I152" s="51" t="s">
        <v>79</v>
      </c>
      <c r="J152" s="51">
        <v>1064887</v>
      </c>
      <c r="K152" s="51" t="s">
        <v>80</v>
      </c>
      <c r="L152" s="51">
        <v>1171089</v>
      </c>
      <c r="M152" s="51" t="s">
        <v>75</v>
      </c>
      <c r="N152" s="51">
        <v>26991441</v>
      </c>
      <c r="O152" s="51">
        <v>591046005</v>
      </c>
      <c r="P152" s="51" t="s">
        <v>1540</v>
      </c>
      <c r="Q152" s="51" t="s">
        <v>1322</v>
      </c>
      <c r="R152" s="51" t="s">
        <v>1541</v>
      </c>
      <c r="S152" s="51" t="s">
        <v>1331</v>
      </c>
      <c r="T152" s="51" t="s">
        <v>2444</v>
      </c>
      <c r="U152" s="51">
        <v>48</v>
      </c>
      <c r="V152" s="51">
        <v>144</v>
      </c>
      <c r="W152" s="51" t="s">
        <v>1332</v>
      </c>
      <c r="X152" s="51">
        <v>21.57</v>
      </c>
      <c r="Y152" s="51" t="s">
        <v>182</v>
      </c>
      <c r="Z152" s="54">
        <v>1035.3599999999999</v>
      </c>
      <c r="AA152" s="54">
        <v>3106.08</v>
      </c>
      <c r="AB152" s="51" t="s">
        <v>182</v>
      </c>
      <c r="AC152" s="51" t="s">
        <v>181</v>
      </c>
      <c r="AD152" s="51" t="s">
        <v>102</v>
      </c>
      <c r="AE152" s="51" t="s">
        <v>63</v>
      </c>
      <c r="AF152" s="51"/>
      <c r="AG152" s="51"/>
      <c r="AH152" s="51"/>
      <c r="AI152" s="51" t="s">
        <v>64</v>
      </c>
      <c r="AJ152" s="53">
        <v>42417</v>
      </c>
      <c r="AK152" s="51"/>
      <c r="AL152" s="51"/>
      <c r="AM152" s="51"/>
      <c r="AN152" s="51"/>
      <c r="AO152" s="51"/>
    </row>
    <row r="153" spans="1:41" x14ac:dyDescent="0.2">
      <c r="A153" s="51">
        <v>10020737</v>
      </c>
      <c r="B153" s="51">
        <v>80</v>
      </c>
      <c r="C153" s="51" t="s">
        <v>18</v>
      </c>
      <c r="D153" s="51" t="s">
        <v>78</v>
      </c>
      <c r="E153" s="53">
        <v>42417</v>
      </c>
      <c r="F153" s="51">
        <v>93676417</v>
      </c>
      <c r="G153" s="51">
        <v>80</v>
      </c>
      <c r="H153" s="51">
        <v>1022013</v>
      </c>
      <c r="I153" s="51" t="s">
        <v>114</v>
      </c>
      <c r="J153" s="51">
        <v>1335507</v>
      </c>
      <c r="K153" s="51" t="s">
        <v>114</v>
      </c>
      <c r="L153" s="51">
        <v>1022013</v>
      </c>
      <c r="M153" s="51" t="s">
        <v>114</v>
      </c>
      <c r="N153" s="51">
        <v>77723</v>
      </c>
      <c r="O153" s="51">
        <v>591381760</v>
      </c>
      <c r="P153" s="51" t="s">
        <v>1357</v>
      </c>
      <c r="Q153" s="51" t="s">
        <v>1322</v>
      </c>
      <c r="R153" s="51" t="s">
        <v>1358</v>
      </c>
      <c r="S153" s="51" t="s">
        <v>1331</v>
      </c>
      <c r="T153" s="51"/>
      <c r="U153" s="51">
        <v>1812</v>
      </c>
      <c r="V153" s="51">
        <v>2</v>
      </c>
      <c r="W153" s="51" t="s">
        <v>1332</v>
      </c>
      <c r="X153" s="51">
        <v>7.67</v>
      </c>
      <c r="Y153" s="51" t="s">
        <v>182</v>
      </c>
      <c r="Z153" s="54">
        <v>13898.04</v>
      </c>
      <c r="AA153" s="51">
        <v>15.34</v>
      </c>
      <c r="AB153" s="51" t="s">
        <v>182</v>
      </c>
      <c r="AC153" s="51" t="s">
        <v>181</v>
      </c>
      <c r="AD153" s="51" t="s">
        <v>67</v>
      </c>
      <c r="AE153" s="51" t="s">
        <v>63</v>
      </c>
      <c r="AF153" s="51" t="s">
        <v>70</v>
      </c>
      <c r="AG153" s="51" t="s">
        <v>76</v>
      </c>
      <c r="AH153" s="53">
        <v>42422</v>
      </c>
      <c r="AI153" s="51" t="s">
        <v>64</v>
      </c>
      <c r="AJ153" s="53">
        <v>42417</v>
      </c>
      <c r="AK153" s="51"/>
      <c r="AL153" s="51"/>
      <c r="AM153" s="51"/>
      <c r="AN153" s="51" t="s">
        <v>77</v>
      </c>
      <c r="AO153" s="51" t="s">
        <v>191</v>
      </c>
    </row>
    <row r="154" spans="1:41" x14ac:dyDescent="0.2">
      <c r="A154" s="51">
        <v>10020738</v>
      </c>
      <c r="B154" s="51">
        <v>10</v>
      </c>
      <c r="C154" s="51" t="s">
        <v>26</v>
      </c>
      <c r="D154" s="51" t="s">
        <v>78</v>
      </c>
      <c r="E154" s="53">
        <v>42417</v>
      </c>
      <c r="F154" s="51">
        <v>93647044</v>
      </c>
      <c r="G154" s="51">
        <v>10</v>
      </c>
      <c r="H154" s="51">
        <v>1201315</v>
      </c>
      <c r="I154" s="51" t="s">
        <v>256</v>
      </c>
      <c r="J154" s="51">
        <v>1319408</v>
      </c>
      <c r="K154" s="51" t="s">
        <v>256</v>
      </c>
      <c r="L154" s="51">
        <v>1201315</v>
      </c>
      <c r="M154" s="51" t="s">
        <v>256</v>
      </c>
      <c r="N154" s="51">
        <v>5691171</v>
      </c>
      <c r="O154" s="51">
        <v>472024260</v>
      </c>
      <c r="P154" s="51" t="s">
        <v>2445</v>
      </c>
      <c r="Q154" s="51" t="s">
        <v>1322</v>
      </c>
      <c r="R154" s="51" t="s">
        <v>2446</v>
      </c>
      <c r="S154" s="51" t="s">
        <v>1331</v>
      </c>
      <c r="T154" s="51" t="s">
        <v>2447</v>
      </c>
      <c r="U154" s="51">
        <v>48</v>
      </c>
      <c r="V154" s="51">
        <v>48</v>
      </c>
      <c r="W154" s="51" t="s">
        <v>1332</v>
      </c>
      <c r="X154" s="51">
        <v>99</v>
      </c>
      <c r="Y154" s="51" t="s">
        <v>182</v>
      </c>
      <c r="Z154" s="54">
        <v>4752</v>
      </c>
      <c r="AA154" s="54">
        <v>4752</v>
      </c>
      <c r="AB154" s="51" t="s">
        <v>182</v>
      </c>
      <c r="AC154" s="51" t="s">
        <v>181</v>
      </c>
      <c r="AD154" s="51" t="s">
        <v>67</v>
      </c>
      <c r="AE154" s="51" t="s">
        <v>63</v>
      </c>
      <c r="AF154" s="51" t="s">
        <v>70</v>
      </c>
      <c r="AG154" s="51" t="s">
        <v>71</v>
      </c>
      <c r="AH154" s="53">
        <v>42430</v>
      </c>
      <c r="AI154" s="51" t="s">
        <v>64</v>
      </c>
      <c r="AJ154" s="53">
        <v>42417</v>
      </c>
      <c r="AK154" s="51"/>
      <c r="AL154" s="51"/>
      <c r="AM154" s="51"/>
      <c r="AN154" s="51" t="s">
        <v>893</v>
      </c>
      <c r="AO154" s="51" t="s">
        <v>2448</v>
      </c>
    </row>
    <row r="155" spans="1:41" x14ac:dyDescent="0.2">
      <c r="A155" s="51">
        <v>10020738</v>
      </c>
      <c r="B155" s="51">
        <v>20</v>
      </c>
      <c r="C155" s="51" t="s">
        <v>26</v>
      </c>
      <c r="D155" s="51" t="s">
        <v>78</v>
      </c>
      <c r="E155" s="53">
        <v>42417</v>
      </c>
      <c r="F155" s="51">
        <v>93647044</v>
      </c>
      <c r="G155" s="51">
        <v>20</v>
      </c>
      <c r="H155" s="51">
        <v>1201315</v>
      </c>
      <c r="I155" s="51" t="s">
        <v>256</v>
      </c>
      <c r="J155" s="51">
        <v>1319408</v>
      </c>
      <c r="K155" s="51" t="s">
        <v>256</v>
      </c>
      <c r="L155" s="51">
        <v>1201315</v>
      </c>
      <c r="M155" s="51" t="s">
        <v>256</v>
      </c>
      <c r="N155" s="51">
        <v>5691171</v>
      </c>
      <c r="O155" s="51">
        <v>228364003</v>
      </c>
      <c r="P155" s="51" t="s">
        <v>2390</v>
      </c>
      <c r="Q155" s="51" t="s">
        <v>1322</v>
      </c>
      <c r="R155" s="51" t="s">
        <v>2031</v>
      </c>
      <c r="S155" s="51" t="s">
        <v>1331</v>
      </c>
      <c r="T155" s="51" t="s">
        <v>2391</v>
      </c>
      <c r="U155" s="51">
        <v>12</v>
      </c>
      <c r="V155" s="51">
        <v>12</v>
      </c>
      <c r="W155" s="51" t="s">
        <v>1332</v>
      </c>
      <c r="X155" s="51">
        <v>193.95</v>
      </c>
      <c r="Y155" s="51" t="s">
        <v>182</v>
      </c>
      <c r="Z155" s="54">
        <v>2327.4</v>
      </c>
      <c r="AA155" s="54">
        <v>2327.4</v>
      </c>
      <c r="AB155" s="51" t="s">
        <v>182</v>
      </c>
      <c r="AC155" s="51" t="s">
        <v>181</v>
      </c>
      <c r="AD155" s="51" t="s">
        <v>67</v>
      </c>
      <c r="AE155" s="51" t="s">
        <v>63</v>
      </c>
      <c r="AF155" s="51" t="s">
        <v>70</v>
      </c>
      <c r="AG155" s="51" t="s">
        <v>71</v>
      </c>
      <c r="AH155" s="53">
        <v>42430</v>
      </c>
      <c r="AI155" s="51" t="s">
        <v>64</v>
      </c>
      <c r="AJ155" s="53">
        <v>42417</v>
      </c>
      <c r="AK155" s="51"/>
      <c r="AL155" s="51"/>
      <c r="AM155" s="51"/>
      <c r="AN155" s="51" t="s">
        <v>893</v>
      </c>
      <c r="AO155" s="51" t="s">
        <v>2448</v>
      </c>
    </row>
    <row r="156" spans="1:41" x14ac:dyDescent="0.2">
      <c r="A156" s="51">
        <v>10020738</v>
      </c>
      <c r="B156" s="51">
        <v>30</v>
      </c>
      <c r="C156" s="51" t="s">
        <v>26</v>
      </c>
      <c r="D156" s="51" t="s">
        <v>78</v>
      </c>
      <c r="E156" s="53">
        <v>42417</v>
      </c>
      <c r="F156" s="51">
        <v>93647044</v>
      </c>
      <c r="G156" s="51">
        <v>30</v>
      </c>
      <c r="H156" s="51">
        <v>1201315</v>
      </c>
      <c r="I156" s="51" t="s">
        <v>256</v>
      </c>
      <c r="J156" s="51">
        <v>1319408</v>
      </c>
      <c r="K156" s="51" t="s">
        <v>256</v>
      </c>
      <c r="L156" s="51">
        <v>1201315</v>
      </c>
      <c r="M156" s="51" t="s">
        <v>256</v>
      </c>
      <c r="N156" s="51">
        <v>5691171</v>
      </c>
      <c r="O156" s="51">
        <v>45963053830</v>
      </c>
      <c r="P156" s="51" t="s">
        <v>1646</v>
      </c>
      <c r="Q156" s="51" t="s">
        <v>1322</v>
      </c>
      <c r="R156" s="51" t="s">
        <v>1647</v>
      </c>
      <c r="S156" s="51" t="s">
        <v>1331</v>
      </c>
      <c r="T156" s="51">
        <v>406029</v>
      </c>
      <c r="U156" s="51">
        <v>24</v>
      </c>
      <c r="V156" s="51">
        <v>24</v>
      </c>
      <c r="W156" s="51" t="s">
        <v>1332</v>
      </c>
      <c r="X156" s="51">
        <v>13.3</v>
      </c>
      <c r="Y156" s="51" t="s">
        <v>182</v>
      </c>
      <c r="Z156" s="51">
        <v>319.2</v>
      </c>
      <c r="AA156" s="51">
        <v>319.2</v>
      </c>
      <c r="AB156" s="51" t="s">
        <v>182</v>
      </c>
      <c r="AC156" s="51" t="s">
        <v>181</v>
      </c>
      <c r="AD156" s="51" t="s">
        <v>67</v>
      </c>
      <c r="AE156" s="51" t="s">
        <v>63</v>
      </c>
      <c r="AF156" s="51" t="s">
        <v>70</v>
      </c>
      <c r="AG156" s="51" t="s">
        <v>71</v>
      </c>
      <c r="AH156" s="53">
        <v>42430</v>
      </c>
      <c r="AI156" s="51" t="s">
        <v>64</v>
      </c>
      <c r="AJ156" s="53">
        <v>42417</v>
      </c>
      <c r="AK156" s="51"/>
      <c r="AL156" s="51"/>
      <c r="AM156" s="51"/>
      <c r="AN156" s="51" t="s">
        <v>893</v>
      </c>
      <c r="AO156" s="51" t="s">
        <v>2448</v>
      </c>
    </row>
    <row r="157" spans="1:41" x14ac:dyDescent="0.2">
      <c r="A157" s="51">
        <v>10020738</v>
      </c>
      <c r="B157" s="51">
        <v>40</v>
      </c>
      <c r="C157" s="51" t="s">
        <v>26</v>
      </c>
      <c r="D157" s="51" t="s">
        <v>78</v>
      </c>
      <c r="E157" s="53">
        <v>42417</v>
      </c>
      <c r="F157" s="51">
        <v>93647044</v>
      </c>
      <c r="G157" s="51">
        <v>40</v>
      </c>
      <c r="H157" s="51">
        <v>1201315</v>
      </c>
      <c r="I157" s="51" t="s">
        <v>256</v>
      </c>
      <c r="J157" s="51">
        <v>1319408</v>
      </c>
      <c r="K157" s="51" t="s">
        <v>256</v>
      </c>
      <c r="L157" s="51">
        <v>1201315</v>
      </c>
      <c r="M157" s="51" t="s">
        <v>256</v>
      </c>
      <c r="N157" s="51">
        <v>5691171</v>
      </c>
      <c r="O157" s="51">
        <v>50383078105</v>
      </c>
      <c r="P157" s="51" t="s">
        <v>1855</v>
      </c>
      <c r="Q157" s="51" t="s">
        <v>1322</v>
      </c>
      <c r="R157" s="51" t="s">
        <v>1856</v>
      </c>
      <c r="S157" s="51" t="s">
        <v>1331</v>
      </c>
      <c r="T157" s="51">
        <v>633332</v>
      </c>
      <c r="U157" s="51">
        <v>60</v>
      </c>
      <c r="V157" s="51">
        <v>60</v>
      </c>
      <c r="W157" s="51" t="s">
        <v>1332</v>
      </c>
      <c r="X157" s="51">
        <v>4.6500000000000004</v>
      </c>
      <c r="Y157" s="51" t="s">
        <v>182</v>
      </c>
      <c r="Z157" s="51">
        <v>279</v>
      </c>
      <c r="AA157" s="51">
        <v>279</v>
      </c>
      <c r="AB157" s="51" t="s">
        <v>182</v>
      </c>
      <c r="AC157" s="51" t="s">
        <v>181</v>
      </c>
      <c r="AD157" s="51" t="s">
        <v>67</v>
      </c>
      <c r="AE157" s="51" t="s">
        <v>63</v>
      </c>
      <c r="AF157" s="51" t="s">
        <v>70</v>
      </c>
      <c r="AG157" s="51" t="s">
        <v>71</v>
      </c>
      <c r="AH157" s="53">
        <v>42430</v>
      </c>
      <c r="AI157" s="51" t="s">
        <v>64</v>
      </c>
      <c r="AJ157" s="53">
        <v>42417</v>
      </c>
      <c r="AK157" s="51"/>
      <c r="AL157" s="51"/>
      <c r="AM157" s="51"/>
      <c r="AN157" s="51" t="s">
        <v>893</v>
      </c>
      <c r="AO157" s="51" t="s">
        <v>2448</v>
      </c>
    </row>
    <row r="158" spans="1:41" x14ac:dyDescent="0.2">
      <c r="A158" s="51">
        <v>10020738</v>
      </c>
      <c r="B158" s="51">
        <v>50</v>
      </c>
      <c r="C158" s="51" t="s">
        <v>26</v>
      </c>
      <c r="D158" s="51" t="s">
        <v>78</v>
      </c>
      <c r="E158" s="53">
        <v>42417</v>
      </c>
      <c r="F158" s="51">
        <v>93647044</v>
      </c>
      <c r="G158" s="51">
        <v>50</v>
      </c>
      <c r="H158" s="51">
        <v>1201315</v>
      </c>
      <c r="I158" s="51" t="s">
        <v>256</v>
      </c>
      <c r="J158" s="51">
        <v>1319408</v>
      </c>
      <c r="K158" s="51" t="s">
        <v>256</v>
      </c>
      <c r="L158" s="51">
        <v>1201315</v>
      </c>
      <c r="M158" s="51" t="s">
        <v>256</v>
      </c>
      <c r="N158" s="51">
        <v>5691171</v>
      </c>
      <c r="O158" s="51">
        <v>591379760</v>
      </c>
      <c r="P158" s="51" t="s">
        <v>1411</v>
      </c>
      <c r="Q158" s="51" t="s">
        <v>1322</v>
      </c>
      <c r="R158" s="51" t="s">
        <v>1412</v>
      </c>
      <c r="S158" s="51" t="s">
        <v>1331</v>
      </c>
      <c r="T158" s="51" t="s">
        <v>2085</v>
      </c>
      <c r="U158" s="51">
        <v>144</v>
      </c>
      <c r="V158" s="51">
        <v>144</v>
      </c>
      <c r="W158" s="51" t="s">
        <v>1332</v>
      </c>
      <c r="X158" s="51">
        <v>9.6</v>
      </c>
      <c r="Y158" s="51" t="s">
        <v>182</v>
      </c>
      <c r="Z158" s="54">
        <v>1382.4</v>
      </c>
      <c r="AA158" s="54">
        <v>1382.4</v>
      </c>
      <c r="AB158" s="51" t="s">
        <v>182</v>
      </c>
      <c r="AC158" s="51" t="s">
        <v>181</v>
      </c>
      <c r="AD158" s="51" t="s">
        <v>67</v>
      </c>
      <c r="AE158" s="51" t="s">
        <v>63</v>
      </c>
      <c r="AF158" s="51" t="s">
        <v>70</v>
      </c>
      <c r="AG158" s="51" t="s">
        <v>71</v>
      </c>
      <c r="AH158" s="53">
        <v>42430</v>
      </c>
      <c r="AI158" s="51" t="s">
        <v>64</v>
      </c>
      <c r="AJ158" s="53">
        <v>42417</v>
      </c>
      <c r="AK158" s="51"/>
      <c r="AL158" s="51"/>
      <c r="AM158" s="51"/>
      <c r="AN158" s="51" t="s">
        <v>893</v>
      </c>
      <c r="AO158" s="51" t="s">
        <v>2448</v>
      </c>
    </row>
    <row r="159" spans="1:41" x14ac:dyDescent="0.2">
      <c r="A159" s="51">
        <v>10020738</v>
      </c>
      <c r="B159" s="51">
        <v>60</v>
      </c>
      <c r="C159" s="51" t="s">
        <v>26</v>
      </c>
      <c r="D159" s="51" t="s">
        <v>78</v>
      </c>
      <c r="E159" s="53">
        <v>42417</v>
      </c>
      <c r="F159" s="51">
        <v>93647044</v>
      </c>
      <c r="G159" s="51">
        <v>60</v>
      </c>
      <c r="H159" s="51">
        <v>1201315</v>
      </c>
      <c r="I159" s="51" t="s">
        <v>256</v>
      </c>
      <c r="J159" s="51">
        <v>1319408</v>
      </c>
      <c r="K159" s="51" t="s">
        <v>256</v>
      </c>
      <c r="L159" s="51">
        <v>1201315</v>
      </c>
      <c r="M159" s="51" t="s">
        <v>256</v>
      </c>
      <c r="N159" s="51">
        <v>5691171</v>
      </c>
      <c r="O159" s="51">
        <v>591578201</v>
      </c>
      <c r="P159" s="51" t="s">
        <v>1353</v>
      </c>
      <c r="Q159" s="51" t="s">
        <v>1322</v>
      </c>
      <c r="R159" s="51" t="s">
        <v>1354</v>
      </c>
      <c r="S159" s="51" t="s">
        <v>1331</v>
      </c>
      <c r="T159" s="51" t="s">
        <v>2044</v>
      </c>
      <c r="U159" s="51">
        <v>12</v>
      </c>
      <c r="V159" s="51">
        <v>12</v>
      </c>
      <c r="W159" s="51" t="s">
        <v>1332</v>
      </c>
      <c r="X159" s="51">
        <v>44.72</v>
      </c>
      <c r="Y159" s="51" t="s">
        <v>182</v>
      </c>
      <c r="Z159" s="51">
        <v>536.64</v>
      </c>
      <c r="AA159" s="51">
        <v>536.64</v>
      </c>
      <c r="AB159" s="51" t="s">
        <v>182</v>
      </c>
      <c r="AC159" s="51" t="s">
        <v>181</v>
      </c>
      <c r="AD159" s="51" t="s">
        <v>67</v>
      </c>
      <c r="AE159" s="51" t="s">
        <v>63</v>
      </c>
      <c r="AF159" s="51" t="s">
        <v>70</v>
      </c>
      <c r="AG159" s="51" t="s">
        <v>71</v>
      </c>
      <c r="AH159" s="53">
        <v>42430</v>
      </c>
      <c r="AI159" s="51" t="s">
        <v>64</v>
      </c>
      <c r="AJ159" s="53">
        <v>42417</v>
      </c>
      <c r="AK159" s="51"/>
      <c r="AL159" s="51"/>
      <c r="AM159" s="51"/>
      <c r="AN159" s="51" t="s">
        <v>893</v>
      </c>
      <c r="AO159" s="51" t="s">
        <v>2448</v>
      </c>
    </row>
    <row r="160" spans="1:41" x14ac:dyDescent="0.2">
      <c r="A160" s="51">
        <v>10020738</v>
      </c>
      <c r="B160" s="51">
        <v>70</v>
      </c>
      <c r="C160" s="51" t="s">
        <v>26</v>
      </c>
      <c r="D160" s="51" t="s">
        <v>78</v>
      </c>
      <c r="E160" s="53">
        <v>42417</v>
      </c>
      <c r="F160" s="51">
        <v>93647044</v>
      </c>
      <c r="G160" s="51">
        <v>70</v>
      </c>
      <c r="H160" s="51">
        <v>1201315</v>
      </c>
      <c r="I160" s="51" t="s">
        <v>256</v>
      </c>
      <c r="J160" s="51">
        <v>1319408</v>
      </c>
      <c r="K160" s="51" t="s">
        <v>256</v>
      </c>
      <c r="L160" s="51">
        <v>1201315</v>
      </c>
      <c r="M160" s="51" t="s">
        <v>256</v>
      </c>
      <c r="N160" s="51">
        <v>5691171</v>
      </c>
      <c r="O160" s="51">
        <v>591048801</v>
      </c>
      <c r="P160" s="51" t="s">
        <v>2449</v>
      </c>
      <c r="Q160" s="51" t="s">
        <v>1322</v>
      </c>
      <c r="R160" s="51" t="s">
        <v>1773</v>
      </c>
      <c r="S160" s="51" t="s">
        <v>1331</v>
      </c>
      <c r="T160" s="51" t="s">
        <v>2450</v>
      </c>
      <c r="U160" s="51">
        <v>3</v>
      </c>
      <c r="V160" s="51">
        <v>3</v>
      </c>
      <c r="W160" s="51" t="s">
        <v>1332</v>
      </c>
      <c r="X160" s="51">
        <v>40.340000000000003</v>
      </c>
      <c r="Y160" s="51" t="s">
        <v>182</v>
      </c>
      <c r="Z160" s="51">
        <v>121.02</v>
      </c>
      <c r="AA160" s="51">
        <v>121.02</v>
      </c>
      <c r="AB160" s="51" t="s">
        <v>182</v>
      </c>
      <c r="AC160" s="51" t="s">
        <v>181</v>
      </c>
      <c r="AD160" s="51" t="s">
        <v>67</v>
      </c>
      <c r="AE160" s="51" t="s">
        <v>63</v>
      </c>
      <c r="AF160" s="51" t="s">
        <v>70</v>
      </c>
      <c r="AG160" s="51" t="s">
        <v>71</v>
      </c>
      <c r="AH160" s="53">
        <v>42430</v>
      </c>
      <c r="AI160" s="51" t="s">
        <v>64</v>
      </c>
      <c r="AJ160" s="53">
        <v>42417</v>
      </c>
      <c r="AK160" s="51"/>
      <c r="AL160" s="51"/>
      <c r="AM160" s="51"/>
      <c r="AN160" s="51" t="s">
        <v>893</v>
      </c>
      <c r="AO160" s="51" t="s">
        <v>2448</v>
      </c>
    </row>
    <row r="161" spans="1:41" x14ac:dyDescent="0.2">
      <c r="A161" s="51">
        <v>10020738</v>
      </c>
      <c r="B161" s="51">
        <v>80</v>
      </c>
      <c r="C161" s="51" t="s">
        <v>26</v>
      </c>
      <c r="D161" s="51" t="s">
        <v>78</v>
      </c>
      <c r="E161" s="53">
        <v>42417</v>
      </c>
      <c r="F161" s="51">
        <v>93647044</v>
      </c>
      <c r="G161" s="51">
        <v>80</v>
      </c>
      <c r="H161" s="51">
        <v>1201315</v>
      </c>
      <c r="I161" s="51" t="s">
        <v>256</v>
      </c>
      <c r="J161" s="51">
        <v>1319408</v>
      </c>
      <c r="K161" s="51" t="s">
        <v>256</v>
      </c>
      <c r="L161" s="51">
        <v>1201315</v>
      </c>
      <c r="M161" s="51" t="s">
        <v>256</v>
      </c>
      <c r="N161" s="51">
        <v>5691171</v>
      </c>
      <c r="O161" s="51">
        <v>45963046110</v>
      </c>
      <c r="P161" s="51" t="s">
        <v>2451</v>
      </c>
      <c r="Q161" s="51" t="s">
        <v>1322</v>
      </c>
      <c r="R161" s="51" t="s">
        <v>2452</v>
      </c>
      <c r="S161" s="51" t="s">
        <v>1331</v>
      </c>
      <c r="T161" s="51">
        <v>405690</v>
      </c>
      <c r="U161" s="51">
        <v>12</v>
      </c>
      <c r="V161" s="51">
        <v>12</v>
      </c>
      <c r="W161" s="51" t="s">
        <v>1332</v>
      </c>
      <c r="X161" s="51">
        <v>180</v>
      </c>
      <c r="Y161" s="51" t="s">
        <v>182</v>
      </c>
      <c r="Z161" s="54">
        <v>2160</v>
      </c>
      <c r="AA161" s="54">
        <v>2160</v>
      </c>
      <c r="AB161" s="51" t="s">
        <v>182</v>
      </c>
      <c r="AC161" s="51" t="s">
        <v>181</v>
      </c>
      <c r="AD161" s="51" t="s">
        <v>67</v>
      </c>
      <c r="AE161" s="51" t="s">
        <v>63</v>
      </c>
      <c r="AF161" s="51" t="s">
        <v>70</v>
      </c>
      <c r="AG161" s="51" t="s">
        <v>71</v>
      </c>
      <c r="AH161" s="53">
        <v>42430</v>
      </c>
      <c r="AI161" s="51" t="s">
        <v>64</v>
      </c>
      <c r="AJ161" s="53">
        <v>42417</v>
      </c>
      <c r="AK161" s="51"/>
      <c r="AL161" s="51"/>
      <c r="AM161" s="51"/>
      <c r="AN161" s="51" t="s">
        <v>893</v>
      </c>
      <c r="AO161" s="51" t="s">
        <v>2448</v>
      </c>
    </row>
    <row r="162" spans="1:41" x14ac:dyDescent="0.2">
      <c r="A162" s="51">
        <v>10020738</v>
      </c>
      <c r="B162" s="51">
        <v>90</v>
      </c>
      <c r="C162" s="51" t="s">
        <v>26</v>
      </c>
      <c r="D162" s="51" t="s">
        <v>78</v>
      </c>
      <c r="E162" s="53">
        <v>42417</v>
      </c>
      <c r="F162" s="51">
        <v>93647044</v>
      </c>
      <c r="G162" s="51">
        <v>90</v>
      </c>
      <c r="H162" s="51">
        <v>1201315</v>
      </c>
      <c r="I162" s="51" t="s">
        <v>256</v>
      </c>
      <c r="J162" s="51">
        <v>1319408</v>
      </c>
      <c r="K162" s="51" t="s">
        <v>256</v>
      </c>
      <c r="L162" s="51">
        <v>1201315</v>
      </c>
      <c r="M162" s="51" t="s">
        <v>256</v>
      </c>
      <c r="N162" s="51">
        <v>5691171</v>
      </c>
      <c r="O162" s="51">
        <v>62037099910</v>
      </c>
      <c r="P162" s="51" t="s">
        <v>2453</v>
      </c>
      <c r="Q162" s="51" t="s">
        <v>1322</v>
      </c>
      <c r="R162" s="51" t="s">
        <v>1396</v>
      </c>
      <c r="S162" s="51" t="s">
        <v>1331</v>
      </c>
      <c r="T162" s="51">
        <v>410627</v>
      </c>
      <c r="U162" s="51">
        <v>12</v>
      </c>
      <c r="V162" s="51">
        <v>12</v>
      </c>
      <c r="W162" s="51" t="s">
        <v>1332</v>
      </c>
      <c r="X162" s="51">
        <v>501.91</v>
      </c>
      <c r="Y162" s="51" t="s">
        <v>182</v>
      </c>
      <c r="Z162" s="54">
        <v>6022.92</v>
      </c>
      <c r="AA162" s="54">
        <v>6022.92</v>
      </c>
      <c r="AB162" s="51" t="s">
        <v>182</v>
      </c>
      <c r="AC162" s="51" t="s">
        <v>181</v>
      </c>
      <c r="AD162" s="51" t="s">
        <v>67</v>
      </c>
      <c r="AE162" s="51" t="s">
        <v>63</v>
      </c>
      <c r="AF162" s="51" t="s">
        <v>70</v>
      </c>
      <c r="AG162" s="51" t="s">
        <v>71</v>
      </c>
      <c r="AH162" s="53">
        <v>42430</v>
      </c>
      <c r="AI162" s="51" t="s">
        <v>64</v>
      </c>
      <c r="AJ162" s="53">
        <v>42417</v>
      </c>
      <c r="AK162" s="51"/>
      <c r="AL162" s="51"/>
      <c r="AM162" s="51"/>
      <c r="AN162" s="51" t="s">
        <v>893</v>
      </c>
      <c r="AO162" s="51" t="s">
        <v>2448</v>
      </c>
    </row>
    <row r="163" spans="1:41" x14ac:dyDescent="0.2">
      <c r="A163" s="51">
        <v>10020738</v>
      </c>
      <c r="B163" s="51">
        <v>120</v>
      </c>
      <c r="C163" s="51" t="s">
        <v>26</v>
      </c>
      <c r="D163" s="51" t="s">
        <v>78</v>
      </c>
      <c r="E163" s="53">
        <v>42417</v>
      </c>
      <c r="F163" s="51">
        <v>93647044</v>
      </c>
      <c r="G163" s="51">
        <v>120</v>
      </c>
      <c r="H163" s="51">
        <v>1201315</v>
      </c>
      <c r="I163" s="51" t="s">
        <v>256</v>
      </c>
      <c r="J163" s="51">
        <v>1319408</v>
      </c>
      <c r="K163" s="51" t="s">
        <v>256</v>
      </c>
      <c r="L163" s="51">
        <v>1201315</v>
      </c>
      <c r="M163" s="51" t="s">
        <v>256</v>
      </c>
      <c r="N163" s="51">
        <v>5691171</v>
      </c>
      <c r="O163" s="51">
        <v>591521550</v>
      </c>
      <c r="P163" s="51" t="s">
        <v>2268</v>
      </c>
      <c r="Q163" s="51" t="s">
        <v>1322</v>
      </c>
      <c r="R163" s="51" t="s">
        <v>1976</v>
      </c>
      <c r="S163" s="51" t="s">
        <v>1331</v>
      </c>
      <c r="T163" s="51" t="s">
        <v>2269</v>
      </c>
      <c r="U163" s="51">
        <v>6</v>
      </c>
      <c r="V163" s="51">
        <v>6</v>
      </c>
      <c r="W163" s="51" t="s">
        <v>1332</v>
      </c>
      <c r="X163" s="51">
        <v>25.5</v>
      </c>
      <c r="Y163" s="51" t="s">
        <v>182</v>
      </c>
      <c r="Z163" s="51">
        <v>153</v>
      </c>
      <c r="AA163" s="51">
        <v>153</v>
      </c>
      <c r="AB163" s="51" t="s">
        <v>182</v>
      </c>
      <c r="AC163" s="51" t="s">
        <v>181</v>
      </c>
      <c r="AD163" s="51" t="s">
        <v>67</v>
      </c>
      <c r="AE163" s="51" t="s">
        <v>63</v>
      </c>
      <c r="AF163" s="51" t="s">
        <v>70</v>
      </c>
      <c r="AG163" s="51" t="s">
        <v>71</v>
      </c>
      <c r="AH163" s="53">
        <v>42430</v>
      </c>
      <c r="AI163" s="51" t="s">
        <v>64</v>
      </c>
      <c r="AJ163" s="53">
        <v>42417</v>
      </c>
      <c r="AK163" s="51"/>
      <c r="AL163" s="51"/>
      <c r="AM163" s="51"/>
      <c r="AN163" s="51" t="s">
        <v>893</v>
      </c>
      <c r="AO163" s="51" t="s">
        <v>2448</v>
      </c>
    </row>
    <row r="164" spans="1:41" x14ac:dyDescent="0.2">
      <c r="A164" s="51">
        <v>10020738</v>
      </c>
      <c r="B164" s="51">
        <v>130</v>
      </c>
      <c r="C164" s="51" t="s">
        <v>26</v>
      </c>
      <c r="D164" s="51" t="s">
        <v>78</v>
      </c>
      <c r="E164" s="53">
        <v>42417</v>
      </c>
      <c r="F164" s="51">
        <v>93647044</v>
      </c>
      <c r="G164" s="51">
        <v>130</v>
      </c>
      <c r="H164" s="51">
        <v>1201315</v>
      </c>
      <c r="I164" s="51" t="s">
        <v>256</v>
      </c>
      <c r="J164" s="51">
        <v>1319408</v>
      </c>
      <c r="K164" s="51" t="s">
        <v>256</v>
      </c>
      <c r="L164" s="51">
        <v>1201315</v>
      </c>
      <c r="M164" s="51" t="s">
        <v>256</v>
      </c>
      <c r="N164" s="51">
        <v>5691171</v>
      </c>
      <c r="O164" s="51">
        <v>52544069119</v>
      </c>
      <c r="P164" s="51" t="s">
        <v>2454</v>
      </c>
      <c r="Q164" s="51" t="s">
        <v>1322</v>
      </c>
      <c r="R164" s="51" t="s">
        <v>2455</v>
      </c>
      <c r="S164" s="51" t="s">
        <v>1331</v>
      </c>
      <c r="T164" s="51" t="s">
        <v>2456</v>
      </c>
      <c r="U164" s="51">
        <v>4</v>
      </c>
      <c r="V164" s="51">
        <v>4</v>
      </c>
      <c r="W164" s="51" t="s">
        <v>1332</v>
      </c>
      <c r="X164" s="51">
        <v>214.24</v>
      </c>
      <c r="Y164" s="51" t="s">
        <v>182</v>
      </c>
      <c r="Z164" s="51">
        <v>856.96</v>
      </c>
      <c r="AA164" s="51">
        <v>856.96</v>
      </c>
      <c r="AB164" s="51" t="s">
        <v>182</v>
      </c>
      <c r="AC164" s="51" t="s">
        <v>181</v>
      </c>
      <c r="AD164" s="51" t="s">
        <v>67</v>
      </c>
      <c r="AE164" s="51" t="s">
        <v>63</v>
      </c>
      <c r="AF164" s="51" t="s">
        <v>70</v>
      </c>
      <c r="AG164" s="51" t="s">
        <v>71</v>
      </c>
      <c r="AH164" s="53">
        <v>42430</v>
      </c>
      <c r="AI164" s="51" t="s">
        <v>64</v>
      </c>
      <c r="AJ164" s="53">
        <v>42417</v>
      </c>
      <c r="AK164" s="51"/>
      <c r="AL164" s="51"/>
      <c r="AM164" s="51"/>
      <c r="AN164" s="51" t="s">
        <v>893</v>
      </c>
      <c r="AO164" s="51" t="s">
        <v>2448</v>
      </c>
    </row>
    <row r="165" spans="1:41" x14ac:dyDescent="0.2">
      <c r="A165" s="51">
        <v>10020738</v>
      </c>
      <c r="B165" s="51">
        <v>140</v>
      </c>
      <c r="C165" s="51" t="s">
        <v>26</v>
      </c>
      <c r="D165" s="51" t="s">
        <v>78</v>
      </c>
      <c r="E165" s="53">
        <v>42417</v>
      </c>
      <c r="F165" s="51">
        <v>93647044</v>
      </c>
      <c r="G165" s="51">
        <v>140</v>
      </c>
      <c r="H165" s="51">
        <v>1201315</v>
      </c>
      <c r="I165" s="51" t="s">
        <v>256</v>
      </c>
      <c r="J165" s="51">
        <v>1319408</v>
      </c>
      <c r="K165" s="51" t="s">
        <v>256</v>
      </c>
      <c r="L165" s="51">
        <v>1201315</v>
      </c>
      <c r="M165" s="51" t="s">
        <v>256</v>
      </c>
      <c r="N165" s="51">
        <v>5691171</v>
      </c>
      <c r="O165" s="51">
        <v>591578605</v>
      </c>
      <c r="P165" s="51" t="s">
        <v>2457</v>
      </c>
      <c r="Q165" s="51" t="s">
        <v>1322</v>
      </c>
      <c r="R165" s="51" t="s">
        <v>1837</v>
      </c>
      <c r="S165" s="51" t="s">
        <v>1331</v>
      </c>
      <c r="T165" s="51" t="s">
        <v>2458</v>
      </c>
      <c r="U165" s="51">
        <v>2</v>
      </c>
      <c r="V165" s="51">
        <v>2</v>
      </c>
      <c r="W165" s="51" t="s">
        <v>1332</v>
      </c>
      <c r="X165" s="51">
        <v>52</v>
      </c>
      <c r="Y165" s="51" t="s">
        <v>182</v>
      </c>
      <c r="Z165" s="51">
        <v>104</v>
      </c>
      <c r="AA165" s="51">
        <v>104</v>
      </c>
      <c r="AB165" s="51" t="s">
        <v>182</v>
      </c>
      <c r="AC165" s="51" t="s">
        <v>181</v>
      </c>
      <c r="AD165" s="51" t="s">
        <v>67</v>
      </c>
      <c r="AE165" s="51" t="s">
        <v>63</v>
      </c>
      <c r="AF165" s="51" t="s">
        <v>70</v>
      </c>
      <c r="AG165" s="51" t="s">
        <v>71</v>
      </c>
      <c r="AH165" s="53">
        <v>42430</v>
      </c>
      <c r="AI165" s="51" t="s">
        <v>64</v>
      </c>
      <c r="AJ165" s="53">
        <v>42417</v>
      </c>
      <c r="AK165" s="51"/>
      <c r="AL165" s="51"/>
      <c r="AM165" s="51"/>
      <c r="AN165" s="51" t="s">
        <v>893</v>
      </c>
      <c r="AO165" s="51" t="s">
        <v>2448</v>
      </c>
    </row>
    <row r="166" spans="1:41" x14ac:dyDescent="0.2">
      <c r="A166" s="51">
        <v>10020738</v>
      </c>
      <c r="B166" s="51">
        <v>150</v>
      </c>
      <c r="C166" s="51" t="s">
        <v>26</v>
      </c>
      <c r="D166" s="51" t="s">
        <v>78</v>
      </c>
      <c r="E166" s="53">
        <v>42417</v>
      </c>
      <c r="F166" s="51">
        <v>93647044</v>
      </c>
      <c r="G166" s="51">
        <v>150</v>
      </c>
      <c r="H166" s="51">
        <v>1201315</v>
      </c>
      <c r="I166" s="51" t="s">
        <v>256</v>
      </c>
      <c r="J166" s="51">
        <v>1319408</v>
      </c>
      <c r="K166" s="51" t="s">
        <v>256</v>
      </c>
      <c r="L166" s="51">
        <v>1201315</v>
      </c>
      <c r="M166" s="51" t="s">
        <v>256</v>
      </c>
      <c r="N166" s="51">
        <v>5691171</v>
      </c>
      <c r="O166" s="51">
        <v>591533701</v>
      </c>
      <c r="P166" s="51" t="s">
        <v>2459</v>
      </c>
      <c r="Q166" s="51" t="s">
        <v>1322</v>
      </c>
      <c r="R166" s="51" t="s">
        <v>2460</v>
      </c>
      <c r="S166" s="51" t="s">
        <v>1331</v>
      </c>
      <c r="T166" s="51" t="s">
        <v>2461</v>
      </c>
      <c r="U166" s="51">
        <v>12</v>
      </c>
      <c r="V166" s="51">
        <v>12</v>
      </c>
      <c r="W166" s="51" t="s">
        <v>1332</v>
      </c>
      <c r="X166" s="51">
        <v>30.35</v>
      </c>
      <c r="Y166" s="51" t="s">
        <v>182</v>
      </c>
      <c r="Z166" s="51">
        <v>364.2</v>
      </c>
      <c r="AA166" s="51">
        <v>364.2</v>
      </c>
      <c r="AB166" s="51" t="s">
        <v>182</v>
      </c>
      <c r="AC166" s="51" t="s">
        <v>181</v>
      </c>
      <c r="AD166" s="51" t="s">
        <v>67</v>
      </c>
      <c r="AE166" s="51" t="s">
        <v>63</v>
      </c>
      <c r="AF166" s="51" t="s">
        <v>70</v>
      </c>
      <c r="AG166" s="51" t="s">
        <v>71</v>
      </c>
      <c r="AH166" s="53">
        <v>42430</v>
      </c>
      <c r="AI166" s="51" t="s">
        <v>64</v>
      </c>
      <c r="AJ166" s="53">
        <v>42417</v>
      </c>
      <c r="AK166" s="51"/>
      <c r="AL166" s="51"/>
      <c r="AM166" s="51"/>
      <c r="AN166" s="51" t="s">
        <v>893</v>
      </c>
      <c r="AO166" s="51" t="s">
        <v>2448</v>
      </c>
    </row>
    <row r="167" spans="1:41" x14ac:dyDescent="0.2">
      <c r="A167" s="51">
        <v>10020738</v>
      </c>
      <c r="B167" s="51">
        <v>160</v>
      </c>
      <c r="C167" s="51" t="s">
        <v>26</v>
      </c>
      <c r="D167" s="51" t="s">
        <v>78</v>
      </c>
      <c r="E167" s="53">
        <v>42417</v>
      </c>
      <c r="F167" s="51">
        <v>93647044</v>
      </c>
      <c r="G167" s="51">
        <v>160</v>
      </c>
      <c r="H167" s="51">
        <v>1201315</v>
      </c>
      <c r="I167" s="51" t="s">
        <v>256</v>
      </c>
      <c r="J167" s="51">
        <v>1319408</v>
      </c>
      <c r="K167" s="51" t="s">
        <v>256</v>
      </c>
      <c r="L167" s="51">
        <v>1201315</v>
      </c>
      <c r="M167" s="51" t="s">
        <v>256</v>
      </c>
      <c r="N167" s="51">
        <v>5691171</v>
      </c>
      <c r="O167" s="51">
        <v>591040710</v>
      </c>
      <c r="P167" s="51" t="s">
        <v>1506</v>
      </c>
      <c r="Q167" s="51" t="s">
        <v>1322</v>
      </c>
      <c r="R167" s="51" t="s">
        <v>1507</v>
      </c>
      <c r="S167" s="51" t="s">
        <v>1331</v>
      </c>
      <c r="T167" s="51" t="s">
        <v>2046</v>
      </c>
      <c r="U167" s="51">
        <v>3</v>
      </c>
      <c r="V167" s="51">
        <v>3</v>
      </c>
      <c r="W167" s="51" t="s">
        <v>1332</v>
      </c>
      <c r="X167" s="51">
        <v>43.04</v>
      </c>
      <c r="Y167" s="51" t="s">
        <v>182</v>
      </c>
      <c r="Z167" s="51">
        <v>129.12</v>
      </c>
      <c r="AA167" s="51">
        <v>129.12</v>
      </c>
      <c r="AB167" s="51" t="s">
        <v>182</v>
      </c>
      <c r="AC167" s="51" t="s">
        <v>181</v>
      </c>
      <c r="AD167" s="51" t="s">
        <v>67</v>
      </c>
      <c r="AE167" s="51" t="s">
        <v>63</v>
      </c>
      <c r="AF167" s="51" t="s">
        <v>70</v>
      </c>
      <c r="AG167" s="51" t="s">
        <v>71</v>
      </c>
      <c r="AH167" s="53">
        <v>42430</v>
      </c>
      <c r="AI167" s="51" t="s">
        <v>64</v>
      </c>
      <c r="AJ167" s="53">
        <v>42417</v>
      </c>
      <c r="AK167" s="51"/>
      <c r="AL167" s="51"/>
      <c r="AM167" s="51"/>
      <c r="AN167" s="51" t="s">
        <v>893</v>
      </c>
      <c r="AO167" s="51" t="s">
        <v>2448</v>
      </c>
    </row>
    <row r="168" spans="1:41" x14ac:dyDescent="0.2">
      <c r="A168" s="51">
        <v>10020738</v>
      </c>
      <c r="B168" s="51">
        <v>170</v>
      </c>
      <c r="C168" s="51" t="s">
        <v>26</v>
      </c>
      <c r="D168" s="51" t="s">
        <v>78</v>
      </c>
      <c r="E168" s="53">
        <v>42417</v>
      </c>
      <c r="F168" s="51">
        <v>93647044</v>
      </c>
      <c r="G168" s="51">
        <v>170</v>
      </c>
      <c r="H168" s="51">
        <v>1201315</v>
      </c>
      <c r="I168" s="51" t="s">
        <v>256</v>
      </c>
      <c r="J168" s="51">
        <v>1319408</v>
      </c>
      <c r="K168" s="51" t="s">
        <v>256</v>
      </c>
      <c r="L168" s="51">
        <v>1201315</v>
      </c>
      <c r="M168" s="51" t="s">
        <v>256</v>
      </c>
      <c r="N168" s="51">
        <v>5691171</v>
      </c>
      <c r="O168" s="51">
        <v>591060501</v>
      </c>
      <c r="P168" s="51" t="s">
        <v>2462</v>
      </c>
      <c r="Q168" s="51" t="s">
        <v>1322</v>
      </c>
      <c r="R168" s="51" t="s">
        <v>2346</v>
      </c>
      <c r="S168" s="51" t="s">
        <v>1331</v>
      </c>
      <c r="T168" s="51" t="s">
        <v>2463</v>
      </c>
      <c r="U168" s="51">
        <v>48</v>
      </c>
      <c r="V168" s="51">
        <v>48</v>
      </c>
      <c r="W168" s="51" t="s">
        <v>1332</v>
      </c>
      <c r="X168" s="51">
        <v>41.04</v>
      </c>
      <c r="Y168" s="51" t="s">
        <v>182</v>
      </c>
      <c r="Z168" s="54">
        <v>1969.92</v>
      </c>
      <c r="AA168" s="54">
        <v>1969.92</v>
      </c>
      <c r="AB168" s="51" t="s">
        <v>182</v>
      </c>
      <c r="AC168" s="51" t="s">
        <v>181</v>
      </c>
      <c r="AD168" s="51" t="s">
        <v>67</v>
      </c>
      <c r="AE168" s="51" t="s">
        <v>63</v>
      </c>
      <c r="AF168" s="51" t="s">
        <v>70</v>
      </c>
      <c r="AG168" s="51" t="s">
        <v>71</v>
      </c>
      <c r="AH168" s="53">
        <v>42430</v>
      </c>
      <c r="AI168" s="51" t="s">
        <v>64</v>
      </c>
      <c r="AJ168" s="53">
        <v>42417</v>
      </c>
      <c r="AK168" s="51"/>
      <c r="AL168" s="51"/>
      <c r="AM168" s="51"/>
      <c r="AN168" s="51" t="s">
        <v>893</v>
      </c>
      <c r="AO168" s="51" t="s">
        <v>2448</v>
      </c>
    </row>
    <row r="169" spans="1:41" x14ac:dyDescent="0.2">
      <c r="A169" s="51">
        <v>10020738</v>
      </c>
      <c r="B169" s="51">
        <v>180</v>
      </c>
      <c r="C169" s="51" t="s">
        <v>26</v>
      </c>
      <c r="D169" s="51" t="s">
        <v>78</v>
      </c>
      <c r="E169" s="53">
        <v>42417</v>
      </c>
      <c r="F169" s="51">
        <v>93647044</v>
      </c>
      <c r="G169" s="51">
        <v>180</v>
      </c>
      <c r="H169" s="51">
        <v>1201315</v>
      </c>
      <c r="I169" s="51" t="s">
        <v>256</v>
      </c>
      <c r="J169" s="51">
        <v>1319408</v>
      </c>
      <c r="K169" s="51" t="s">
        <v>256</v>
      </c>
      <c r="L169" s="51">
        <v>1201315</v>
      </c>
      <c r="M169" s="51" t="s">
        <v>256</v>
      </c>
      <c r="N169" s="51">
        <v>5691171</v>
      </c>
      <c r="O169" s="51">
        <v>228280311</v>
      </c>
      <c r="P169" s="51" t="s">
        <v>2464</v>
      </c>
      <c r="Q169" s="51" t="s">
        <v>1322</v>
      </c>
      <c r="R169" s="51" t="s">
        <v>1643</v>
      </c>
      <c r="S169" s="51" t="s">
        <v>1331</v>
      </c>
      <c r="T169" s="51" t="s">
        <v>2465</v>
      </c>
      <c r="U169" s="51">
        <v>12</v>
      </c>
      <c r="V169" s="51">
        <v>12</v>
      </c>
      <c r="W169" s="51" t="s">
        <v>1332</v>
      </c>
      <c r="X169" s="51">
        <v>14.41</v>
      </c>
      <c r="Y169" s="51" t="s">
        <v>182</v>
      </c>
      <c r="Z169" s="51">
        <v>172.92</v>
      </c>
      <c r="AA169" s="51">
        <v>172.92</v>
      </c>
      <c r="AB169" s="51" t="s">
        <v>182</v>
      </c>
      <c r="AC169" s="51" t="s">
        <v>181</v>
      </c>
      <c r="AD169" s="51" t="s">
        <v>67</v>
      </c>
      <c r="AE169" s="51" t="s">
        <v>63</v>
      </c>
      <c r="AF169" s="51" t="s">
        <v>70</v>
      </c>
      <c r="AG169" s="51" t="s">
        <v>71</v>
      </c>
      <c r="AH169" s="53">
        <v>42430</v>
      </c>
      <c r="AI169" s="51" t="s">
        <v>64</v>
      </c>
      <c r="AJ169" s="53">
        <v>42417</v>
      </c>
      <c r="AK169" s="51"/>
      <c r="AL169" s="51"/>
      <c r="AM169" s="51"/>
      <c r="AN169" s="51" t="s">
        <v>893</v>
      </c>
      <c r="AO169" s="51" t="s">
        <v>2448</v>
      </c>
    </row>
    <row r="170" spans="1:41" x14ac:dyDescent="0.2">
      <c r="A170" s="51">
        <v>10020738</v>
      </c>
      <c r="B170" s="51">
        <v>190</v>
      </c>
      <c r="C170" s="51" t="s">
        <v>26</v>
      </c>
      <c r="D170" s="51" t="s">
        <v>78</v>
      </c>
      <c r="E170" s="53">
        <v>42417</v>
      </c>
      <c r="F170" s="51">
        <v>93647044</v>
      </c>
      <c r="G170" s="51">
        <v>190</v>
      </c>
      <c r="H170" s="51">
        <v>1201315</v>
      </c>
      <c r="I170" s="51" t="s">
        <v>256</v>
      </c>
      <c r="J170" s="51">
        <v>1319408</v>
      </c>
      <c r="K170" s="51" t="s">
        <v>256</v>
      </c>
      <c r="L170" s="51">
        <v>1201315</v>
      </c>
      <c r="M170" s="51" t="s">
        <v>256</v>
      </c>
      <c r="N170" s="51">
        <v>5691171</v>
      </c>
      <c r="O170" s="51">
        <v>591288601</v>
      </c>
      <c r="P170" s="51" t="s">
        <v>2235</v>
      </c>
      <c r="Q170" s="51" t="s">
        <v>1322</v>
      </c>
      <c r="R170" s="51" t="s">
        <v>2236</v>
      </c>
      <c r="S170" s="51" t="s">
        <v>1331</v>
      </c>
      <c r="T170" s="51">
        <v>79390</v>
      </c>
      <c r="U170" s="51">
        <v>6</v>
      </c>
      <c r="V170" s="51">
        <v>6</v>
      </c>
      <c r="W170" s="51" t="s">
        <v>1332</v>
      </c>
      <c r="X170" s="51">
        <v>303.35000000000002</v>
      </c>
      <c r="Y170" s="51" t="s">
        <v>182</v>
      </c>
      <c r="Z170" s="54">
        <v>1820.1</v>
      </c>
      <c r="AA170" s="54">
        <v>1820.1</v>
      </c>
      <c r="AB170" s="51" t="s">
        <v>182</v>
      </c>
      <c r="AC170" s="51" t="s">
        <v>181</v>
      </c>
      <c r="AD170" s="51" t="s">
        <v>67</v>
      </c>
      <c r="AE170" s="51" t="s">
        <v>63</v>
      </c>
      <c r="AF170" s="51" t="s">
        <v>70</v>
      </c>
      <c r="AG170" s="51" t="s">
        <v>71</v>
      </c>
      <c r="AH170" s="53">
        <v>42430</v>
      </c>
      <c r="AI170" s="51" t="s">
        <v>64</v>
      </c>
      <c r="AJ170" s="53">
        <v>42417</v>
      </c>
      <c r="AK170" s="51"/>
      <c r="AL170" s="51"/>
      <c r="AM170" s="51"/>
      <c r="AN170" s="51" t="s">
        <v>893</v>
      </c>
      <c r="AO170" s="51" t="s">
        <v>2448</v>
      </c>
    </row>
    <row r="171" spans="1:41" x14ac:dyDescent="0.2">
      <c r="A171" s="51">
        <v>10020738</v>
      </c>
      <c r="B171" s="51">
        <v>210</v>
      </c>
      <c r="C171" s="51" t="s">
        <v>26</v>
      </c>
      <c r="D171" s="51" t="s">
        <v>78</v>
      </c>
      <c r="E171" s="53">
        <v>42417</v>
      </c>
      <c r="F171" s="51">
        <v>93647044</v>
      </c>
      <c r="G171" s="51">
        <v>210</v>
      </c>
      <c r="H171" s="51">
        <v>1201315</v>
      </c>
      <c r="I171" s="51" t="s">
        <v>256</v>
      </c>
      <c r="J171" s="51">
        <v>1319408</v>
      </c>
      <c r="K171" s="51" t="s">
        <v>256</v>
      </c>
      <c r="L171" s="51">
        <v>1201315</v>
      </c>
      <c r="M171" s="51" t="s">
        <v>256</v>
      </c>
      <c r="N171" s="51">
        <v>5691171</v>
      </c>
      <c r="O171" s="51">
        <v>62037057101</v>
      </c>
      <c r="P171" s="51" t="s">
        <v>2200</v>
      </c>
      <c r="Q171" s="51" t="s">
        <v>1322</v>
      </c>
      <c r="R171" s="51" t="s">
        <v>1464</v>
      </c>
      <c r="S171" s="51" t="s">
        <v>1331</v>
      </c>
      <c r="T171" s="51" t="s">
        <v>2201</v>
      </c>
      <c r="U171" s="51">
        <v>1</v>
      </c>
      <c r="V171" s="51">
        <v>1</v>
      </c>
      <c r="W171" s="51" t="s">
        <v>1332</v>
      </c>
      <c r="X171" s="51">
        <v>8.7100000000000009</v>
      </c>
      <c r="Y171" s="51" t="s">
        <v>182</v>
      </c>
      <c r="Z171" s="51">
        <v>8.7100000000000009</v>
      </c>
      <c r="AA171" s="51">
        <v>8.7100000000000009</v>
      </c>
      <c r="AB171" s="51" t="s">
        <v>182</v>
      </c>
      <c r="AC171" s="51" t="s">
        <v>181</v>
      </c>
      <c r="AD171" s="51" t="s">
        <v>67</v>
      </c>
      <c r="AE171" s="51" t="s">
        <v>63</v>
      </c>
      <c r="AF171" s="51" t="s">
        <v>70</v>
      </c>
      <c r="AG171" s="51" t="s">
        <v>71</v>
      </c>
      <c r="AH171" s="53">
        <v>42430</v>
      </c>
      <c r="AI171" s="51" t="s">
        <v>64</v>
      </c>
      <c r="AJ171" s="53">
        <v>42417</v>
      </c>
      <c r="AK171" s="51"/>
      <c r="AL171" s="51"/>
      <c r="AM171" s="51"/>
      <c r="AN171" s="51" t="s">
        <v>893</v>
      </c>
      <c r="AO171" s="51" t="s">
        <v>2448</v>
      </c>
    </row>
    <row r="172" spans="1:41" x14ac:dyDescent="0.2">
      <c r="A172" s="51">
        <v>10020738</v>
      </c>
      <c r="B172" s="51">
        <v>220</v>
      </c>
      <c r="C172" s="51" t="s">
        <v>26</v>
      </c>
      <c r="D172" s="51" t="s">
        <v>78</v>
      </c>
      <c r="E172" s="53">
        <v>42417</v>
      </c>
      <c r="F172" s="51">
        <v>93647044</v>
      </c>
      <c r="G172" s="51">
        <v>220</v>
      </c>
      <c r="H172" s="51">
        <v>1201315</v>
      </c>
      <c r="I172" s="51" t="s">
        <v>256</v>
      </c>
      <c r="J172" s="51">
        <v>1319408</v>
      </c>
      <c r="K172" s="51" t="s">
        <v>256</v>
      </c>
      <c r="L172" s="51">
        <v>1201315</v>
      </c>
      <c r="M172" s="51" t="s">
        <v>256</v>
      </c>
      <c r="N172" s="51">
        <v>5691171</v>
      </c>
      <c r="O172" s="51">
        <v>52544038328</v>
      </c>
      <c r="P172" s="51" t="s">
        <v>1931</v>
      </c>
      <c r="Q172" s="51" t="s">
        <v>1344</v>
      </c>
      <c r="R172" s="51" t="s">
        <v>1932</v>
      </c>
      <c r="S172" s="51" t="s">
        <v>1331</v>
      </c>
      <c r="T172" s="51" t="s">
        <v>2466</v>
      </c>
      <c r="U172" s="51">
        <v>1</v>
      </c>
      <c r="V172" s="51">
        <v>1</v>
      </c>
      <c r="W172" s="51" t="s">
        <v>1332</v>
      </c>
      <c r="X172" s="51">
        <v>133.06</v>
      </c>
      <c r="Y172" s="51" t="s">
        <v>182</v>
      </c>
      <c r="Z172" s="51">
        <v>133.06</v>
      </c>
      <c r="AA172" s="51">
        <v>133.06</v>
      </c>
      <c r="AB172" s="51" t="s">
        <v>182</v>
      </c>
      <c r="AC172" s="51" t="s">
        <v>181</v>
      </c>
      <c r="AD172" s="51" t="s">
        <v>67</v>
      </c>
      <c r="AE172" s="51" t="s">
        <v>63</v>
      </c>
      <c r="AF172" s="51" t="s">
        <v>70</v>
      </c>
      <c r="AG172" s="51" t="s">
        <v>71</v>
      </c>
      <c r="AH172" s="53">
        <v>42430</v>
      </c>
      <c r="AI172" s="51" t="s">
        <v>64</v>
      </c>
      <c r="AJ172" s="53">
        <v>42417</v>
      </c>
      <c r="AK172" s="51"/>
      <c r="AL172" s="51"/>
      <c r="AM172" s="51"/>
      <c r="AN172" s="51" t="s">
        <v>893</v>
      </c>
      <c r="AO172" s="51" t="s">
        <v>2448</v>
      </c>
    </row>
    <row r="173" spans="1:41" x14ac:dyDescent="0.2">
      <c r="A173" s="51">
        <v>10020738</v>
      </c>
      <c r="B173" s="51">
        <v>230</v>
      </c>
      <c r="C173" s="51" t="s">
        <v>26</v>
      </c>
      <c r="D173" s="51" t="s">
        <v>78</v>
      </c>
      <c r="E173" s="53">
        <v>42417</v>
      </c>
      <c r="F173" s="51">
        <v>93647044</v>
      </c>
      <c r="G173" s="51">
        <v>230</v>
      </c>
      <c r="H173" s="51">
        <v>1201315</v>
      </c>
      <c r="I173" s="51" t="s">
        <v>256</v>
      </c>
      <c r="J173" s="51">
        <v>1319408</v>
      </c>
      <c r="K173" s="51" t="s">
        <v>256</v>
      </c>
      <c r="L173" s="51">
        <v>1201315</v>
      </c>
      <c r="M173" s="51" t="s">
        <v>256</v>
      </c>
      <c r="N173" s="51">
        <v>5691171</v>
      </c>
      <c r="O173" s="51">
        <v>228255111</v>
      </c>
      <c r="P173" s="51" t="s">
        <v>2467</v>
      </c>
      <c r="Q173" s="51" t="s">
        <v>1322</v>
      </c>
      <c r="R173" s="51" t="s">
        <v>1967</v>
      </c>
      <c r="S173" s="51" t="s">
        <v>1331</v>
      </c>
      <c r="T173" s="51" t="s">
        <v>2468</v>
      </c>
      <c r="U173" s="51">
        <v>12</v>
      </c>
      <c r="V173" s="51">
        <v>12</v>
      </c>
      <c r="W173" s="51" t="s">
        <v>1332</v>
      </c>
      <c r="X173" s="51">
        <v>39</v>
      </c>
      <c r="Y173" s="51" t="s">
        <v>182</v>
      </c>
      <c r="Z173" s="51">
        <v>468</v>
      </c>
      <c r="AA173" s="51">
        <v>468</v>
      </c>
      <c r="AB173" s="51" t="s">
        <v>182</v>
      </c>
      <c r="AC173" s="51" t="s">
        <v>181</v>
      </c>
      <c r="AD173" s="51" t="s">
        <v>67</v>
      </c>
      <c r="AE173" s="51" t="s">
        <v>63</v>
      </c>
      <c r="AF173" s="51" t="s">
        <v>70</v>
      </c>
      <c r="AG173" s="51" t="s">
        <v>71</v>
      </c>
      <c r="AH173" s="53">
        <v>42430</v>
      </c>
      <c r="AI173" s="51" t="s">
        <v>64</v>
      </c>
      <c r="AJ173" s="53">
        <v>42417</v>
      </c>
      <c r="AK173" s="51"/>
      <c r="AL173" s="51"/>
      <c r="AM173" s="51"/>
      <c r="AN173" s="51" t="s">
        <v>893</v>
      </c>
      <c r="AO173" s="51" t="s">
        <v>2448</v>
      </c>
    </row>
    <row r="174" spans="1:41" x14ac:dyDescent="0.2">
      <c r="A174" s="51">
        <v>10020738</v>
      </c>
      <c r="B174" s="51">
        <v>240</v>
      </c>
      <c r="C174" s="51" t="s">
        <v>26</v>
      </c>
      <c r="D174" s="51" t="s">
        <v>78</v>
      </c>
      <c r="E174" s="53">
        <v>42417</v>
      </c>
      <c r="F174" s="51">
        <v>93647044</v>
      </c>
      <c r="G174" s="51">
        <v>240</v>
      </c>
      <c r="H174" s="51">
        <v>1201315</v>
      </c>
      <c r="I174" s="51" t="s">
        <v>256</v>
      </c>
      <c r="J174" s="51">
        <v>1319408</v>
      </c>
      <c r="K174" s="51" t="s">
        <v>256</v>
      </c>
      <c r="L174" s="51">
        <v>1201315</v>
      </c>
      <c r="M174" s="51" t="s">
        <v>256</v>
      </c>
      <c r="N174" s="51">
        <v>5691171</v>
      </c>
      <c r="O174" s="51">
        <v>62037070030</v>
      </c>
      <c r="P174" s="51" t="s">
        <v>2297</v>
      </c>
      <c r="Q174" s="51" t="s">
        <v>1322</v>
      </c>
      <c r="R174" s="51" t="s">
        <v>2298</v>
      </c>
      <c r="S174" s="51" t="s">
        <v>1331</v>
      </c>
      <c r="T174" s="51" t="s">
        <v>2469</v>
      </c>
      <c r="U174" s="51">
        <v>2</v>
      </c>
      <c r="V174" s="51">
        <v>2</v>
      </c>
      <c r="W174" s="51" t="s">
        <v>1332</v>
      </c>
      <c r="X174" s="51">
        <v>55.24</v>
      </c>
      <c r="Y174" s="51" t="s">
        <v>182</v>
      </c>
      <c r="Z174" s="51">
        <v>110.48</v>
      </c>
      <c r="AA174" s="51">
        <v>110.48</v>
      </c>
      <c r="AB174" s="51" t="s">
        <v>182</v>
      </c>
      <c r="AC174" s="51" t="s">
        <v>181</v>
      </c>
      <c r="AD174" s="51" t="s">
        <v>67</v>
      </c>
      <c r="AE174" s="51" t="s">
        <v>63</v>
      </c>
      <c r="AF174" s="51" t="s">
        <v>70</v>
      </c>
      <c r="AG174" s="51" t="s">
        <v>71</v>
      </c>
      <c r="AH174" s="53">
        <v>42430</v>
      </c>
      <c r="AI174" s="51" t="s">
        <v>64</v>
      </c>
      <c r="AJ174" s="53">
        <v>42417</v>
      </c>
      <c r="AK174" s="51"/>
      <c r="AL174" s="51"/>
      <c r="AM174" s="51"/>
      <c r="AN174" s="51" t="s">
        <v>893</v>
      </c>
      <c r="AO174" s="51" t="s">
        <v>2448</v>
      </c>
    </row>
    <row r="175" spans="1:41" x14ac:dyDescent="0.2">
      <c r="A175" s="51">
        <v>10020738</v>
      </c>
      <c r="B175" s="51">
        <v>250</v>
      </c>
      <c r="C175" s="51" t="s">
        <v>26</v>
      </c>
      <c r="D175" s="51" t="s">
        <v>78</v>
      </c>
      <c r="E175" s="53">
        <v>42417</v>
      </c>
      <c r="F175" s="51">
        <v>93647044</v>
      </c>
      <c r="G175" s="51">
        <v>250</v>
      </c>
      <c r="H175" s="51">
        <v>1201315</v>
      </c>
      <c r="I175" s="51" t="s">
        <v>256</v>
      </c>
      <c r="J175" s="51">
        <v>1319408</v>
      </c>
      <c r="K175" s="51" t="s">
        <v>256</v>
      </c>
      <c r="L175" s="51">
        <v>1201315</v>
      </c>
      <c r="M175" s="51" t="s">
        <v>256</v>
      </c>
      <c r="N175" s="51">
        <v>5691171</v>
      </c>
      <c r="O175" s="51">
        <v>62037083110</v>
      </c>
      <c r="P175" s="51" t="s">
        <v>1957</v>
      </c>
      <c r="Q175" s="51" t="s">
        <v>1322</v>
      </c>
      <c r="R175" s="51" t="s">
        <v>1474</v>
      </c>
      <c r="S175" s="51" t="s">
        <v>1331</v>
      </c>
      <c r="T175" s="51" t="s">
        <v>2470</v>
      </c>
      <c r="U175" s="51">
        <v>12</v>
      </c>
      <c r="V175" s="51">
        <v>12</v>
      </c>
      <c r="W175" s="51" t="s">
        <v>1332</v>
      </c>
      <c r="X175" s="51">
        <v>711.93</v>
      </c>
      <c r="Y175" s="51" t="s">
        <v>182</v>
      </c>
      <c r="Z175" s="54">
        <v>8543.16</v>
      </c>
      <c r="AA175" s="54">
        <v>8543.16</v>
      </c>
      <c r="AB175" s="51" t="s">
        <v>182</v>
      </c>
      <c r="AC175" s="51" t="s">
        <v>181</v>
      </c>
      <c r="AD175" s="51" t="s">
        <v>67</v>
      </c>
      <c r="AE175" s="51" t="s">
        <v>63</v>
      </c>
      <c r="AF175" s="51" t="s">
        <v>70</v>
      </c>
      <c r="AG175" s="51" t="s">
        <v>71</v>
      </c>
      <c r="AH175" s="53">
        <v>42430</v>
      </c>
      <c r="AI175" s="51" t="s">
        <v>64</v>
      </c>
      <c r="AJ175" s="53">
        <v>42417</v>
      </c>
      <c r="AK175" s="51"/>
      <c r="AL175" s="51"/>
      <c r="AM175" s="51"/>
      <c r="AN175" s="51" t="s">
        <v>893</v>
      </c>
      <c r="AO175" s="51" t="s">
        <v>2448</v>
      </c>
    </row>
    <row r="176" spans="1:41" x14ac:dyDescent="0.2">
      <c r="A176" s="51">
        <v>10020738</v>
      </c>
      <c r="B176" s="51">
        <v>260</v>
      </c>
      <c r="C176" s="51" t="s">
        <v>26</v>
      </c>
      <c r="D176" s="51" t="s">
        <v>78</v>
      </c>
      <c r="E176" s="53">
        <v>42417</v>
      </c>
      <c r="F176" s="51">
        <v>93647044</v>
      </c>
      <c r="G176" s="51">
        <v>260</v>
      </c>
      <c r="H176" s="51">
        <v>1201315</v>
      </c>
      <c r="I176" s="51" t="s">
        <v>256</v>
      </c>
      <c r="J176" s="51">
        <v>1319408</v>
      </c>
      <c r="K176" s="51" t="s">
        <v>256</v>
      </c>
      <c r="L176" s="51">
        <v>1201315</v>
      </c>
      <c r="M176" s="51" t="s">
        <v>256</v>
      </c>
      <c r="N176" s="51">
        <v>5691171</v>
      </c>
      <c r="O176" s="51">
        <v>591048701</v>
      </c>
      <c r="P176" s="51" t="s">
        <v>2471</v>
      </c>
      <c r="Q176" s="51" t="s">
        <v>1322</v>
      </c>
      <c r="R176" s="51" t="s">
        <v>1773</v>
      </c>
      <c r="S176" s="51" t="s">
        <v>1331</v>
      </c>
      <c r="T176" s="51" t="s">
        <v>2472</v>
      </c>
      <c r="U176" s="51">
        <v>12</v>
      </c>
      <c r="V176" s="51">
        <v>12</v>
      </c>
      <c r="W176" s="51" t="s">
        <v>1332</v>
      </c>
      <c r="X176" s="51">
        <v>30.74</v>
      </c>
      <c r="Y176" s="51" t="s">
        <v>182</v>
      </c>
      <c r="Z176" s="51">
        <v>368.88</v>
      </c>
      <c r="AA176" s="51">
        <v>368.88</v>
      </c>
      <c r="AB176" s="51" t="s">
        <v>182</v>
      </c>
      <c r="AC176" s="51" t="s">
        <v>181</v>
      </c>
      <c r="AD176" s="51" t="s">
        <v>67</v>
      </c>
      <c r="AE176" s="51" t="s">
        <v>63</v>
      </c>
      <c r="AF176" s="51" t="s">
        <v>70</v>
      </c>
      <c r="AG176" s="51" t="s">
        <v>71</v>
      </c>
      <c r="AH176" s="53">
        <v>42430</v>
      </c>
      <c r="AI176" s="51" t="s">
        <v>64</v>
      </c>
      <c r="AJ176" s="53">
        <v>42417</v>
      </c>
      <c r="AK176" s="51"/>
      <c r="AL176" s="51"/>
      <c r="AM176" s="51"/>
      <c r="AN176" s="51" t="s">
        <v>893</v>
      </c>
      <c r="AO176" s="51" t="s">
        <v>2448</v>
      </c>
    </row>
    <row r="177" spans="1:41" x14ac:dyDescent="0.2">
      <c r="A177" s="51">
        <v>10020738</v>
      </c>
      <c r="B177" s="51">
        <v>270</v>
      </c>
      <c r="C177" s="51" t="s">
        <v>26</v>
      </c>
      <c r="D177" s="51" t="s">
        <v>78</v>
      </c>
      <c r="E177" s="53">
        <v>42417</v>
      </c>
      <c r="F177" s="51">
        <v>93647044</v>
      </c>
      <c r="G177" s="51">
        <v>270</v>
      </c>
      <c r="H177" s="51">
        <v>1201315</v>
      </c>
      <c r="I177" s="51" t="s">
        <v>256</v>
      </c>
      <c r="J177" s="51">
        <v>1319408</v>
      </c>
      <c r="K177" s="51" t="s">
        <v>256</v>
      </c>
      <c r="L177" s="51">
        <v>1201315</v>
      </c>
      <c r="M177" s="51" t="s">
        <v>256</v>
      </c>
      <c r="N177" s="51">
        <v>5691171</v>
      </c>
      <c r="O177" s="51">
        <v>591578301</v>
      </c>
      <c r="P177" s="51" t="s">
        <v>2473</v>
      </c>
      <c r="Q177" s="51" t="s">
        <v>1322</v>
      </c>
      <c r="R177" s="51" t="s">
        <v>1354</v>
      </c>
      <c r="S177" s="51" t="s">
        <v>1331</v>
      </c>
      <c r="T177" s="51" t="s">
        <v>2474</v>
      </c>
      <c r="U177" s="51">
        <v>12</v>
      </c>
      <c r="V177" s="51">
        <v>12</v>
      </c>
      <c r="W177" s="51" t="s">
        <v>1332</v>
      </c>
      <c r="X177" s="51">
        <v>62.81</v>
      </c>
      <c r="Y177" s="51" t="s">
        <v>182</v>
      </c>
      <c r="Z177" s="51">
        <v>753.72</v>
      </c>
      <c r="AA177" s="51">
        <v>753.72</v>
      </c>
      <c r="AB177" s="51" t="s">
        <v>182</v>
      </c>
      <c r="AC177" s="51" t="s">
        <v>181</v>
      </c>
      <c r="AD177" s="51" t="s">
        <v>67</v>
      </c>
      <c r="AE177" s="51" t="s">
        <v>63</v>
      </c>
      <c r="AF177" s="51" t="s">
        <v>70</v>
      </c>
      <c r="AG177" s="51" t="s">
        <v>71</v>
      </c>
      <c r="AH177" s="53">
        <v>42430</v>
      </c>
      <c r="AI177" s="51" t="s">
        <v>64</v>
      </c>
      <c r="AJ177" s="53">
        <v>42417</v>
      </c>
      <c r="AK177" s="51"/>
      <c r="AL177" s="51"/>
      <c r="AM177" s="51"/>
      <c r="AN177" s="51" t="s">
        <v>893</v>
      </c>
      <c r="AO177" s="51" t="s">
        <v>2448</v>
      </c>
    </row>
    <row r="178" spans="1:41" x14ac:dyDescent="0.2">
      <c r="A178" s="51">
        <v>10020738</v>
      </c>
      <c r="B178" s="51">
        <v>280</v>
      </c>
      <c r="C178" s="51" t="s">
        <v>26</v>
      </c>
      <c r="D178" s="51" t="s">
        <v>78</v>
      </c>
      <c r="E178" s="53">
        <v>42417</v>
      </c>
      <c r="F178" s="51">
        <v>93647044</v>
      </c>
      <c r="G178" s="51">
        <v>280</v>
      </c>
      <c r="H178" s="51">
        <v>1201315</v>
      </c>
      <c r="I178" s="51" t="s">
        <v>256</v>
      </c>
      <c r="J178" s="51">
        <v>1319408</v>
      </c>
      <c r="K178" s="51" t="s">
        <v>256</v>
      </c>
      <c r="L178" s="51">
        <v>1201315</v>
      </c>
      <c r="M178" s="51" t="s">
        <v>256</v>
      </c>
      <c r="N178" s="51">
        <v>5691171</v>
      </c>
      <c r="O178" s="51">
        <v>591247330</v>
      </c>
      <c r="P178" s="51" t="s">
        <v>2009</v>
      </c>
      <c r="Q178" s="51" t="s">
        <v>1322</v>
      </c>
      <c r="R178" s="51" t="s">
        <v>2010</v>
      </c>
      <c r="S178" s="51" t="s">
        <v>1331</v>
      </c>
      <c r="T178" s="51" t="s">
        <v>2073</v>
      </c>
      <c r="U178" s="51">
        <v>6</v>
      </c>
      <c r="V178" s="51">
        <v>6</v>
      </c>
      <c r="W178" s="51" t="s">
        <v>1332</v>
      </c>
      <c r="X178" s="51">
        <v>22.85</v>
      </c>
      <c r="Y178" s="51" t="s">
        <v>182</v>
      </c>
      <c r="Z178" s="51">
        <v>137.1</v>
      </c>
      <c r="AA178" s="51">
        <v>137.1</v>
      </c>
      <c r="AB178" s="51" t="s">
        <v>182</v>
      </c>
      <c r="AC178" s="51" t="s">
        <v>181</v>
      </c>
      <c r="AD178" s="51" t="s">
        <v>67</v>
      </c>
      <c r="AE178" s="51" t="s">
        <v>63</v>
      </c>
      <c r="AF178" s="51" t="s">
        <v>70</v>
      </c>
      <c r="AG178" s="51" t="s">
        <v>71</v>
      </c>
      <c r="AH178" s="53">
        <v>42430</v>
      </c>
      <c r="AI178" s="51" t="s">
        <v>64</v>
      </c>
      <c r="AJ178" s="53">
        <v>42417</v>
      </c>
      <c r="AK178" s="51"/>
      <c r="AL178" s="51"/>
      <c r="AM178" s="51"/>
      <c r="AN178" s="51" t="s">
        <v>893</v>
      </c>
      <c r="AO178" s="51" t="s">
        <v>2448</v>
      </c>
    </row>
    <row r="179" spans="1:41" x14ac:dyDescent="0.2">
      <c r="A179" s="51">
        <v>10020738</v>
      </c>
      <c r="B179" s="51">
        <v>290</v>
      </c>
      <c r="C179" s="51" t="s">
        <v>26</v>
      </c>
      <c r="D179" s="51" t="s">
        <v>78</v>
      </c>
      <c r="E179" s="53">
        <v>42417</v>
      </c>
      <c r="F179" s="51">
        <v>93647044</v>
      </c>
      <c r="G179" s="51">
        <v>290</v>
      </c>
      <c r="H179" s="51">
        <v>1201315</v>
      </c>
      <c r="I179" s="51" t="s">
        <v>256</v>
      </c>
      <c r="J179" s="51">
        <v>1319408</v>
      </c>
      <c r="K179" s="51" t="s">
        <v>256</v>
      </c>
      <c r="L179" s="51">
        <v>1201315</v>
      </c>
      <c r="M179" s="51" t="s">
        <v>256</v>
      </c>
      <c r="N179" s="51">
        <v>5691171</v>
      </c>
      <c r="O179" s="51">
        <v>591081055</v>
      </c>
      <c r="P179" s="51" t="s">
        <v>2475</v>
      </c>
      <c r="Q179" s="51" t="s">
        <v>1322</v>
      </c>
      <c r="R179" s="51" t="s">
        <v>2322</v>
      </c>
      <c r="S179" s="51" t="s">
        <v>1331</v>
      </c>
      <c r="T179" s="51" t="s">
        <v>2476</v>
      </c>
      <c r="U179" s="51">
        <v>36</v>
      </c>
      <c r="V179" s="51">
        <v>36</v>
      </c>
      <c r="W179" s="51" t="s">
        <v>1332</v>
      </c>
      <c r="X179" s="51">
        <v>12.4</v>
      </c>
      <c r="Y179" s="51" t="s">
        <v>182</v>
      </c>
      <c r="Z179" s="51">
        <v>446.4</v>
      </c>
      <c r="AA179" s="51">
        <v>446.4</v>
      </c>
      <c r="AB179" s="51" t="s">
        <v>182</v>
      </c>
      <c r="AC179" s="51" t="s">
        <v>181</v>
      </c>
      <c r="AD179" s="51" t="s">
        <v>67</v>
      </c>
      <c r="AE179" s="51" t="s">
        <v>63</v>
      </c>
      <c r="AF179" s="51" t="s">
        <v>70</v>
      </c>
      <c r="AG179" s="51" t="s">
        <v>71</v>
      </c>
      <c r="AH179" s="53">
        <v>42430</v>
      </c>
      <c r="AI179" s="51" t="s">
        <v>64</v>
      </c>
      <c r="AJ179" s="53">
        <v>42417</v>
      </c>
      <c r="AK179" s="51"/>
      <c r="AL179" s="51"/>
      <c r="AM179" s="51"/>
      <c r="AN179" s="51" t="s">
        <v>893</v>
      </c>
      <c r="AO179" s="51" t="s">
        <v>2448</v>
      </c>
    </row>
    <row r="180" spans="1:41" x14ac:dyDescent="0.2">
      <c r="A180" s="51">
        <v>10020738</v>
      </c>
      <c r="B180" s="51">
        <v>300</v>
      </c>
      <c r="C180" s="51" t="s">
        <v>26</v>
      </c>
      <c r="D180" s="51" t="s">
        <v>78</v>
      </c>
      <c r="E180" s="53">
        <v>42417</v>
      </c>
      <c r="F180" s="51">
        <v>93647044</v>
      </c>
      <c r="G180" s="51">
        <v>300</v>
      </c>
      <c r="H180" s="51">
        <v>1201315</v>
      </c>
      <c r="I180" s="51" t="s">
        <v>256</v>
      </c>
      <c r="J180" s="51">
        <v>1319408</v>
      </c>
      <c r="K180" s="51" t="s">
        <v>256</v>
      </c>
      <c r="L180" s="51">
        <v>1201315</v>
      </c>
      <c r="M180" s="51" t="s">
        <v>256</v>
      </c>
      <c r="N180" s="51">
        <v>5691171</v>
      </c>
      <c r="O180" s="51">
        <v>591045301</v>
      </c>
      <c r="P180" s="51" t="s">
        <v>2400</v>
      </c>
      <c r="Q180" s="51" t="s">
        <v>1322</v>
      </c>
      <c r="R180" s="51" t="s">
        <v>1793</v>
      </c>
      <c r="S180" s="51" t="s">
        <v>1331</v>
      </c>
      <c r="T180" s="51" t="s">
        <v>2401</v>
      </c>
      <c r="U180" s="51">
        <v>24</v>
      </c>
      <c r="V180" s="51">
        <v>24</v>
      </c>
      <c r="W180" s="51" t="s">
        <v>1332</v>
      </c>
      <c r="X180" s="51">
        <v>28.6</v>
      </c>
      <c r="Y180" s="51" t="s">
        <v>182</v>
      </c>
      <c r="Z180" s="51">
        <v>686.4</v>
      </c>
      <c r="AA180" s="51">
        <v>686.4</v>
      </c>
      <c r="AB180" s="51" t="s">
        <v>182</v>
      </c>
      <c r="AC180" s="51" t="s">
        <v>181</v>
      </c>
      <c r="AD180" s="51" t="s">
        <v>67</v>
      </c>
      <c r="AE180" s="51" t="s">
        <v>63</v>
      </c>
      <c r="AF180" s="51" t="s">
        <v>70</v>
      </c>
      <c r="AG180" s="51" t="s">
        <v>71</v>
      </c>
      <c r="AH180" s="53">
        <v>42430</v>
      </c>
      <c r="AI180" s="51" t="s">
        <v>64</v>
      </c>
      <c r="AJ180" s="53">
        <v>42417</v>
      </c>
      <c r="AK180" s="51"/>
      <c r="AL180" s="51"/>
      <c r="AM180" s="51"/>
      <c r="AN180" s="51" t="s">
        <v>893</v>
      </c>
      <c r="AO180" s="51" t="s">
        <v>2448</v>
      </c>
    </row>
    <row r="181" spans="1:41" x14ac:dyDescent="0.2">
      <c r="A181" s="51">
        <v>10020738</v>
      </c>
      <c r="B181" s="51">
        <v>310</v>
      </c>
      <c r="C181" s="51" t="s">
        <v>26</v>
      </c>
      <c r="D181" s="51" t="s">
        <v>78</v>
      </c>
      <c r="E181" s="53">
        <v>42417</v>
      </c>
      <c r="F181" s="51">
        <v>93647044</v>
      </c>
      <c r="G181" s="51">
        <v>310</v>
      </c>
      <c r="H181" s="51">
        <v>1201315</v>
      </c>
      <c r="I181" s="51" t="s">
        <v>256</v>
      </c>
      <c r="J181" s="51">
        <v>1319408</v>
      </c>
      <c r="K181" s="51" t="s">
        <v>256</v>
      </c>
      <c r="L181" s="51">
        <v>1201315</v>
      </c>
      <c r="M181" s="51" t="s">
        <v>256</v>
      </c>
      <c r="N181" s="51">
        <v>5691171</v>
      </c>
      <c r="O181" s="51">
        <v>60758006010</v>
      </c>
      <c r="P181" s="51" t="s">
        <v>2477</v>
      </c>
      <c r="Q181" s="51" t="s">
        <v>1322</v>
      </c>
      <c r="R181" s="51" t="s">
        <v>2478</v>
      </c>
      <c r="S181" s="51" t="s">
        <v>1331</v>
      </c>
      <c r="T181" s="51">
        <v>86842</v>
      </c>
      <c r="U181" s="51">
        <v>12</v>
      </c>
      <c r="V181" s="51">
        <v>12</v>
      </c>
      <c r="W181" s="51" t="s">
        <v>1332</v>
      </c>
      <c r="X181" s="51">
        <v>9.9499999999999993</v>
      </c>
      <c r="Y181" s="51" t="s">
        <v>182</v>
      </c>
      <c r="Z181" s="51">
        <v>119.4</v>
      </c>
      <c r="AA181" s="51">
        <v>119.4</v>
      </c>
      <c r="AB181" s="51" t="s">
        <v>182</v>
      </c>
      <c r="AC181" s="51" t="s">
        <v>181</v>
      </c>
      <c r="AD181" s="51" t="s">
        <v>67</v>
      </c>
      <c r="AE181" s="51" t="s">
        <v>63</v>
      </c>
      <c r="AF181" s="51" t="s">
        <v>70</v>
      </c>
      <c r="AG181" s="51" t="s">
        <v>71</v>
      </c>
      <c r="AH181" s="53">
        <v>42430</v>
      </c>
      <c r="AI181" s="51" t="s">
        <v>64</v>
      </c>
      <c r="AJ181" s="53">
        <v>42417</v>
      </c>
      <c r="AK181" s="51"/>
      <c r="AL181" s="51"/>
      <c r="AM181" s="51"/>
      <c r="AN181" s="51" t="s">
        <v>893</v>
      </c>
      <c r="AO181" s="51" t="s">
        <v>2448</v>
      </c>
    </row>
    <row r="182" spans="1:41" x14ac:dyDescent="0.2">
      <c r="A182" s="51">
        <v>10020738</v>
      </c>
      <c r="B182" s="51">
        <v>320</v>
      </c>
      <c r="C182" s="51" t="s">
        <v>26</v>
      </c>
      <c r="D182" s="51" t="s">
        <v>78</v>
      </c>
      <c r="E182" s="53">
        <v>42417</v>
      </c>
      <c r="F182" s="51">
        <v>93647044</v>
      </c>
      <c r="G182" s="51">
        <v>320</v>
      </c>
      <c r="H182" s="51">
        <v>1201315</v>
      </c>
      <c r="I182" s="51" t="s">
        <v>256</v>
      </c>
      <c r="J182" s="51">
        <v>1319408</v>
      </c>
      <c r="K182" s="51" t="s">
        <v>256</v>
      </c>
      <c r="L182" s="51">
        <v>1201315</v>
      </c>
      <c r="M182" s="51" t="s">
        <v>256</v>
      </c>
      <c r="N182" s="51">
        <v>5691171</v>
      </c>
      <c r="O182" s="51">
        <v>591379730</v>
      </c>
      <c r="P182" s="51" t="s">
        <v>1917</v>
      </c>
      <c r="Q182" s="51" t="s">
        <v>1322</v>
      </c>
      <c r="R182" s="51" t="s">
        <v>1412</v>
      </c>
      <c r="S182" s="51" t="s">
        <v>1331</v>
      </c>
      <c r="T182" s="51" t="s">
        <v>2479</v>
      </c>
      <c r="U182" s="51">
        <v>48</v>
      </c>
      <c r="V182" s="51">
        <v>48</v>
      </c>
      <c r="W182" s="51" t="s">
        <v>1332</v>
      </c>
      <c r="X182" s="51">
        <v>4.8</v>
      </c>
      <c r="Y182" s="51" t="s">
        <v>182</v>
      </c>
      <c r="Z182" s="51">
        <v>230.4</v>
      </c>
      <c r="AA182" s="51">
        <v>230.4</v>
      </c>
      <c r="AB182" s="51" t="s">
        <v>182</v>
      </c>
      <c r="AC182" s="51" t="s">
        <v>181</v>
      </c>
      <c r="AD182" s="51" t="s">
        <v>67</v>
      </c>
      <c r="AE182" s="51" t="s">
        <v>63</v>
      </c>
      <c r="AF182" s="51" t="s">
        <v>70</v>
      </c>
      <c r="AG182" s="51" t="s">
        <v>71</v>
      </c>
      <c r="AH182" s="53">
        <v>42430</v>
      </c>
      <c r="AI182" s="51" t="s">
        <v>64</v>
      </c>
      <c r="AJ182" s="53">
        <v>42417</v>
      </c>
      <c r="AK182" s="51"/>
      <c r="AL182" s="51"/>
      <c r="AM182" s="51"/>
      <c r="AN182" s="51" t="s">
        <v>893</v>
      </c>
      <c r="AO182" s="51" t="s">
        <v>2448</v>
      </c>
    </row>
    <row r="183" spans="1:41" x14ac:dyDescent="0.2">
      <c r="A183" s="51">
        <v>10020738</v>
      </c>
      <c r="B183" s="51">
        <v>340</v>
      </c>
      <c r="C183" s="51" t="s">
        <v>26</v>
      </c>
      <c r="D183" s="51" t="s">
        <v>78</v>
      </c>
      <c r="E183" s="53">
        <v>42417</v>
      </c>
      <c r="F183" s="51">
        <v>93647044</v>
      </c>
      <c r="G183" s="51">
        <v>340</v>
      </c>
      <c r="H183" s="51">
        <v>1201315</v>
      </c>
      <c r="I183" s="51" t="s">
        <v>256</v>
      </c>
      <c r="J183" s="51">
        <v>1319408</v>
      </c>
      <c r="K183" s="51" t="s">
        <v>256</v>
      </c>
      <c r="L183" s="51">
        <v>1201315</v>
      </c>
      <c r="M183" s="51" t="s">
        <v>256</v>
      </c>
      <c r="N183" s="51">
        <v>5691171</v>
      </c>
      <c r="O183" s="51">
        <v>591557101</v>
      </c>
      <c r="P183" s="51" t="s">
        <v>1414</v>
      </c>
      <c r="Q183" s="51" t="s">
        <v>1322</v>
      </c>
      <c r="R183" s="51" t="s">
        <v>1415</v>
      </c>
      <c r="S183" s="51" t="s">
        <v>1331</v>
      </c>
      <c r="T183" s="51" t="s">
        <v>2480</v>
      </c>
      <c r="U183" s="51">
        <v>12</v>
      </c>
      <c r="V183" s="51">
        <v>12</v>
      </c>
      <c r="W183" s="51" t="s">
        <v>1332</v>
      </c>
      <c r="X183" s="51">
        <v>31.05</v>
      </c>
      <c r="Y183" s="51" t="s">
        <v>182</v>
      </c>
      <c r="Z183" s="51">
        <v>372.6</v>
      </c>
      <c r="AA183" s="51">
        <v>372.6</v>
      </c>
      <c r="AB183" s="51" t="s">
        <v>182</v>
      </c>
      <c r="AC183" s="51" t="s">
        <v>181</v>
      </c>
      <c r="AD183" s="51" t="s">
        <v>67</v>
      </c>
      <c r="AE183" s="51" t="s">
        <v>63</v>
      </c>
      <c r="AF183" s="51" t="s">
        <v>70</v>
      </c>
      <c r="AG183" s="51" t="s">
        <v>71</v>
      </c>
      <c r="AH183" s="53">
        <v>42430</v>
      </c>
      <c r="AI183" s="51" t="s">
        <v>64</v>
      </c>
      <c r="AJ183" s="53">
        <v>42417</v>
      </c>
      <c r="AK183" s="51"/>
      <c r="AL183" s="51"/>
      <c r="AM183" s="51"/>
      <c r="AN183" s="51" t="s">
        <v>893</v>
      </c>
      <c r="AO183" s="51" t="s">
        <v>2448</v>
      </c>
    </row>
    <row r="184" spans="1:41" x14ac:dyDescent="0.2">
      <c r="A184" s="51">
        <v>10020738</v>
      </c>
      <c r="B184" s="51">
        <v>350</v>
      </c>
      <c r="C184" s="51" t="s">
        <v>26</v>
      </c>
      <c r="D184" s="51" t="s">
        <v>78</v>
      </c>
      <c r="E184" s="53">
        <v>42417</v>
      </c>
      <c r="F184" s="51">
        <v>93647044</v>
      </c>
      <c r="G184" s="51">
        <v>350</v>
      </c>
      <c r="H184" s="51">
        <v>1201315</v>
      </c>
      <c r="I184" s="51" t="s">
        <v>256</v>
      </c>
      <c r="J184" s="51">
        <v>1319408</v>
      </c>
      <c r="K184" s="51" t="s">
        <v>256</v>
      </c>
      <c r="L184" s="51">
        <v>1201315</v>
      </c>
      <c r="M184" s="51" t="s">
        <v>256</v>
      </c>
      <c r="N184" s="51">
        <v>5691171</v>
      </c>
      <c r="O184" s="51">
        <v>591381730</v>
      </c>
      <c r="P184" s="51" t="s">
        <v>1373</v>
      </c>
      <c r="Q184" s="51" t="s">
        <v>1322</v>
      </c>
      <c r="R184" s="51" t="s">
        <v>1358</v>
      </c>
      <c r="S184" s="51" t="s">
        <v>1331</v>
      </c>
      <c r="T184" s="51" t="s">
        <v>2481</v>
      </c>
      <c r="U184" s="51">
        <v>192</v>
      </c>
      <c r="V184" s="51">
        <v>192</v>
      </c>
      <c r="W184" s="51" t="s">
        <v>1332</v>
      </c>
      <c r="X184" s="51">
        <v>12</v>
      </c>
      <c r="Y184" s="51" t="s">
        <v>182</v>
      </c>
      <c r="Z184" s="54">
        <v>2304</v>
      </c>
      <c r="AA184" s="54">
        <v>2304</v>
      </c>
      <c r="AB184" s="51" t="s">
        <v>182</v>
      </c>
      <c r="AC184" s="51" t="s">
        <v>181</v>
      </c>
      <c r="AD184" s="51" t="s">
        <v>67</v>
      </c>
      <c r="AE184" s="51" t="s">
        <v>63</v>
      </c>
      <c r="AF184" s="51" t="s">
        <v>70</v>
      </c>
      <c r="AG184" s="51" t="s">
        <v>71</v>
      </c>
      <c r="AH184" s="53">
        <v>42430</v>
      </c>
      <c r="AI184" s="51" t="s">
        <v>64</v>
      </c>
      <c r="AJ184" s="53">
        <v>42417</v>
      </c>
      <c r="AK184" s="51"/>
      <c r="AL184" s="51"/>
      <c r="AM184" s="51"/>
      <c r="AN184" s="51" t="s">
        <v>893</v>
      </c>
      <c r="AO184" s="51" t="s">
        <v>2448</v>
      </c>
    </row>
    <row r="185" spans="1:41" x14ac:dyDescent="0.2">
      <c r="A185" s="51">
        <v>10020738</v>
      </c>
      <c r="B185" s="51">
        <v>360</v>
      </c>
      <c r="C185" s="51" t="s">
        <v>26</v>
      </c>
      <c r="D185" s="51" t="s">
        <v>78</v>
      </c>
      <c r="E185" s="53">
        <v>42417</v>
      </c>
      <c r="F185" s="51">
        <v>93647044</v>
      </c>
      <c r="G185" s="51">
        <v>360</v>
      </c>
      <c r="H185" s="51">
        <v>1201315</v>
      </c>
      <c r="I185" s="51" t="s">
        <v>256</v>
      </c>
      <c r="J185" s="51">
        <v>1319408</v>
      </c>
      <c r="K185" s="51" t="s">
        <v>256</v>
      </c>
      <c r="L185" s="51">
        <v>1201315</v>
      </c>
      <c r="M185" s="51" t="s">
        <v>256</v>
      </c>
      <c r="N185" s="51">
        <v>5691171</v>
      </c>
      <c r="O185" s="51">
        <v>591363630</v>
      </c>
      <c r="P185" s="51" t="s">
        <v>2482</v>
      </c>
      <c r="Q185" s="51" t="s">
        <v>1322</v>
      </c>
      <c r="R185" s="51" t="s">
        <v>2483</v>
      </c>
      <c r="S185" s="51" t="s">
        <v>1331</v>
      </c>
      <c r="T185" s="51" t="s">
        <v>2484</v>
      </c>
      <c r="U185" s="51">
        <v>2</v>
      </c>
      <c r="V185" s="51">
        <v>2</v>
      </c>
      <c r="W185" s="51" t="s">
        <v>1332</v>
      </c>
      <c r="X185" s="51">
        <v>161.68</v>
      </c>
      <c r="Y185" s="51" t="s">
        <v>182</v>
      </c>
      <c r="Z185" s="51">
        <v>323.36</v>
      </c>
      <c r="AA185" s="51">
        <v>323.36</v>
      </c>
      <c r="AB185" s="51" t="s">
        <v>182</v>
      </c>
      <c r="AC185" s="51" t="s">
        <v>181</v>
      </c>
      <c r="AD185" s="51" t="s">
        <v>67</v>
      </c>
      <c r="AE185" s="51" t="s">
        <v>63</v>
      </c>
      <c r="AF185" s="51" t="s">
        <v>70</v>
      </c>
      <c r="AG185" s="51" t="s">
        <v>71</v>
      </c>
      <c r="AH185" s="53">
        <v>42430</v>
      </c>
      <c r="AI185" s="51" t="s">
        <v>64</v>
      </c>
      <c r="AJ185" s="53">
        <v>42417</v>
      </c>
      <c r="AK185" s="51"/>
      <c r="AL185" s="51"/>
      <c r="AM185" s="51"/>
      <c r="AN185" s="51" t="s">
        <v>893</v>
      </c>
      <c r="AO185" s="51" t="s">
        <v>2448</v>
      </c>
    </row>
    <row r="186" spans="1:41" x14ac:dyDescent="0.2">
      <c r="A186" s="51">
        <v>10020738</v>
      </c>
      <c r="B186" s="51">
        <v>370</v>
      </c>
      <c r="C186" s="51" t="s">
        <v>26</v>
      </c>
      <c r="D186" s="51" t="s">
        <v>78</v>
      </c>
      <c r="E186" s="53">
        <v>42417</v>
      </c>
      <c r="F186" s="51">
        <v>93647044</v>
      </c>
      <c r="G186" s="51">
        <v>370</v>
      </c>
      <c r="H186" s="51">
        <v>1201315</v>
      </c>
      <c r="I186" s="51" t="s">
        <v>256</v>
      </c>
      <c r="J186" s="51">
        <v>1319408</v>
      </c>
      <c r="K186" s="51" t="s">
        <v>256</v>
      </c>
      <c r="L186" s="51">
        <v>1201315</v>
      </c>
      <c r="M186" s="51" t="s">
        <v>256</v>
      </c>
      <c r="N186" s="51">
        <v>5691171</v>
      </c>
      <c r="O186" s="51">
        <v>228253950</v>
      </c>
      <c r="P186" s="51" t="s">
        <v>2485</v>
      </c>
      <c r="Q186" s="51" t="s">
        <v>1322</v>
      </c>
      <c r="R186" s="51" t="s">
        <v>1664</v>
      </c>
      <c r="S186" s="51" t="s">
        <v>1331</v>
      </c>
      <c r="T186" s="51" t="s">
        <v>2486</v>
      </c>
      <c r="U186" s="51">
        <v>6</v>
      </c>
      <c r="V186" s="51">
        <v>6</v>
      </c>
      <c r="W186" s="51" t="s">
        <v>1332</v>
      </c>
      <c r="X186" s="51">
        <v>145.53</v>
      </c>
      <c r="Y186" s="51" t="s">
        <v>182</v>
      </c>
      <c r="Z186" s="51">
        <v>873.18</v>
      </c>
      <c r="AA186" s="51">
        <v>873.18</v>
      </c>
      <c r="AB186" s="51" t="s">
        <v>182</v>
      </c>
      <c r="AC186" s="51" t="s">
        <v>181</v>
      </c>
      <c r="AD186" s="51" t="s">
        <v>67</v>
      </c>
      <c r="AE186" s="51" t="s">
        <v>63</v>
      </c>
      <c r="AF186" s="51" t="s">
        <v>70</v>
      </c>
      <c r="AG186" s="51" t="s">
        <v>71</v>
      </c>
      <c r="AH186" s="53">
        <v>42430</v>
      </c>
      <c r="AI186" s="51" t="s">
        <v>64</v>
      </c>
      <c r="AJ186" s="53">
        <v>42417</v>
      </c>
      <c r="AK186" s="51"/>
      <c r="AL186" s="51"/>
      <c r="AM186" s="51"/>
      <c r="AN186" s="51" t="s">
        <v>893</v>
      </c>
      <c r="AO186" s="51" t="s">
        <v>2448</v>
      </c>
    </row>
    <row r="187" spans="1:41" x14ac:dyDescent="0.2">
      <c r="A187" s="51">
        <v>10020738</v>
      </c>
      <c r="B187" s="51">
        <v>380</v>
      </c>
      <c r="C187" s="51" t="s">
        <v>26</v>
      </c>
      <c r="D187" s="51" t="s">
        <v>78</v>
      </c>
      <c r="E187" s="53">
        <v>42417</v>
      </c>
      <c r="F187" s="51">
        <v>93647044</v>
      </c>
      <c r="G187" s="51">
        <v>380</v>
      </c>
      <c r="H187" s="51">
        <v>1201315</v>
      </c>
      <c r="I187" s="51" t="s">
        <v>256</v>
      </c>
      <c r="J187" s="51">
        <v>1319408</v>
      </c>
      <c r="K187" s="51" t="s">
        <v>256</v>
      </c>
      <c r="L187" s="51">
        <v>1201315</v>
      </c>
      <c r="M187" s="51" t="s">
        <v>256</v>
      </c>
      <c r="N187" s="51">
        <v>5691171</v>
      </c>
      <c r="O187" s="51">
        <v>591530701</v>
      </c>
      <c r="P187" s="51" t="s">
        <v>2487</v>
      </c>
      <c r="Q187" s="51" t="s">
        <v>1322</v>
      </c>
      <c r="R187" s="51" t="s">
        <v>2488</v>
      </c>
      <c r="S187" s="51" t="s">
        <v>1331</v>
      </c>
      <c r="T187" s="51" t="s">
        <v>2489</v>
      </c>
      <c r="U187" s="51">
        <v>12</v>
      </c>
      <c r="V187" s="51">
        <v>12</v>
      </c>
      <c r="W187" s="51" t="s">
        <v>1332</v>
      </c>
      <c r="X187" s="51">
        <v>37.979999999999997</v>
      </c>
      <c r="Y187" s="51" t="s">
        <v>182</v>
      </c>
      <c r="Z187" s="51">
        <v>455.76</v>
      </c>
      <c r="AA187" s="51">
        <v>455.76</v>
      </c>
      <c r="AB187" s="51" t="s">
        <v>182</v>
      </c>
      <c r="AC187" s="51" t="s">
        <v>181</v>
      </c>
      <c r="AD187" s="51" t="s">
        <v>67</v>
      </c>
      <c r="AE187" s="51" t="s">
        <v>63</v>
      </c>
      <c r="AF187" s="51" t="s">
        <v>70</v>
      </c>
      <c r="AG187" s="51" t="s">
        <v>71</v>
      </c>
      <c r="AH187" s="53">
        <v>42430</v>
      </c>
      <c r="AI187" s="51" t="s">
        <v>64</v>
      </c>
      <c r="AJ187" s="53">
        <v>42417</v>
      </c>
      <c r="AK187" s="51"/>
      <c r="AL187" s="51"/>
      <c r="AM187" s="51"/>
      <c r="AN187" s="51" t="s">
        <v>893</v>
      </c>
      <c r="AO187" s="51" t="s">
        <v>2448</v>
      </c>
    </row>
    <row r="188" spans="1:41" x14ac:dyDescent="0.2">
      <c r="A188" s="51">
        <v>10020738</v>
      </c>
      <c r="B188" s="51">
        <v>390</v>
      </c>
      <c r="C188" s="51" t="s">
        <v>26</v>
      </c>
      <c r="D188" s="51" t="s">
        <v>78</v>
      </c>
      <c r="E188" s="53">
        <v>42417</v>
      </c>
      <c r="F188" s="51">
        <v>93647044</v>
      </c>
      <c r="G188" s="51">
        <v>390</v>
      </c>
      <c r="H188" s="51">
        <v>1201315</v>
      </c>
      <c r="I188" s="51" t="s">
        <v>256</v>
      </c>
      <c r="J188" s="51">
        <v>1319408</v>
      </c>
      <c r="K188" s="51" t="s">
        <v>256</v>
      </c>
      <c r="L188" s="51">
        <v>1201315</v>
      </c>
      <c r="M188" s="51" t="s">
        <v>256</v>
      </c>
      <c r="N188" s="51">
        <v>5691171</v>
      </c>
      <c r="O188" s="51">
        <v>62037083001</v>
      </c>
      <c r="P188" s="51" t="s">
        <v>2301</v>
      </c>
      <c r="Q188" s="51" t="s">
        <v>1322</v>
      </c>
      <c r="R188" s="51" t="s">
        <v>1474</v>
      </c>
      <c r="S188" s="51" t="s">
        <v>1331</v>
      </c>
      <c r="T188" s="51" t="s">
        <v>2302</v>
      </c>
      <c r="U188" s="51">
        <v>12</v>
      </c>
      <c r="V188" s="51">
        <v>12</v>
      </c>
      <c r="W188" s="51" t="s">
        <v>1332</v>
      </c>
      <c r="X188" s="51">
        <v>74.94</v>
      </c>
      <c r="Y188" s="51" t="s">
        <v>182</v>
      </c>
      <c r="Z188" s="51">
        <v>899.28</v>
      </c>
      <c r="AA188" s="51">
        <v>899.28</v>
      </c>
      <c r="AB188" s="51" t="s">
        <v>182</v>
      </c>
      <c r="AC188" s="51" t="s">
        <v>181</v>
      </c>
      <c r="AD188" s="51" t="s">
        <v>67</v>
      </c>
      <c r="AE188" s="51" t="s">
        <v>63</v>
      </c>
      <c r="AF188" s="51" t="s">
        <v>70</v>
      </c>
      <c r="AG188" s="51" t="s">
        <v>71</v>
      </c>
      <c r="AH188" s="53">
        <v>42430</v>
      </c>
      <c r="AI188" s="51" t="s">
        <v>64</v>
      </c>
      <c r="AJ188" s="53">
        <v>42417</v>
      </c>
      <c r="AK188" s="51"/>
      <c r="AL188" s="51"/>
      <c r="AM188" s="51"/>
      <c r="AN188" s="51" t="s">
        <v>893</v>
      </c>
      <c r="AO188" s="51" t="s">
        <v>2448</v>
      </c>
    </row>
    <row r="189" spans="1:41" x14ac:dyDescent="0.2">
      <c r="A189" s="51">
        <v>10020738</v>
      </c>
      <c r="B189" s="51">
        <v>400</v>
      </c>
      <c r="C189" s="51" t="s">
        <v>26</v>
      </c>
      <c r="D189" s="51" t="s">
        <v>78</v>
      </c>
      <c r="E189" s="53">
        <v>42417</v>
      </c>
      <c r="F189" s="51">
        <v>93647044</v>
      </c>
      <c r="G189" s="51">
        <v>400</v>
      </c>
      <c r="H189" s="51">
        <v>1201315</v>
      </c>
      <c r="I189" s="51" t="s">
        <v>256</v>
      </c>
      <c r="J189" s="51">
        <v>1319408</v>
      </c>
      <c r="K189" s="51" t="s">
        <v>256</v>
      </c>
      <c r="L189" s="51">
        <v>1201315</v>
      </c>
      <c r="M189" s="51" t="s">
        <v>256</v>
      </c>
      <c r="N189" s="51">
        <v>5691171</v>
      </c>
      <c r="O189" s="51">
        <v>52544024531</v>
      </c>
      <c r="P189" s="51" t="s">
        <v>2097</v>
      </c>
      <c r="Q189" s="51" t="s">
        <v>1344</v>
      </c>
      <c r="R189" s="51" t="s">
        <v>1614</v>
      </c>
      <c r="S189" s="51" t="s">
        <v>1331</v>
      </c>
      <c r="T189" s="51" t="s">
        <v>2241</v>
      </c>
      <c r="U189" s="51">
        <v>1</v>
      </c>
      <c r="V189" s="51">
        <v>1</v>
      </c>
      <c r="W189" s="51" t="s">
        <v>1332</v>
      </c>
      <c r="X189" s="51">
        <v>66.31</v>
      </c>
      <c r="Y189" s="51" t="s">
        <v>182</v>
      </c>
      <c r="Z189" s="51">
        <v>66.31</v>
      </c>
      <c r="AA189" s="51">
        <v>66.31</v>
      </c>
      <c r="AB189" s="51" t="s">
        <v>182</v>
      </c>
      <c r="AC189" s="51" t="s">
        <v>181</v>
      </c>
      <c r="AD189" s="51" t="s">
        <v>67</v>
      </c>
      <c r="AE189" s="51" t="s">
        <v>63</v>
      </c>
      <c r="AF189" s="51" t="s">
        <v>70</v>
      </c>
      <c r="AG189" s="51" t="s">
        <v>71</v>
      </c>
      <c r="AH189" s="53">
        <v>42430</v>
      </c>
      <c r="AI189" s="51" t="s">
        <v>64</v>
      </c>
      <c r="AJ189" s="53">
        <v>42417</v>
      </c>
      <c r="AK189" s="51"/>
      <c r="AL189" s="51"/>
      <c r="AM189" s="51"/>
      <c r="AN189" s="51" t="s">
        <v>893</v>
      </c>
      <c r="AO189" s="51" t="s">
        <v>2448</v>
      </c>
    </row>
    <row r="190" spans="1:41" x14ac:dyDescent="0.2">
      <c r="A190" s="51">
        <v>10020738</v>
      </c>
      <c r="B190" s="51">
        <v>410</v>
      </c>
      <c r="C190" s="51" t="s">
        <v>26</v>
      </c>
      <c r="D190" s="51" t="s">
        <v>78</v>
      </c>
      <c r="E190" s="53">
        <v>42417</v>
      </c>
      <c r="F190" s="51">
        <v>93647044</v>
      </c>
      <c r="G190" s="51">
        <v>410</v>
      </c>
      <c r="H190" s="51">
        <v>1201315</v>
      </c>
      <c r="I190" s="51" t="s">
        <v>256</v>
      </c>
      <c r="J190" s="51">
        <v>1319408</v>
      </c>
      <c r="K190" s="51" t="s">
        <v>256</v>
      </c>
      <c r="L190" s="51">
        <v>1201315</v>
      </c>
      <c r="M190" s="51" t="s">
        <v>256</v>
      </c>
      <c r="N190" s="51">
        <v>5691171</v>
      </c>
      <c r="O190" s="51">
        <v>591381760</v>
      </c>
      <c r="P190" s="51" t="s">
        <v>1357</v>
      </c>
      <c r="Q190" s="51" t="s">
        <v>1322</v>
      </c>
      <c r="R190" s="51" t="s">
        <v>1358</v>
      </c>
      <c r="S190" s="51" t="s">
        <v>1331</v>
      </c>
      <c r="T190" s="51" t="s">
        <v>2490</v>
      </c>
      <c r="U190" s="51">
        <v>24</v>
      </c>
      <c r="V190" s="51">
        <v>24</v>
      </c>
      <c r="W190" s="51" t="s">
        <v>1332</v>
      </c>
      <c r="X190" s="51">
        <v>24</v>
      </c>
      <c r="Y190" s="51" t="s">
        <v>182</v>
      </c>
      <c r="Z190" s="51">
        <v>576</v>
      </c>
      <c r="AA190" s="51">
        <v>576</v>
      </c>
      <c r="AB190" s="51" t="s">
        <v>182</v>
      </c>
      <c r="AC190" s="51" t="s">
        <v>181</v>
      </c>
      <c r="AD190" s="51" t="s">
        <v>67</v>
      </c>
      <c r="AE190" s="51" t="s">
        <v>63</v>
      </c>
      <c r="AF190" s="51" t="s">
        <v>70</v>
      </c>
      <c r="AG190" s="51" t="s">
        <v>71</v>
      </c>
      <c r="AH190" s="53">
        <v>42430</v>
      </c>
      <c r="AI190" s="51" t="s">
        <v>64</v>
      </c>
      <c r="AJ190" s="53">
        <v>42417</v>
      </c>
      <c r="AK190" s="51"/>
      <c r="AL190" s="51"/>
      <c r="AM190" s="51"/>
      <c r="AN190" s="51" t="s">
        <v>893</v>
      </c>
      <c r="AO190" s="51" t="s">
        <v>2448</v>
      </c>
    </row>
    <row r="191" spans="1:41" x14ac:dyDescent="0.2">
      <c r="A191" s="51">
        <v>10020738</v>
      </c>
      <c r="B191" s="51">
        <v>420</v>
      </c>
      <c r="C191" s="51" t="s">
        <v>26</v>
      </c>
      <c r="D191" s="51" t="s">
        <v>78</v>
      </c>
      <c r="E191" s="53">
        <v>42417</v>
      </c>
      <c r="F191" s="51">
        <v>93647044</v>
      </c>
      <c r="G191" s="51">
        <v>420</v>
      </c>
      <c r="H191" s="51">
        <v>1201315</v>
      </c>
      <c r="I191" s="51" t="s">
        <v>256</v>
      </c>
      <c r="J191" s="51">
        <v>1319408</v>
      </c>
      <c r="K191" s="51" t="s">
        <v>256</v>
      </c>
      <c r="L191" s="51">
        <v>1201315</v>
      </c>
      <c r="M191" s="51" t="s">
        <v>256</v>
      </c>
      <c r="N191" s="51">
        <v>5691171</v>
      </c>
      <c r="O191" s="51">
        <v>591566101</v>
      </c>
      <c r="P191" s="51" t="s">
        <v>2491</v>
      </c>
      <c r="Q191" s="51" t="s">
        <v>1322</v>
      </c>
      <c r="R191" s="51" t="s">
        <v>2492</v>
      </c>
      <c r="S191" s="51" t="s">
        <v>1331</v>
      </c>
      <c r="T191" s="51" t="s">
        <v>2493</v>
      </c>
      <c r="U191" s="51">
        <v>2</v>
      </c>
      <c r="V191" s="51">
        <v>2</v>
      </c>
      <c r="W191" s="51" t="s">
        <v>1332</v>
      </c>
      <c r="X191" s="51">
        <v>22.11</v>
      </c>
      <c r="Y191" s="51" t="s">
        <v>182</v>
      </c>
      <c r="Z191" s="51">
        <v>44.22</v>
      </c>
      <c r="AA191" s="51">
        <v>44.22</v>
      </c>
      <c r="AB191" s="51" t="s">
        <v>182</v>
      </c>
      <c r="AC191" s="51" t="s">
        <v>181</v>
      </c>
      <c r="AD191" s="51" t="s">
        <v>67</v>
      </c>
      <c r="AE191" s="51" t="s">
        <v>63</v>
      </c>
      <c r="AF191" s="51" t="s">
        <v>70</v>
      </c>
      <c r="AG191" s="51" t="s">
        <v>71</v>
      </c>
      <c r="AH191" s="53">
        <v>42430</v>
      </c>
      <c r="AI191" s="51" t="s">
        <v>64</v>
      </c>
      <c r="AJ191" s="53">
        <v>42417</v>
      </c>
      <c r="AK191" s="51"/>
      <c r="AL191" s="51"/>
      <c r="AM191" s="51"/>
      <c r="AN191" s="51" t="s">
        <v>893</v>
      </c>
      <c r="AO191" s="51" t="s">
        <v>2448</v>
      </c>
    </row>
    <row r="192" spans="1:41" x14ac:dyDescent="0.2">
      <c r="A192" s="51">
        <v>10020738</v>
      </c>
      <c r="B192" s="51">
        <v>430</v>
      </c>
      <c r="C192" s="51" t="s">
        <v>26</v>
      </c>
      <c r="D192" s="51" t="s">
        <v>78</v>
      </c>
      <c r="E192" s="53">
        <v>42417</v>
      </c>
      <c r="F192" s="51">
        <v>93647044</v>
      </c>
      <c r="G192" s="51">
        <v>430</v>
      </c>
      <c r="H192" s="51">
        <v>1201315</v>
      </c>
      <c r="I192" s="51" t="s">
        <v>256</v>
      </c>
      <c r="J192" s="51">
        <v>1319408</v>
      </c>
      <c r="K192" s="51" t="s">
        <v>256</v>
      </c>
      <c r="L192" s="51">
        <v>1201315</v>
      </c>
      <c r="M192" s="51" t="s">
        <v>256</v>
      </c>
      <c r="N192" s="51">
        <v>5691171</v>
      </c>
      <c r="O192" s="51">
        <v>591346853</v>
      </c>
      <c r="P192" s="51" t="s">
        <v>1603</v>
      </c>
      <c r="Q192" s="51" t="s">
        <v>1322</v>
      </c>
      <c r="R192" s="51" t="s">
        <v>2416</v>
      </c>
      <c r="S192" s="51" t="s">
        <v>1331</v>
      </c>
      <c r="T192" s="51" t="s">
        <v>2494</v>
      </c>
      <c r="U192" s="51">
        <v>6</v>
      </c>
      <c r="V192" s="51">
        <v>6</v>
      </c>
      <c r="W192" s="51" t="s">
        <v>1332</v>
      </c>
      <c r="X192" s="51">
        <v>33.200000000000003</v>
      </c>
      <c r="Y192" s="51" t="s">
        <v>182</v>
      </c>
      <c r="Z192" s="51">
        <v>199.2</v>
      </c>
      <c r="AA192" s="51">
        <v>199.2</v>
      </c>
      <c r="AB192" s="51" t="s">
        <v>182</v>
      </c>
      <c r="AC192" s="51" t="s">
        <v>181</v>
      </c>
      <c r="AD192" s="51" t="s">
        <v>67</v>
      </c>
      <c r="AE192" s="51" t="s">
        <v>63</v>
      </c>
      <c r="AF192" s="51" t="s">
        <v>70</v>
      </c>
      <c r="AG192" s="51" t="s">
        <v>71</v>
      </c>
      <c r="AH192" s="53">
        <v>42430</v>
      </c>
      <c r="AI192" s="51" t="s">
        <v>64</v>
      </c>
      <c r="AJ192" s="53">
        <v>42417</v>
      </c>
      <c r="AK192" s="51"/>
      <c r="AL192" s="51"/>
      <c r="AM192" s="51"/>
      <c r="AN192" s="51" t="s">
        <v>893</v>
      </c>
      <c r="AO192" s="51" t="s">
        <v>2448</v>
      </c>
    </row>
    <row r="193" spans="1:41" x14ac:dyDescent="0.2">
      <c r="A193" s="51">
        <v>10020738</v>
      </c>
      <c r="B193" s="51">
        <v>440</v>
      </c>
      <c r="C193" s="51" t="s">
        <v>26</v>
      </c>
      <c r="D193" s="51" t="s">
        <v>78</v>
      </c>
      <c r="E193" s="53">
        <v>42417</v>
      </c>
      <c r="F193" s="51">
        <v>93647044</v>
      </c>
      <c r="G193" s="51">
        <v>440</v>
      </c>
      <c r="H193" s="51">
        <v>1201315</v>
      </c>
      <c r="I193" s="51" t="s">
        <v>256</v>
      </c>
      <c r="J193" s="51">
        <v>1319408</v>
      </c>
      <c r="K193" s="51" t="s">
        <v>256</v>
      </c>
      <c r="L193" s="51">
        <v>1201315</v>
      </c>
      <c r="M193" s="51" t="s">
        <v>256</v>
      </c>
      <c r="N193" s="51">
        <v>5691171</v>
      </c>
      <c r="O193" s="51">
        <v>228263111</v>
      </c>
      <c r="P193" s="51" t="s">
        <v>1484</v>
      </c>
      <c r="Q193" s="51" t="s">
        <v>1322</v>
      </c>
      <c r="R193" s="51" t="s">
        <v>1485</v>
      </c>
      <c r="S193" s="51" t="s">
        <v>1331</v>
      </c>
      <c r="T193" s="51" t="s">
        <v>2495</v>
      </c>
      <c r="U193" s="51">
        <v>12</v>
      </c>
      <c r="V193" s="51">
        <v>12</v>
      </c>
      <c r="W193" s="51" t="s">
        <v>1332</v>
      </c>
      <c r="X193" s="51">
        <v>48.88</v>
      </c>
      <c r="Y193" s="51" t="s">
        <v>182</v>
      </c>
      <c r="Z193" s="51">
        <v>586.55999999999995</v>
      </c>
      <c r="AA193" s="51">
        <v>586.55999999999995</v>
      </c>
      <c r="AB193" s="51" t="s">
        <v>182</v>
      </c>
      <c r="AC193" s="51" t="s">
        <v>181</v>
      </c>
      <c r="AD193" s="51" t="s">
        <v>67</v>
      </c>
      <c r="AE193" s="51" t="s">
        <v>63</v>
      </c>
      <c r="AF193" s="51" t="s">
        <v>70</v>
      </c>
      <c r="AG193" s="51" t="s">
        <v>71</v>
      </c>
      <c r="AH193" s="53">
        <v>42430</v>
      </c>
      <c r="AI193" s="51" t="s">
        <v>64</v>
      </c>
      <c r="AJ193" s="53">
        <v>42417</v>
      </c>
      <c r="AK193" s="51"/>
      <c r="AL193" s="51"/>
      <c r="AM193" s="51"/>
      <c r="AN193" s="51" t="s">
        <v>893</v>
      </c>
      <c r="AO193" s="51" t="s">
        <v>2448</v>
      </c>
    </row>
    <row r="194" spans="1:41" x14ac:dyDescent="0.2">
      <c r="A194" s="51">
        <v>10020738</v>
      </c>
      <c r="B194" s="51">
        <v>450</v>
      </c>
      <c r="C194" s="51" t="s">
        <v>26</v>
      </c>
      <c r="D194" s="51" t="s">
        <v>78</v>
      </c>
      <c r="E194" s="53">
        <v>42417</v>
      </c>
      <c r="F194" s="51">
        <v>93647044</v>
      </c>
      <c r="G194" s="51">
        <v>450</v>
      </c>
      <c r="H194" s="51">
        <v>1201315</v>
      </c>
      <c r="I194" s="51" t="s">
        <v>256</v>
      </c>
      <c r="J194" s="51">
        <v>1319408</v>
      </c>
      <c r="K194" s="51" t="s">
        <v>256</v>
      </c>
      <c r="L194" s="51">
        <v>1201315</v>
      </c>
      <c r="M194" s="51" t="s">
        <v>256</v>
      </c>
      <c r="N194" s="51">
        <v>5691171</v>
      </c>
      <c r="O194" s="51">
        <v>591079605</v>
      </c>
      <c r="P194" s="51" t="s">
        <v>2496</v>
      </c>
      <c r="Q194" s="51" t="s">
        <v>1322</v>
      </c>
      <c r="R194" s="51" t="s">
        <v>2399</v>
      </c>
      <c r="S194" s="51" t="s">
        <v>1331</v>
      </c>
      <c r="T194" s="51">
        <v>3133219</v>
      </c>
      <c r="U194" s="51">
        <v>3</v>
      </c>
      <c r="V194" s="51">
        <v>3</v>
      </c>
      <c r="W194" s="51" t="s">
        <v>1332</v>
      </c>
      <c r="X194" s="51">
        <v>93.25</v>
      </c>
      <c r="Y194" s="51" t="s">
        <v>182</v>
      </c>
      <c r="Z194" s="51">
        <v>279.75</v>
      </c>
      <c r="AA194" s="51">
        <v>279.75</v>
      </c>
      <c r="AB194" s="51" t="s">
        <v>182</v>
      </c>
      <c r="AC194" s="51" t="s">
        <v>181</v>
      </c>
      <c r="AD194" s="51" t="s">
        <v>67</v>
      </c>
      <c r="AE194" s="51" t="s">
        <v>63</v>
      </c>
      <c r="AF194" s="51" t="s">
        <v>70</v>
      </c>
      <c r="AG194" s="51" t="s">
        <v>71</v>
      </c>
      <c r="AH194" s="53">
        <v>42430</v>
      </c>
      <c r="AI194" s="51" t="s">
        <v>64</v>
      </c>
      <c r="AJ194" s="53">
        <v>42417</v>
      </c>
      <c r="AK194" s="51"/>
      <c r="AL194" s="51"/>
      <c r="AM194" s="51"/>
      <c r="AN194" s="51" t="s">
        <v>893</v>
      </c>
      <c r="AO194" s="51" t="s">
        <v>2448</v>
      </c>
    </row>
    <row r="195" spans="1:41" x14ac:dyDescent="0.2">
      <c r="A195" s="51">
        <v>10020738</v>
      </c>
      <c r="B195" s="51">
        <v>460</v>
      </c>
      <c r="C195" s="51" t="s">
        <v>26</v>
      </c>
      <c r="D195" s="51" t="s">
        <v>78</v>
      </c>
      <c r="E195" s="53">
        <v>42417</v>
      </c>
      <c r="F195" s="51">
        <v>93647044</v>
      </c>
      <c r="G195" s="51">
        <v>460</v>
      </c>
      <c r="H195" s="51">
        <v>1201315</v>
      </c>
      <c r="I195" s="51" t="s">
        <v>256</v>
      </c>
      <c r="J195" s="51">
        <v>1319408</v>
      </c>
      <c r="K195" s="51" t="s">
        <v>256</v>
      </c>
      <c r="L195" s="51">
        <v>1201315</v>
      </c>
      <c r="M195" s="51" t="s">
        <v>256</v>
      </c>
      <c r="N195" s="51">
        <v>5691171</v>
      </c>
      <c r="O195" s="51">
        <v>591320630</v>
      </c>
      <c r="P195" s="51" t="s">
        <v>2497</v>
      </c>
      <c r="Q195" s="51" t="s">
        <v>1322</v>
      </c>
      <c r="R195" s="51" t="s">
        <v>2498</v>
      </c>
      <c r="S195" s="51" t="s">
        <v>1331</v>
      </c>
      <c r="T195" s="51" t="s">
        <v>2499</v>
      </c>
      <c r="U195" s="51">
        <v>12</v>
      </c>
      <c r="V195" s="51">
        <v>12</v>
      </c>
      <c r="W195" s="51" t="s">
        <v>1332</v>
      </c>
      <c r="X195" s="51">
        <v>12.89</v>
      </c>
      <c r="Y195" s="51" t="s">
        <v>182</v>
      </c>
      <c r="Z195" s="51">
        <v>154.68</v>
      </c>
      <c r="AA195" s="51">
        <v>154.68</v>
      </c>
      <c r="AB195" s="51" t="s">
        <v>182</v>
      </c>
      <c r="AC195" s="51" t="s">
        <v>181</v>
      </c>
      <c r="AD195" s="51" t="s">
        <v>67</v>
      </c>
      <c r="AE195" s="51" t="s">
        <v>63</v>
      </c>
      <c r="AF195" s="51" t="s">
        <v>70</v>
      </c>
      <c r="AG195" s="51" t="s">
        <v>71</v>
      </c>
      <c r="AH195" s="53">
        <v>42430</v>
      </c>
      <c r="AI195" s="51" t="s">
        <v>64</v>
      </c>
      <c r="AJ195" s="53">
        <v>42417</v>
      </c>
      <c r="AK195" s="51"/>
      <c r="AL195" s="51"/>
      <c r="AM195" s="51"/>
      <c r="AN195" s="51" t="s">
        <v>893</v>
      </c>
      <c r="AO195" s="51" t="s">
        <v>2448</v>
      </c>
    </row>
    <row r="196" spans="1:41" x14ac:dyDescent="0.2">
      <c r="A196" s="51">
        <v>10020738</v>
      </c>
      <c r="B196" s="51">
        <v>470</v>
      </c>
      <c r="C196" s="51" t="s">
        <v>26</v>
      </c>
      <c r="D196" s="51" t="s">
        <v>78</v>
      </c>
      <c r="E196" s="53">
        <v>42417</v>
      </c>
      <c r="F196" s="51">
        <v>93647044</v>
      </c>
      <c r="G196" s="51">
        <v>470</v>
      </c>
      <c r="H196" s="51">
        <v>1201315</v>
      </c>
      <c r="I196" s="51" t="s">
        <v>256</v>
      </c>
      <c r="J196" s="51">
        <v>1319408</v>
      </c>
      <c r="K196" s="51" t="s">
        <v>256</v>
      </c>
      <c r="L196" s="51">
        <v>1201315</v>
      </c>
      <c r="M196" s="51" t="s">
        <v>256</v>
      </c>
      <c r="N196" s="51">
        <v>5691171</v>
      </c>
      <c r="O196" s="51">
        <v>472040015</v>
      </c>
      <c r="P196" s="51" t="s">
        <v>2111</v>
      </c>
      <c r="Q196" s="51" t="s">
        <v>1322</v>
      </c>
      <c r="R196" s="51" t="s">
        <v>2285</v>
      </c>
      <c r="S196" s="51" t="s">
        <v>1331</v>
      </c>
      <c r="T196" s="51">
        <v>66500019</v>
      </c>
      <c r="U196" s="51">
        <v>12</v>
      </c>
      <c r="V196" s="51">
        <v>12</v>
      </c>
      <c r="W196" s="51" t="s">
        <v>1332</v>
      </c>
      <c r="X196" s="51">
        <v>102.58</v>
      </c>
      <c r="Y196" s="51" t="s">
        <v>182</v>
      </c>
      <c r="Z196" s="54">
        <v>1230.96</v>
      </c>
      <c r="AA196" s="54">
        <v>1230.96</v>
      </c>
      <c r="AB196" s="51" t="s">
        <v>182</v>
      </c>
      <c r="AC196" s="51" t="s">
        <v>181</v>
      </c>
      <c r="AD196" s="51" t="s">
        <v>67</v>
      </c>
      <c r="AE196" s="51" t="s">
        <v>63</v>
      </c>
      <c r="AF196" s="51" t="s">
        <v>70</v>
      </c>
      <c r="AG196" s="51" t="s">
        <v>71</v>
      </c>
      <c r="AH196" s="53">
        <v>42430</v>
      </c>
      <c r="AI196" s="51" t="s">
        <v>64</v>
      </c>
      <c r="AJ196" s="53">
        <v>42417</v>
      </c>
      <c r="AK196" s="51"/>
      <c r="AL196" s="51"/>
      <c r="AM196" s="51"/>
      <c r="AN196" s="51" t="s">
        <v>893</v>
      </c>
      <c r="AO196" s="51" t="s">
        <v>2448</v>
      </c>
    </row>
    <row r="197" spans="1:41" x14ac:dyDescent="0.2">
      <c r="A197" s="51">
        <v>10020738</v>
      </c>
      <c r="B197" s="51">
        <v>480</v>
      </c>
      <c r="C197" s="51" t="s">
        <v>26</v>
      </c>
      <c r="D197" s="51" t="s">
        <v>78</v>
      </c>
      <c r="E197" s="53">
        <v>42417</v>
      </c>
      <c r="F197" s="51">
        <v>93647044</v>
      </c>
      <c r="G197" s="51">
        <v>480</v>
      </c>
      <c r="H197" s="51">
        <v>1201315</v>
      </c>
      <c r="I197" s="51" t="s">
        <v>256</v>
      </c>
      <c r="J197" s="51">
        <v>1319408</v>
      </c>
      <c r="K197" s="51" t="s">
        <v>256</v>
      </c>
      <c r="L197" s="51">
        <v>1201315</v>
      </c>
      <c r="M197" s="51" t="s">
        <v>256</v>
      </c>
      <c r="N197" s="51">
        <v>5691171</v>
      </c>
      <c r="O197" s="51">
        <v>591111810</v>
      </c>
      <c r="P197" s="51" t="s">
        <v>1960</v>
      </c>
      <c r="Q197" s="51" t="s">
        <v>1322</v>
      </c>
      <c r="R197" s="51" t="s">
        <v>1961</v>
      </c>
      <c r="S197" s="51" t="s">
        <v>1331</v>
      </c>
      <c r="T197" s="51"/>
      <c r="U197" s="51">
        <v>6</v>
      </c>
      <c r="V197" s="51">
        <v>6</v>
      </c>
      <c r="W197" s="51" t="s">
        <v>1332</v>
      </c>
      <c r="X197" s="51">
        <v>337.5</v>
      </c>
      <c r="Y197" s="51" t="s">
        <v>182</v>
      </c>
      <c r="Z197" s="54">
        <v>2025</v>
      </c>
      <c r="AA197" s="54">
        <v>2025</v>
      </c>
      <c r="AB197" s="51" t="s">
        <v>182</v>
      </c>
      <c r="AC197" s="51" t="s">
        <v>181</v>
      </c>
      <c r="AD197" s="51" t="s">
        <v>67</v>
      </c>
      <c r="AE197" s="51" t="s">
        <v>63</v>
      </c>
      <c r="AF197" s="51" t="s">
        <v>70</v>
      </c>
      <c r="AG197" s="51" t="s">
        <v>71</v>
      </c>
      <c r="AH197" s="53">
        <v>42430</v>
      </c>
      <c r="AI197" s="51" t="s">
        <v>64</v>
      </c>
      <c r="AJ197" s="53">
        <v>42417</v>
      </c>
      <c r="AK197" s="51"/>
      <c r="AL197" s="51"/>
      <c r="AM197" s="51"/>
      <c r="AN197" s="51" t="s">
        <v>893</v>
      </c>
      <c r="AO197" s="51" t="s">
        <v>2448</v>
      </c>
    </row>
    <row r="198" spans="1:41" x14ac:dyDescent="0.2">
      <c r="A198" s="51">
        <v>10020738</v>
      </c>
      <c r="B198" s="51">
        <v>490</v>
      </c>
      <c r="C198" s="51" t="s">
        <v>26</v>
      </c>
      <c r="D198" s="51" t="s">
        <v>78</v>
      </c>
      <c r="E198" s="53">
        <v>42417</v>
      </c>
      <c r="F198" s="51">
        <v>93647044</v>
      </c>
      <c r="G198" s="51">
        <v>490</v>
      </c>
      <c r="H198" s="51">
        <v>1201315</v>
      </c>
      <c r="I198" s="51" t="s">
        <v>256</v>
      </c>
      <c r="J198" s="51">
        <v>1319408</v>
      </c>
      <c r="K198" s="51" t="s">
        <v>256</v>
      </c>
      <c r="L198" s="51">
        <v>1201315</v>
      </c>
      <c r="M198" s="51" t="s">
        <v>256</v>
      </c>
      <c r="N198" s="51">
        <v>5691171</v>
      </c>
      <c r="O198" s="51">
        <v>591081083</v>
      </c>
      <c r="P198" s="51" t="s">
        <v>2500</v>
      </c>
      <c r="Q198" s="51" t="s">
        <v>1322</v>
      </c>
      <c r="R198" s="51" t="s">
        <v>2322</v>
      </c>
      <c r="S198" s="51" t="s">
        <v>1331</v>
      </c>
      <c r="T198" s="51" t="s">
        <v>2501</v>
      </c>
      <c r="U198" s="51">
        <v>12</v>
      </c>
      <c r="V198" s="51">
        <v>12</v>
      </c>
      <c r="W198" s="51" t="s">
        <v>1332</v>
      </c>
      <c r="X198" s="51">
        <v>7.49</v>
      </c>
      <c r="Y198" s="51" t="s">
        <v>182</v>
      </c>
      <c r="Z198" s="51">
        <v>89.88</v>
      </c>
      <c r="AA198" s="51">
        <v>89.88</v>
      </c>
      <c r="AB198" s="51" t="s">
        <v>182</v>
      </c>
      <c r="AC198" s="51" t="s">
        <v>181</v>
      </c>
      <c r="AD198" s="51" t="s">
        <v>67</v>
      </c>
      <c r="AE198" s="51" t="s">
        <v>63</v>
      </c>
      <c r="AF198" s="51" t="s">
        <v>70</v>
      </c>
      <c r="AG198" s="51" t="s">
        <v>71</v>
      </c>
      <c r="AH198" s="53">
        <v>42430</v>
      </c>
      <c r="AI198" s="51" t="s">
        <v>64</v>
      </c>
      <c r="AJ198" s="53">
        <v>42417</v>
      </c>
      <c r="AK198" s="51"/>
      <c r="AL198" s="51"/>
      <c r="AM198" s="51"/>
      <c r="AN198" s="51" t="s">
        <v>893</v>
      </c>
      <c r="AO198" s="51" t="s">
        <v>2448</v>
      </c>
    </row>
    <row r="199" spans="1:41" x14ac:dyDescent="0.2">
      <c r="A199" s="51">
        <v>10020738</v>
      </c>
      <c r="B199" s="51">
        <v>500</v>
      </c>
      <c r="C199" s="51" t="s">
        <v>26</v>
      </c>
      <c r="D199" s="51" t="s">
        <v>78</v>
      </c>
      <c r="E199" s="53">
        <v>42417</v>
      </c>
      <c r="F199" s="51">
        <v>93647044</v>
      </c>
      <c r="G199" s="51">
        <v>500</v>
      </c>
      <c r="H199" s="51">
        <v>1201315</v>
      </c>
      <c r="I199" s="51" t="s">
        <v>256</v>
      </c>
      <c r="J199" s="51">
        <v>1319408</v>
      </c>
      <c r="K199" s="51" t="s">
        <v>256</v>
      </c>
      <c r="L199" s="51">
        <v>1201315</v>
      </c>
      <c r="M199" s="51" t="s">
        <v>256</v>
      </c>
      <c r="N199" s="51">
        <v>5691171</v>
      </c>
      <c r="O199" s="51">
        <v>591060701</v>
      </c>
      <c r="P199" s="51" t="s">
        <v>2502</v>
      </c>
      <c r="Q199" s="51" t="s">
        <v>1322</v>
      </c>
      <c r="R199" s="51" t="s">
        <v>2346</v>
      </c>
      <c r="S199" s="51" t="s">
        <v>1331</v>
      </c>
      <c r="T199" s="51" t="s">
        <v>2503</v>
      </c>
      <c r="U199" s="51">
        <v>12</v>
      </c>
      <c r="V199" s="51">
        <v>12</v>
      </c>
      <c r="W199" s="51" t="s">
        <v>1332</v>
      </c>
      <c r="X199" s="51">
        <v>77.459999999999994</v>
      </c>
      <c r="Y199" s="51" t="s">
        <v>182</v>
      </c>
      <c r="Z199" s="51">
        <v>929.52</v>
      </c>
      <c r="AA199" s="51">
        <v>929.52</v>
      </c>
      <c r="AB199" s="51" t="s">
        <v>182</v>
      </c>
      <c r="AC199" s="51" t="s">
        <v>181</v>
      </c>
      <c r="AD199" s="51" t="s">
        <v>67</v>
      </c>
      <c r="AE199" s="51" t="s">
        <v>63</v>
      </c>
      <c r="AF199" s="51" t="s">
        <v>70</v>
      </c>
      <c r="AG199" s="51" t="s">
        <v>71</v>
      </c>
      <c r="AH199" s="53">
        <v>42430</v>
      </c>
      <c r="AI199" s="51" t="s">
        <v>64</v>
      </c>
      <c r="AJ199" s="53">
        <v>42417</v>
      </c>
      <c r="AK199" s="51"/>
      <c r="AL199" s="51"/>
      <c r="AM199" s="51"/>
      <c r="AN199" s="51" t="s">
        <v>893</v>
      </c>
      <c r="AO199" s="51" t="s">
        <v>2448</v>
      </c>
    </row>
    <row r="200" spans="1:41" x14ac:dyDescent="0.2">
      <c r="A200" s="51">
        <v>10020740</v>
      </c>
      <c r="B200" s="51">
        <v>270</v>
      </c>
      <c r="C200" s="51" t="s">
        <v>26</v>
      </c>
      <c r="D200" s="51" t="s">
        <v>78</v>
      </c>
      <c r="E200" s="53">
        <v>42418</v>
      </c>
      <c r="F200" s="51">
        <v>93688898</v>
      </c>
      <c r="G200" s="51">
        <v>270</v>
      </c>
      <c r="H200" s="51">
        <v>1057544</v>
      </c>
      <c r="I200" s="51" t="s">
        <v>363</v>
      </c>
      <c r="J200" s="51">
        <v>1327308</v>
      </c>
      <c r="K200" s="51" t="s">
        <v>363</v>
      </c>
      <c r="L200" s="51">
        <v>1057544</v>
      </c>
      <c r="M200" s="51" t="s">
        <v>363</v>
      </c>
      <c r="N200" s="51">
        <v>8126998</v>
      </c>
      <c r="O200" s="51">
        <v>591067601</v>
      </c>
      <c r="P200" s="51" t="s">
        <v>2504</v>
      </c>
      <c r="Q200" s="51" t="s">
        <v>1322</v>
      </c>
      <c r="R200" s="51" t="s">
        <v>2505</v>
      </c>
      <c r="S200" s="51" t="s">
        <v>1331</v>
      </c>
      <c r="T200" s="51">
        <v>1511074</v>
      </c>
      <c r="U200" s="51">
        <v>36</v>
      </c>
      <c r="V200" s="51">
        <v>2</v>
      </c>
      <c r="W200" s="51" t="s">
        <v>1332</v>
      </c>
      <c r="X200" s="51">
        <v>157.5</v>
      </c>
      <c r="Y200" s="51" t="s">
        <v>182</v>
      </c>
      <c r="Z200" s="54">
        <v>5670</v>
      </c>
      <c r="AA200" s="51">
        <v>315</v>
      </c>
      <c r="AB200" s="51" t="s">
        <v>182</v>
      </c>
      <c r="AC200" s="51" t="s">
        <v>181</v>
      </c>
      <c r="AD200" s="51" t="s">
        <v>97</v>
      </c>
      <c r="AE200" s="51" t="s">
        <v>63</v>
      </c>
      <c r="AF200" s="51" t="s">
        <v>94</v>
      </c>
      <c r="AG200" s="51" t="s">
        <v>95</v>
      </c>
      <c r="AH200" s="53">
        <v>42418</v>
      </c>
      <c r="AI200" s="51" t="s">
        <v>64</v>
      </c>
      <c r="AJ200" s="53">
        <v>42418</v>
      </c>
      <c r="AK200" s="51"/>
      <c r="AL200" s="51"/>
      <c r="AM200" s="51"/>
      <c r="AN200" s="51" t="s">
        <v>96</v>
      </c>
      <c r="AO200" s="51" t="s">
        <v>2506</v>
      </c>
    </row>
    <row r="201" spans="1:41" x14ac:dyDescent="0.2">
      <c r="A201" s="51">
        <v>10020742</v>
      </c>
      <c r="B201" s="51">
        <v>370</v>
      </c>
      <c r="C201" s="51" t="s">
        <v>26</v>
      </c>
      <c r="D201" s="51" t="s">
        <v>78</v>
      </c>
      <c r="E201" s="53">
        <v>42418</v>
      </c>
      <c r="F201" s="51">
        <v>93686478</v>
      </c>
      <c r="G201" s="51">
        <v>370</v>
      </c>
      <c r="H201" s="51">
        <v>1201675</v>
      </c>
      <c r="I201" s="51" t="s">
        <v>165</v>
      </c>
      <c r="J201" s="51">
        <v>1201675</v>
      </c>
      <c r="K201" s="51" t="s">
        <v>165</v>
      </c>
      <c r="L201" s="51">
        <v>1172015</v>
      </c>
      <c r="M201" s="51" t="s">
        <v>165</v>
      </c>
      <c r="N201" s="51" t="s">
        <v>2507</v>
      </c>
      <c r="O201" s="51">
        <v>52544089228</v>
      </c>
      <c r="P201" s="51" t="s">
        <v>1996</v>
      </c>
      <c r="Q201" s="51" t="s">
        <v>1344</v>
      </c>
      <c r="R201" s="51" t="s">
        <v>1997</v>
      </c>
      <c r="S201" s="51" t="s">
        <v>1331</v>
      </c>
      <c r="T201" s="51" t="s">
        <v>2508</v>
      </c>
      <c r="U201" s="51">
        <v>12</v>
      </c>
      <c r="V201" s="51">
        <v>1</v>
      </c>
      <c r="W201" s="51" t="s">
        <v>1332</v>
      </c>
      <c r="X201" s="51">
        <v>149.31</v>
      </c>
      <c r="Y201" s="51" t="s">
        <v>182</v>
      </c>
      <c r="Z201" s="54">
        <v>1791.72</v>
      </c>
      <c r="AA201" s="51">
        <v>149.31</v>
      </c>
      <c r="AB201" s="51" t="s">
        <v>182</v>
      </c>
      <c r="AC201" s="51" t="s">
        <v>181</v>
      </c>
      <c r="AD201" s="51" t="s">
        <v>97</v>
      </c>
      <c r="AE201" s="51" t="s">
        <v>63</v>
      </c>
      <c r="AF201" s="51" t="s">
        <v>94</v>
      </c>
      <c r="AG201" s="51" t="s">
        <v>95</v>
      </c>
      <c r="AH201" s="53">
        <v>42418</v>
      </c>
      <c r="AI201" s="51" t="s">
        <v>64</v>
      </c>
      <c r="AJ201" s="53">
        <v>42418</v>
      </c>
      <c r="AK201" s="51"/>
      <c r="AL201" s="51"/>
      <c r="AM201" s="51"/>
      <c r="AN201" s="51" t="s">
        <v>96</v>
      </c>
      <c r="AO201" s="51" t="s">
        <v>2509</v>
      </c>
    </row>
    <row r="202" spans="1:41" x14ac:dyDescent="0.2">
      <c r="A202" s="51">
        <v>10020743</v>
      </c>
      <c r="B202" s="51">
        <v>110</v>
      </c>
      <c r="C202" s="51" t="s">
        <v>26</v>
      </c>
      <c r="D202" s="51" t="s">
        <v>78</v>
      </c>
      <c r="E202" s="53">
        <v>42418</v>
      </c>
      <c r="F202" s="51">
        <v>93648206</v>
      </c>
      <c r="G202" s="51">
        <v>110</v>
      </c>
      <c r="H202" s="51">
        <v>1201315</v>
      </c>
      <c r="I202" s="51" t="s">
        <v>256</v>
      </c>
      <c r="J202" s="51">
        <v>1319408</v>
      </c>
      <c r="K202" s="51" t="s">
        <v>256</v>
      </c>
      <c r="L202" s="51">
        <v>1201315</v>
      </c>
      <c r="M202" s="51" t="s">
        <v>256</v>
      </c>
      <c r="N202" s="51">
        <v>5691171</v>
      </c>
      <c r="O202" s="51">
        <v>591267930</v>
      </c>
      <c r="P202" s="51" t="s">
        <v>1528</v>
      </c>
      <c r="Q202" s="51" t="s">
        <v>1322</v>
      </c>
      <c r="R202" s="51" t="s">
        <v>1443</v>
      </c>
      <c r="S202" s="51" t="s">
        <v>1331</v>
      </c>
      <c r="T202" s="51" t="s">
        <v>2016</v>
      </c>
      <c r="U202" s="51">
        <v>12</v>
      </c>
      <c r="V202" s="51">
        <v>12</v>
      </c>
      <c r="W202" s="51" t="s">
        <v>1332</v>
      </c>
      <c r="X202" s="51">
        <v>224.65</v>
      </c>
      <c r="Y202" s="51" t="s">
        <v>182</v>
      </c>
      <c r="Z202" s="54">
        <v>2695.8</v>
      </c>
      <c r="AA202" s="54">
        <v>2695.8</v>
      </c>
      <c r="AB202" s="51" t="s">
        <v>182</v>
      </c>
      <c r="AC202" s="51" t="s">
        <v>181</v>
      </c>
      <c r="AD202" s="51" t="s">
        <v>97</v>
      </c>
      <c r="AE202" s="51" t="s">
        <v>63</v>
      </c>
      <c r="AF202" s="51" t="s">
        <v>81</v>
      </c>
      <c r="AG202" s="51" t="s">
        <v>88</v>
      </c>
      <c r="AH202" s="53">
        <v>42424</v>
      </c>
      <c r="AI202" s="51" t="s">
        <v>64</v>
      </c>
      <c r="AJ202" s="53">
        <v>42418</v>
      </c>
      <c r="AK202" s="51"/>
      <c r="AL202" s="51"/>
      <c r="AM202" s="51"/>
      <c r="AN202" s="51" t="s">
        <v>89</v>
      </c>
      <c r="AO202" s="51" t="s">
        <v>2510</v>
      </c>
    </row>
    <row r="203" spans="1:41" x14ac:dyDescent="0.2">
      <c r="A203" s="51">
        <v>10020746</v>
      </c>
      <c r="B203" s="51">
        <v>820</v>
      </c>
      <c r="C203" s="51" t="s">
        <v>18</v>
      </c>
      <c r="D203" s="51" t="s">
        <v>78</v>
      </c>
      <c r="E203" s="53">
        <v>42419</v>
      </c>
      <c r="F203" s="51">
        <v>93690459</v>
      </c>
      <c r="G203" s="51">
        <v>820</v>
      </c>
      <c r="H203" s="51">
        <v>1201120</v>
      </c>
      <c r="I203" s="51" t="s">
        <v>117</v>
      </c>
      <c r="J203" s="51">
        <v>1307782</v>
      </c>
      <c r="K203" s="51" t="s">
        <v>119</v>
      </c>
      <c r="L203" s="51">
        <v>1171090</v>
      </c>
      <c r="M203" s="51" t="s">
        <v>118</v>
      </c>
      <c r="N203" s="51" t="s">
        <v>2405</v>
      </c>
      <c r="O203" s="51">
        <v>591222315</v>
      </c>
      <c r="P203" s="51" t="s">
        <v>2511</v>
      </c>
      <c r="Q203" s="51" t="s">
        <v>1322</v>
      </c>
      <c r="R203" s="51" t="s">
        <v>1874</v>
      </c>
      <c r="S203" s="51" t="s">
        <v>1331</v>
      </c>
      <c r="T203" s="51">
        <v>1155053</v>
      </c>
      <c r="U203" s="51">
        <v>300</v>
      </c>
      <c r="V203" s="51">
        <v>27</v>
      </c>
      <c r="W203" s="51" t="s">
        <v>1332</v>
      </c>
      <c r="X203" s="51">
        <v>131.88999999999999</v>
      </c>
      <c r="Y203" s="51" t="s">
        <v>182</v>
      </c>
      <c r="Z203" s="54">
        <v>39567</v>
      </c>
      <c r="AA203" s="54">
        <v>3561.03</v>
      </c>
      <c r="AB203" s="51" t="s">
        <v>182</v>
      </c>
      <c r="AC203" s="51" t="s">
        <v>181</v>
      </c>
      <c r="AD203" s="51" t="s">
        <v>97</v>
      </c>
      <c r="AE203" s="51" t="s">
        <v>63</v>
      </c>
      <c r="AF203" s="51" t="s">
        <v>70</v>
      </c>
      <c r="AG203" s="51" t="s">
        <v>76</v>
      </c>
      <c r="AH203" s="53">
        <v>42422</v>
      </c>
      <c r="AI203" s="51" t="s">
        <v>64</v>
      </c>
      <c r="AJ203" s="53">
        <v>42419</v>
      </c>
      <c r="AK203" s="51"/>
      <c r="AL203" s="51"/>
      <c r="AM203" s="51"/>
      <c r="AN203" s="51" t="s">
        <v>77</v>
      </c>
      <c r="AO203" s="51" t="s">
        <v>2512</v>
      </c>
    </row>
    <row r="204" spans="1:41" x14ac:dyDescent="0.2">
      <c r="A204" s="51">
        <v>10020747</v>
      </c>
      <c r="B204" s="51">
        <v>130</v>
      </c>
      <c r="C204" s="51" t="s">
        <v>18</v>
      </c>
      <c r="D204" s="51" t="s">
        <v>78</v>
      </c>
      <c r="E204" s="53">
        <v>42419</v>
      </c>
      <c r="F204" s="51">
        <v>93684551</v>
      </c>
      <c r="G204" s="51">
        <v>130</v>
      </c>
      <c r="H204" s="51">
        <v>1022013</v>
      </c>
      <c r="I204" s="51" t="s">
        <v>114</v>
      </c>
      <c r="J204" s="51">
        <v>1335507</v>
      </c>
      <c r="K204" s="51" t="s">
        <v>114</v>
      </c>
      <c r="L204" s="51">
        <v>1022013</v>
      </c>
      <c r="M204" s="51" t="s">
        <v>114</v>
      </c>
      <c r="N204" s="51">
        <v>77869</v>
      </c>
      <c r="O204" s="51">
        <v>591379730</v>
      </c>
      <c r="P204" s="51" t="s">
        <v>1917</v>
      </c>
      <c r="Q204" s="51" t="s">
        <v>1322</v>
      </c>
      <c r="R204" s="51" t="s">
        <v>1412</v>
      </c>
      <c r="S204" s="51" t="s">
        <v>1331</v>
      </c>
      <c r="T204" s="51"/>
      <c r="U204" s="51">
        <v>3576</v>
      </c>
      <c r="V204" s="51">
        <v>1</v>
      </c>
      <c r="W204" s="51" t="s">
        <v>1332</v>
      </c>
      <c r="X204" s="51">
        <v>2.5299999999999998</v>
      </c>
      <c r="Y204" s="51" t="s">
        <v>182</v>
      </c>
      <c r="Z204" s="54">
        <v>9047.2800000000007</v>
      </c>
      <c r="AA204" s="51">
        <v>2.5299999999999998</v>
      </c>
      <c r="AB204" s="51" t="s">
        <v>182</v>
      </c>
      <c r="AC204" s="51" t="s">
        <v>181</v>
      </c>
      <c r="AD204" s="51" t="s">
        <v>97</v>
      </c>
      <c r="AE204" s="51" t="s">
        <v>63</v>
      </c>
      <c r="AF204" s="51" t="s">
        <v>70</v>
      </c>
      <c r="AG204" s="51" t="s">
        <v>76</v>
      </c>
      <c r="AH204" s="53">
        <v>42422</v>
      </c>
      <c r="AI204" s="51" t="s">
        <v>64</v>
      </c>
      <c r="AJ204" s="53">
        <v>42419</v>
      </c>
      <c r="AK204" s="51"/>
      <c r="AL204" s="51"/>
      <c r="AM204" s="51"/>
      <c r="AN204" s="51" t="s">
        <v>77</v>
      </c>
      <c r="AO204" s="51" t="s">
        <v>211</v>
      </c>
    </row>
    <row r="205" spans="1:41" x14ac:dyDescent="0.2">
      <c r="A205" s="51">
        <v>10020747</v>
      </c>
      <c r="B205" s="51">
        <v>140</v>
      </c>
      <c r="C205" s="51" t="s">
        <v>18</v>
      </c>
      <c r="D205" s="51" t="s">
        <v>78</v>
      </c>
      <c r="E205" s="53">
        <v>42419</v>
      </c>
      <c r="F205" s="51">
        <v>93684551</v>
      </c>
      <c r="G205" s="51">
        <v>140</v>
      </c>
      <c r="H205" s="51">
        <v>1022013</v>
      </c>
      <c r="I205" s="51" t="s">
        <v>114</v>
      </c>
      <c r="J205" s="51">
        <v>1335507</v>
      </c>
      <c r="K205" s="51" t="s">
        <v>114</v>
      </c>
      <c r="L205" s="51">
        <v>1022013</v>
      </c>
      <c r="M205" s="51" t="s">
        <v>114</v>
      </c>
      <c r="N205" s="51">
        <v>77869</v>
      </c>
      <c r="O205" s="51">
        <v>591379783</v>
      </c>
      <c r="P205" s="51" t="s">
        <v>1674</v>
      </c>
      <c r="Q205" s="51" t="s">
        <v>1322</v>
      </c>
      <c r="R205" s="51" t="s">
        <v>1412</v>
      </c>
      <c r="S205" s="51" t="s">
        <v>1331</v>
      </c>
      <c r="T205" s="51"/>
      <c r="U205" s="51">
        <v>4584</v>
      </c>
      <c r="V205" s="51">
        <v>1</v>
      </c>
      <c r="W205" s="51" t="s">
        <v>1332</v>
      </c>
      <c r="X205" s="51">
        <v>2.11</v>
      </c>
      <c r="Y205" s="51" t="s">
        <v>182</v>
      </c>
      <c r="Z205" s="54">
        <v>9672.24</v>
      </c>
      <c r="AA205" s="51">
        <v>2.11</v>
      </c>
      <c r="AB205" s="51" t="s">
        <v>182</v>
      </c>
      <c r="AC205" s="51" t="s">
        <v>181</v>
      </c>
      <c r="AD205" s="51" t="s">
        <v>97</v>
      </c>
      <c r="AE205" s="51" t="s">
        <v>63</v>
      </c>
      <c r="AF205" s="51" t="s">
        <v>70</v>
      </c>
      <c r="AG205" s="51" t="s">
        <v>76</v>
      </c>
      <c r="AH205" s="53">
        <v>42422</v>
      </c>
      <c r="AI205" s="51" t="s">
        <v>64</v>
      </c>
      <c r="AJ205" s="53">
        <v>42419</v>
      </c>
      <c r="AK205" s="51"/>
      <c r="AL205" s="51"/>
      <c r="AM205" s="51"/>
      <c r="AN205" s="51" t="s">
        <v>77</v>
      </c>
      <c r="AO205" s="51" t="s">
        <v>211</v>
      </c>
    </row>
    <row r="206" spans="1:41" x14ac:dyDescent="0.2">
      <c r="A206" s="51">
        <v>10020748</v>
      </c>
      <c r="B206" s="51">
        <v>150</v>
      </c>
      <c r="C206" s="51" t="s">
        <v>26</v>
      </c>
      <c r="D206" s="51" t="s">
        <v>149</v>
      </c>
      <c r="E206" s="53">
        <v>42419</v>
      </c>
      <c r="F206" s="51">
        <v>93678962</v>
      </c>
      <c r="G206" s="51">
        <v>150</v>
      </c>
      <c r="H206" s="51">
        <v>1201047</v>
      </c>
      <c r="I206" s="51" t="s">
        <v>79</v>
      </c>
      <c r="J206" s="51">
        <v>1003713</v>
      </c>
      <c r="K206" s="51" t="s">
        <v>80</v>
      </c>
      <c r="L206" s="51">
        <v>1171089</v>
      </c>
      <c r="M206" s="51" t="s">
        <v>75</v>
      </c>
      <c r="N206" s="51">
        <v>32770241</v>
      </c>
      <c r="O206" s="51">
        <v>16252051501</v>
      </c>
      <c r="P206" s="51" t="s">
        <v>2393</v>
      </c>
      <c r="Q206" s="51" t="s">
        <v>1322</v>
      </c>
      <c r="R206" s="51" t="s">
        <v>2394</v>
      </c>
      <c r="S206" s="51" t="s">
        <v>1331</v>
      </c>
      <c r="T206" s="51" t="s">
        <v>2395</v>
      </c>
      <c r="U206" s="51">
        <v>180</v>
      </c>
      <c r="V206" s="51">
        <v>48</v>
      </c>
      <c r="W206" s="51" t="s">
        <v>1332</v>
      </c>
      <c r="X206" s="51">
        <v>86.04</v>
      </c>
      <c r="Y206" s="51" t="s">
        <v>182</v>
      </c>
      <c r="Z206" s="54">
        <v>15487.2</v>
      </c>
      <c r="AA206" s="54">
        <v>4129.92</v>
      </c>
      <c r="AB206" s="51" t="s">
        <v>182</v>
      </c>
      <c r="AC206" s="51" t="s">
        <v>181</v>
      </c>
      <c r="AD206" s="51" t="s">
        <v>97</v>
      </c>
      <c r="AE206" s="51" t="s">
        <v>63</v>
      </c>
      <c r="AF206" s="51" t="s">
        <v>94</v>
      </c>
      <c r="AG206" s="51" t="s">
        <v>95</v>
      </c>
      <c r="AH206" s="53">
        <v>42422</v>
      </c>
      <c r="AI206" s="51" t="s">
        <v>64</v>
      </c>
      <c r="AJ206" s="53">
        <v>42419</v>
      </c>
      <c r="AK206" s="51"/>
      <c r="AL206" s="51"/>
      <c r="AM206" s="51"/>
      <c r="AN206" s="51" t="s">
        <v>96</v>
      </c>
      <c r="AO206" s="51" t="s">
        <v>2396</v>
      </c>
    </row>
    <row r="207" spans="1:41" x14ac:dyDescent="0.2">
      <c r="A207" s="51">
        <v>10020749</v>
      </c>
      <c r="B207" s="51">
        <v>40</v>
      </c>
      <c r="C207" s="51" t="s">
        <v>26</v>
      </c>
      <c r="D207" s="51" t="s">
        <v>149</v>
      </c>
      <c r="E207" s="53">
        <v>42419</v>
      </c>
      <c r="F207" s="51">
        <v>93691311</v>
      </c>
      <c r="G207" s="51">
        <v>40</v>
      </c>
      <c r="H207" s="51">
        <v>1201047</v>
      </c>
      <c r="I207" s="51" t="s">
        <v>79</v>
      </c>
      <c r="J207" s="51">
        <v>1341515</v>
      </c>
      <c r="K207" s="51" t="s">
        <v>85</v>
      </c>
      <c r="L207" s="51">
        <v>1171089</v>
      </c>
      <c r="M207" s="51" t="s">
        <v>75</v>
      </c>
      <c r="N207" s="51">
        <v>14107756</v>
      </c>
      <c r="O207" s="51">
        <v>228287911</v>
      </c>
      <c r="P207" s="51" t="s">
        <v>2513</v>
      </c>
      <c r="Q207" s="51" t="s">
        <v>1322</v>
      </c>
      <c r="R207" s="51" t="s">
        <v>2514</v>
      </c>
      <c r="S207" s="51">
        <v>2</v>
      </c>
      <c r="T207" s="51"/>
      <c r="U207" s="51">
        <v>168</v>
      </c>
      <c r="V207" s="51">
        <v>24</v>
      </c>
      <c r="W207" s="51" t="s">
        <v>1332</v>
      </c>
      <c r="X207" s="51">
        <v>123.6</v>
      </c>
      <c r="Y207" s="51" t="s">
        <v>182</v>
      </c>
      <c r="Z207" s="54">
        <v>20764.8</v>
      </c>
      <c r="AA207" s="54">
        <v>2966.4</v>
      </c>
      <c r="AB207" s="51" t="s">
        <v>182</v>
      </c>
      <c r="AC207" s="51" t="s">
        <v>181</v>
      </c>
      <c r="AD207" s="51" t="s">
        <v>97</v>
      </c>
      <c r="AE207" s="51" t="s">
        <v>63</v>
      </c>
      <c r="AF207" s="51"/>
      <c r="AG207" s="51"/>
      <c r="AH207" s="51"/>
      <c r="AI207" s="51"/>
      <c r="AJ207" s="51"/>
      <c r="AK207" s="51"/>
      <c r="AL207" s="51"/>
      <c r="AM207" s="51"/>
      <c r="AN207" s="51"/>
      <c r="AO207" s="51"/>
    </row>
    <row r="208" spans="1:41" x14ac:dyDescent="0.2">
      <c r="A208" s="51">
        <v>10020750</v>
      </c>
      <c r="B208" s="51">
        <v>2430</v>
      </c>
      <c r="C208" s="51" t="s">
        <v>18</v>
      </c>
      <c r="D208" s="51" t="s">
        <v>149</v>
      </c>
      <c r="E208" s="53">
        <v>42419</v>
      </c>
      <c r="F208" s="51">
        <v>93690358</v>
      </c>
      <c r="G208" s="51">
        <v>2430</v>
      </c>
      <c r="H208" s="51">
        <v>1201047</v>
      </c>
      <c r="I208" s="51" t="s">
        <v>79</v>
      </c>
      <c r="J208" s="51">
        <v>1311671</v>
      </c>
      <c r="K208" s="51" t="s">
        <v>90</v>
      </c>
      <c r="L208" s="51">
        <v>1171089</v>
      </c>
      <c r="M208" s="51" t="s">
        <v>75</v>
      </c>
      <c r="N208" s="51">
        <v>21476363</v>
      </c>
      <c r="O208" s="51">
        <v>591377031</v>
      </c>
      <c r="P208" s="51" t="s">
        <v>2221</v>
      </c>
      <c r="Q208" s="51" t="s">
        <v>1322</v>
      </c>
      <c r="R208" s="51" t="s">
        <v>2222</v>
      </c>
      <c r="S208" s="51" t="s">
        <v>1331</v>
      </c>
      <c r="T208" s="51" t="s">
        <v>2223</v>
      </c>
      <c r="U208" s="51">
        <v>168</v>
      </c>
      <c r="V208" s="51">
        <v>7</v>
      </c>
      <c r="W208" s="51" t="s">
        <v>1332</v>
      </c>
      <c r="X208" s="51">
        <v>332.95</v>
      </c>
      <c r="Y208" s="51" t="s">
        <v>182</v>
      </c>
      <c r="Z208" s="54">
        <v>55935.6</v>
      </c>
      <c r="AA208" s="54">
        <v>2330.65</v>
      </c>
      <c r="AB208" s="51" t="s">
        <v>182</v>
      </c>
      <c r="AC208" s="51" t="s">
        <v>181</v>
      </c>
      <c r="AD208" s="51" t="s">
        <v>97</v>
      </c>
      <c r="AE208" s="51" t="s">
        <v>63</v>
      </c>
      <c r="AF208" s="51" t="s">
        <v>70</v>
      </c>
      <c r="AG208" s="51" t="s">
        <v>76</v>
      </c>
      <c r="AH208" s="53">
        <v>42422</v>
      </c>
      <c r="AI208" s="51" t="s">
        <v>64</v>
      </c>
      <c r="AJ208" s="53">
        <v>42419</v>
      </c>
      <c r="AK208" s="51"/>
      <c r="AL208" s="51"/>
      <c r="AM208" s="51"/>
      <c r="AN208" s="51" t="s">
        <v>77</v>
      </c>
      <c r="AO208" s="51" t="s">
        <v>1035</v>
      </c>
    </row>
    <row r="209" spans="1:41" x14ac:dyDescent="0.2">
      <c r="A209" s="51">
        <v>10020751</v>
      </c>
      <c r="B209" s="51">
        <v>110</v>
      </c>
      <c r="C209" s="51" t="s">
        <v>18</v>
      </c>
      <c r="D209" s="51" t="s">
        <v>78</v>
      </c>
      <c r="E209" s="53">
        <v>42419</v>
      </c>
      <c r="F209" s="51">
        <v>93689214</v>
      </c>
      <c r="G209" s="51">
        <v>110</v>
      </c>
      <c r="H209" s="51">
        <v>1201674</v>
      </c>
      <c r="I209" s="51" t="s">
        <v>371</v>
      </c>
      <c r="J209" s="51">
        <v>1201674</v>
      </c>
      <c r="K209" s="51" t="s">
        <v>371</v>
      </c>
      <c r="L209" s="51">
        <v>1201674</v>
      </c>
      <c r="M209" s="51" t="s">
        <v>371</v>
      </c>
      <c r="N209" s="51">
        <v>480953</v>
      </c>
      <c r="O209" s="51">
        <v>591379783</v>
      </c>
      <c r="P209" s="51" t="s">
        <v>1674</v>
      </c>
      <c r="Q209" s="51" t="s">
        <v>1322</v>
      </c>
      <c r="R209" s="51" t="s">
        <v>1412</v>
      </c>
      <c r="S209" s="51" t="s">
        <v>1331</v>
      </c>
      <c r="T209" s="51"/>
      <c r="U209" s="51">
        <v>432</v>
      </c>
      <c r="V209" s="51">
        <v>4</v>
      </c>
      <c r="W209" s="51" t="s">
        <v>1332</v>
      </c>
      <c r="X209" s="51">
        <v>4</v>
      </c>
      <c r="Y209" s="51" t="s">
        <v>182</v>
      </c>
      <c r="Z209" s="54">
        <v>1728</v>
      </c>
      <c r="AA209" s="51">
        <v>16</v>
      </c>
      <c r="AB209" s="51" t="s">
        <v>182</v>
      </c>
      <c r="AC209" s="51" t="s">
        <v>181</v>
      </c>
      <c r="AD209" s="51" t="s">
        <v>97</v>
      </c>
      <c r="AE209" s="51" t="s">
        <v>63</v>
      </c>
      <c r="AF209" s="51" t="s">
        <v>70</v>
      </c>
      <c r="AG209" s="51" t="s">
        <v>76</v>
      </c>
      <c r="AH209" s="53">
        <v>42422</v>
      </c>
      <c r="AI209" s="51" t="s">
        <v>64</v>
      </c>
      <c r="AJ209" s="53">
        <v>42419</v>
      </c>
      <c r="AK209" s="51"/>
      <c r="AL209" s="51"/>
      <c r="AM209" s="51"/>
      <c r="AN209" s="51" t="s">
        <v>77</v>
      </c>
      <c r="AO209" s="51" t="s">
        <v>355</v>
      </c>
    </row>
    <row r="210" spans="1:41" x14ac:dyDescent="0.2">
      <c r="A210" s="51">
        <v>10020753</v>
      </c>
      <c r="B210" s="51">
        <v>10</v>
      </c>
      <c r="C210" s="51" t="s">
        <v>24</v>
      </c>
      <c r="D210" s="51" t="s">
        <v>78</v>
      </c>
      <c r="E210" s="53">
        <v>42419</v>
      </c>
      <c r="F210" s="51">
        <v>93686401</v>
      </c>
      <c r="G210" s="51">
        <v>10</v>
      </c>
      <c r="H210" s="51">
        <v>1201399</v>
      </c>
      <c r="I210" s="51" t="s">
        <v>144</v>
      </c>
      <c r="J210" s="51">
        <v>1022143</v>
      </c>
      <c r="K210" s="51" t="s">
        <v>145</v>
      </c>
      <c r="L210" s="51">
        <v>1171970</v>
      </c>
      <c r="M210" s="51" t="s">
        <v>144</v>
      </c>
      <c r="N210" s="51">
        <v>8147657020</v>
      </c>
      <c r="O210" s="51">
        <v>472024260</v>
      </c>
      <c r="P210" s="51" t="s">
        <v>2445</v>
      </c>
      <c r="Q210" s="51" t="s">
        <v>1322</v>
      </c>
      <c r="R210" s="51" t="s">
        <v>2446</v>
      </c>
      <c r="S210" s="51" t="s">
        <v>1331</v>
      </c>
      <c r="T210" s="51" t="s">
        <v>2515</v>
      </c>
      <c r="U210" s="51">
        <v>1056</v>
      </c>
      <c r="V210" s="51">
        <v>4</v>
      </c>
      <c r="W210" s="51" t="s">
        <v>1332</v>
      </c>
      <c r="X210" s="51">
        <v>99</v>
      </c>
      <c r="Y210" s="51" t="s">
        <v>182</v>
      </c>
      <c r="Z210" s="54">
        <v>104544</v>
      </c>
      <c r="AA210" s="51">
        <v>396</v>
      </c>
      <c r="AB210" s="51" t="s">
        <v>182</v>
      </c>
      <c r="AC210" s="51" t="s">
        <v>181</v>
      </c>
      <c r="AD210" s="51" t="s">
        <v>67</v>
      </c>
      <c r="AE210" s="51" t="s">
        <v>63</v>
      </c>
      <c r="AF210" s="51" t="s">
        <v>70</v>
      </c>
      <c r="AG210" s="51" t="s">
        <v>76</v>
      </c>
      <c r="AH210" s="53">
        <v>42422</v>
      </c>
      <c r="AI210" s="51" t="s">
        <v>64</v>
      </c>
      <c r="AJ210" s="53">
        <v>42419</v>
      </c>
      <c r="AK210" s="51"/>
      <c r="AL210" s="51"/>
      <c r="AM210" s="51"/>
      <c r="AN210" s="51" t="s">
        <v>77</v>
      </c>
      <c r="AO210" s="51" t="s">
        <v>2516</v>
      </c>
    </row>
    <row r="211" spans="1:41" x14ac:dyDescent="0.2">
      <c r="A211" s="51">
        <v>10020754</v>
      </c>
      <c r="B211" s="51">
        <v>330</v>
      </c>
      <c r="C211" s="51" t="s">
        <v>26</v>
      </c>
      <c r="D211" s="51" t="s">
        <v>149</v>
      </c>
      <c r="E211" s="53">
        <v>42422</v>
      </c>
      <c r="F211" s="51">
        <v>93693266</v>
      </c>
      <c r="G211" s="51">
        <v>330</v>
      </c>
      <c r="H211" s="51">
        <v>1318826</v>
      </c>
      <c r="I211" s="51" t="s">
        <v>110</v>
      </c>
      <c r="J211" s="51">
        <v>1131869</v>
      </c>
      <c r="K211" s="51" t="s">
        <v>366</v>
      </c>
      <c r="L211" s="51">
        <v>1318826</v>
      </c>
      <c r="M211" s="51" t="s">
        <v>110</v>
      </c>
      <c r="N211" s="51">
        <v>3019750</v>
      </c>
      <c r="O211" s="51">
        <v>591288830</v>
      </c>
      <c r="P211" s="51" t="s">
        <v>1482</v>
      </c>
      <c r="Q211" s="51" t="s">
        <v>1322</v>
      </c>
      <c r="R211" s="51" t="s">
        <v>2517</v>
      </c>
      <c r="S211" s="51" t="s">
        <v>1331</v>
      </c>
      <c r="T211" s="51">
        <v>1602012.1</v>
      </c>
      <c r="U211" s="51">
        <v>288</v>
      </c>
      <c r="V211" s="51">
        <v>288</v>
      </c>
      <c r="W211" s="51" t="s">
        <v>1332</v>
      </c>
      <c r="X211" s="51">
        <v>5.53</v>
      </c>
      <c r="Y211" s="51" t="s">
        <v>182</v>
      </c>
      <c r="Z211" s="54">
        <v>1592.64</v>
      </c>
      <c r="AA211" s="54">
        <v>1592.64</v>
      </c>
      <c r="AB211" s="51" t="s">
        <v>182</v>
      </c>
      <c r="AC211" s="51" t="s">
        <v>181</v>
      </c>
      <c r="AD211" s="51" t="s">
        <v>102</v>
      </c>
      <c r="AE211" s="51" t="s">
        <v>69</v>
      </c>
      <c r="AF211" s="51" t="s">
        <v>94</v>
      </c>
      <c r="AG211" s="51" t="s">
        <v>71</v>
      </c>
      <c r="AH211" s="53">
        <v>42425</v>
      </c>
      <c r="AI211" s="51" t="s">
        <v>64</v>
      </c>
      <c r="AJ211" s="53">
        <v>42422</v>
      </c>
      <c r="AK211" s="51" t="s">
        <v>72</v>
      </c>
      <c r="AL211" s="51">
        <v>62087924</v>
      </c>
      <c r="AM211" s="53">
        <v>42425</v>
      </c>
      <c r="AN211" s="51" t="s">
        <v>96</v>
      </c>
      <c r="AO211" s="51" t="s">
        <v>2518</v>
      </c>
    </row>
    <row r="212" spans="1:41" x14ac:dyDescent="0.2">
      <c r="A212" s="51">
        <v>10020755</v>
      </c>
      <c r="B212" s="51">
        <v>1720</v>
      </c>
      <c r="C212" s="51" t="s">
        <v>26</v>
      </c>
      <c r="D212" s="51" t="s">
        <v>149</v>
      </c>
      <c r="E212" s="53">
        <v>42422</v>
      </c>
      <c r="F212" s="51">
        <v>93687403</v>
      </c>
      <c r="G212" s="51">
        <v>1720</v>
      </c>
      <c r="H212" s="51">
        <v>1201047</v>
      </c>
      <c r="I212" s="51" t="s">
        <v>79</v>
      </c>
      <c r="J212" s="51">
        <v>1051549</v>
      </c>
      <c r="K212" s="51" t="s">
        <v>85</v>
      </c>
      <c r="L212" s="51">
        <v>1171089</v>
      </c>
      <c r="M212" s="51" t="s">
        <v>75</v>
      </c>
      <c r="N212" s="51">
        <v>12923472</v>
      </c>
      <c r="O212" s="51">
        <v>62037086120</v>
      </c>
      <c r="P212" s="51" t="s">
        <v>1943</v>
      </c>
      <c r="Q212" s="51" t="s">
        <v>1322</v>
      </c>
      <c r="R212" s="51" t="s">
        <v>1944</v>
      </c>
      <c r="S212" s="51" t="s">
        <v>1331</v>
      </c>
      <c r="T212" s="51" t="s">
        <v>2519</v>
      </c>
      <c r="U212" s="51">
        <v>55</v>
      </c>
      <c r="V212" s="51">
        <v>5</v>
      </c>
      <c r="W212" s="51" t="s">
        <v>1332</v>
      </c>
      <c r="X212" s="51">
        <v>330</v>
      </c>
      <c r="Y212" s="51" t="s">
        <v>182</v>
      </c>
      <c r="Z212" s="54">
        <v>18150</v>
      </c>
      <c r="AA212" s="54">
        <v>1650</v>
      </c>
      <c r="AB212" s="51" t="s">
        <v>182</v>
      </c>
      <c r="AC212" s="51" t="s">
        <v>181</v>
      </c>
      <c r="AD212" s="51" t="s">
        <v>91</v>
      </c>
      <c r="AE212" s="51" t="s">
        <v>63</v>
      </c>
      <c r="AF212" s="51" t="s">
        <v>94</v>
      </c>
      <c r="AG212" s="51" t="s">
        <v>95</v>
      </c>
      <c r="AH212" s="53">
        <v>42422</v>
      </c>
      <c r="AI212" s="51" t="s">
        <v>64</v>
      </c>
      <c r="AJ212" s="53">
        <v>42422</v>
      </c>
      <c r="AK212" s="51"/>
      <c r="AL212" s="51"/>
      <c r="AM212" s="51"/>
      <c r="AN212" s="51" t="s">
        <v>96</v>
      </c>
      <c r="AO212" s="51" t="s">
        <v>2520</v>
      </c>
    </row>
    <row r="213" spans="1:41" x14ac:dyDescent="0.2">
      <c r="A213" s="51">
        <v>10020756</v>
      </c>
      <c r="B213" s="51">
        <v>1400</v>
      </c>
      <c r="C213" s="51" t="s">
        <v>26</v>
      </c>
      <c r="D213" s="51" t="s">
        <v>149</v>
      </c>
      <c r="E213" s="53">
        <v>42422</v>
      </c>
      <c r="F213" s="51">
        <v>93690374</v>
      </c>
      <c r="G213" s="51">
        <v>1400</v>
      </c>
      <c r="H213" s="51">
        <v>1201047</v>
      </c>
      <c r="I213" s="51" t="s">
        <v>79</v>
      </c>
      <c r="J213" s="51">
        <v>1311671</v>
      </c>
      <c r="K213" s="51" t="s">
        <v>90</v>
      </c>
      <c r="L213" s="51">
        <v>1171089</v>
      </c>
      <c r="M213" s="51" t="s">
        <v>75</v>
      </c>
      <c r="N213" s="51">
        <v>21476363</v>
      </c>
      <c r="O213" s="51">
        <v>591555350</v>
      </c>
      <c r="P213" s="51" t="s">
        <v>2521</v>
      </c>
      <c r="Q213" s="51" t="s">
        <v>1322</v>
      </c>
      <c r="R213" s="51" t="s">
        <v>2522</v>
      </c>
      <c r="S213" s="51" t="s">
        <v>1331</v>
      </c>
      <c r="T213" s="51"/>
      <c r="U213" s="51">
        <v>720</v>
      </c>
      <c r="V213" s="51">
        <v>48</v>
      </c>
      <c r="W213" s="51" t="s">
        <v>1332</v>
      </c>
      <c r="X213" s="51">
        <v>136.75</v>
      </c>
      <c r="Y213" s="51" t="s">
        <v>182</v>
      </c>
      <c r="Z213" s="54">
        <v>98460</v>
      </c>
      <c r="AA213" s="54">
        <v>6564</v>
      </c>
      <c r="AB213" s="51" t="s">
        <v>182</v>
      </c>
      <c r="AC213" s="51" t="s">
        <v>181</v>
      </c>
      <c r="AD213" s="51" t="s">
        <v>91</v>
      </c>
      <c r="AE213" s="51" t="s">
        <v>63</v>
      </c>
      <c r="AF213" s="51"/>
      <c r="AG213" s="51"/>
      <c r="AH213" s="51"/>
      <c r="AI213" s="51" t="s">
        <v>64</v>
      </c>
      <c r="AJ213" s="53">
        <v>42422</v>
      </c>
      <c r="AK213" s="51"/>
      <c r="AL213" s="51"/>
      <c r="AM213" s="51"/>
      <c r="AN213" s="51"/>
      <c r="AO213" s="51"/>
    </row>
    <row r="214" spans="1:41" x14ac:dyDescent="0.2">
      <c r="A214" s="51">
        <v>10020757</v>
      </c>
      <c r="B214" s="51">
        <v>100</v>
      </c>
      <c r="C214" s="51" t="s">
        <v>18</v>
      </c>
      <c r="D214" s="51" t="s">
        <v>78</v>
      </c>
      <c r="E214" s="53">
        <v>42422</v>
      </c>
      <c r="F214" s="51">
        <v>93693956</v>
      </c>
      <c r="G214" s="51">
        <v>100</v>
      </c>
      <c r="H214" s="51">
        <v>1201120</v>
      </c>
      <c r="I214" s="51" t="s">
        <v>117</v>
      </c>
      <c r="J214" s="51">
        <v>1307782</v>
      </c>
      <c r="K214" s="51" t="s">
        <v>119</v>
      </c>
      <c r="L214" s="51">
        <v>1171090</v>
      </c>
      <c r="M214" s="51" t="s">
        <v>118</v>
      </c>
      <c r="N214" s="51" t="s">
        <v>2523</v>
      </c>
      <c r="O214" s="51">
        <v>591381730</v>
      </c>
      <c r="P214" s="51" t="s">
        <v>1373</v>
      </c>
      <c r="Q214" s="51" t="s">
        <v>1322</v>
      </c>
      <c r="R214" s="51" t="s">
        <v>1358</v>
      </c>
      <c r="S214" s="51" t="s">
        <v>1331</v>
      </c>
      <c r="T214" s="51"/>
      <c r="U214" s="51">
        <v>9222</v>
      </c>
      <c r="V214" s="51">
        <v>552</v>
      </c>
      <c r="W214" s="51" t="s">
        <v>1332</v>
      </c>
      <c r="X214" s="51">
        <v>12</v>
      </c>
      <c r="Y214" s="51" t="s">
        <v>182</v>
      </c>
      <c r="Z214" s="54">
        <v>110664</v>
      </c>
      <c r="AA214" s="54">
        <v>6624</v>
      </c>
      <c r="AB214" s="51" t="s">
        <v>182</v>
      </c>
      <c r="AC214" s="51" t="s">
        <v>181</v>
      </c>
      <c r="AD214" s="51" t="s">
        <v>123</v>
      </c>
      <c r="AE214" s="51" t="s">
        <v>63</v>
      </c>
      <c r="AF214" s="51" t="s">
        <v>70</v>
      </c>
      <c r="AG214" s="51" t="s">
        <v>71</v>
      </c>
      <c r="AH214" s="53">
        <v>42431</v>
      </c>
      <c r="AI214" s="51" t="s">
        <v>64</v>
      </c>
      <c r="AJ214" s="53">
        <v>42422</v>
      </c>
      <c r="AK214" s="51"/>
      <c r="AL214" s="51"/>
      <c r="AM214" s="51"/>
      <c r="AN214" s="51" t="s">
        <v>73</v>
      </c>
      <c r="AO214" s="51" t="s">
        <v>2524</v>
      </c>
    </row>
    <row r="215" spans="1:41" x14ac:dyDescent="0.2">
      <c r="A215" s="51">
        <v>10020757</v>
      </c>
      <c r="B215" s="51">
        <v>1530</v>
      </c>
      <c r="C215" s="51" t="s">
        <v>18</v>
      </c>
      <c r="D215" s="51" t="s">
        <v>78</v>
      </c>
      <c r="E215" s="53">
        <v>42422</v>
      </c>
      <c r="F215" s="51">
        <v>93693956</v>
      </c>
      <c r="G215" s="51">
        <v>1530</v>
      </c>
      <c r="H215" s="51">
        <v>1201120</v>
      </c>
      <c r="I215" s="51" t="s">
        <v>117</v>
      </c>
      <c r="J215" s="51">
        <v>1307782</v>
      </c>
      <c r="K215" s="51" t="s">
        <v>119</v>
      </c>
      <c r="L215" s="51">
        <v>1171090</v>
      </c>
      <c r="M215" s="51" t="s">
        <v>118</v>
      </c>
      <c r="N215" s="51" t="s">
        <v>2523</v>
      </c>
      <c r="O215" s="51">
        <v>591379860</v>
      </c>
      <c r="P215" s="51" t="s">
        <v>1580</v>
      </c>
      <c r="Q215" s="51" t="s">
        <v>1322</v>
      </c>
      <c r="R215" s="51" t="s">
        <v>1581</v>
      </c>
      <c r="S215" s="51" t="s">
        <v>1331</v>
      </c>
      <c r="T215" s="51"/>
      <c r="U215" s="51">
        <v>2304</v>
      </c>
      <c r="V215" s="51">
        <v>108</v>
      </c>
      <c r="W215" s="51" t="s">
        <v>1332</v>
      </c>
      <c r="X215" s="51">
        <v>9</v>
      </c>
      <c r="Y215" s="51" t="s">
        <v>182</v>
      </c>
      <c r="Z215" s="54">
        <v>20736</v>
      </c>
      <c r="AA215" s="51">
        <v>972</v>
      </c>
      <c r="AB215" s="51" t="s">
        <v>182</v>
      </c>
      <c r="AC215" s="51" t="s">
        <v>181</v>
      </c>
      <c r="AD215" s="51" t="s">
        <v>123</v>
      </c>
      <c r="AE215" s="51" t="s">
        <v>63</v>
      </c>
      <c r="AF215" s="51" t="s">
        <v>70</v>
      </c>
      <c r="AG215" s="51" t="s">
        <v>71</v>
      </c>
      <c r="AH215" s="53">
        <v>42431</v>
      </c>
      <c r="AI215" s="51" t="s">
        <v>64</v>
      </c>
      <c r="AJ215" s="53">
        <v>42422</v>
      </c>
      <c r="AK215" s="51"/>
      <c r="AL215" s="51"/>
      <c r="AM215" s="51"/>
      <c r="AN215" s="51" t="s">
        <v>73</v>
      </c>
      <c r="AO215" s="51" t="s">
        <v>2524</v>
      </c>
    </row>
    <row r="216" spans="1:41" x14ac:dyDescent="0.2">
      <c r="A216" s="51">
        <v>10020757</v>
      </c>
      <c r="B216" s="51">
        <v>1550</v>
      </c>
      <c r="C216" s="51" t="s">
        <v>18</v>
      </c>
      <c r="D216" s="51" t="s">
        <v>78</v>
      </c>
      <c r="E216" s="53">
        <v>42422</v>
      </c>
      <c r="F216" s="51">
        <v>93693956</v>
      </c>
      <c r="G216" s="51">
        <v>1550</v>
      </c>
      <c r="H216" s="51">
        <v>1201120</v>
      </c>
      <c r="I216" s="51" t="s">
        <v>117</v>
      </c>
      <c r="J216" s="51">
        <v>1307782</v>
      </c>
      <c r="K216" s="51" t="s">
        <v>119</v>
      </c>
      <c r="L216" s="51">
        <v>1171090</v>
      </c>
      <c r="M216" s="51" t="s">
        <v>118</v>
      </c>
      <c r="N216" s="51" t="s">
        <v>2523</v>
      </c>
      <c r="O216" s="51">
        <v>591379883</v>
      </c>
      <c r="P216" s="51" t="s">
        <v>1848</v>
      </c>
      <c r="Q216" s="51" t="s">
        <v>1322</v>
      </c>
      <c r="R216" s="51" t="s">
        <v>1581</v>
      </c>
      <c r="S216" s="51" t="s">
        <v>1331</v>
      </c>
      <c r="T216" s="51"/>
      <c r="U216" s="51">
        <v>3072</v>
      </c>
      <c r="V216" s="51">
        <v>72</v>
      </c>
      <c r="W216" s="51" t="s">
        <v>1332</v>
      </c>
      <c r="X216" s="51">
        <v>3.75</v>
      </c>
      <c r="Y216" s="51" t="s">
        <v>182</v>
      </c>
      <c r="Z216" s="54">
        <v>11520</v>
      </c>
      <c r="AA216" s="51">
        <v>270</v>
      </c>
      <c r="AB216" s="51" t="s">
        <v>182</v>
      </c>
      <c r="AC216" s="51" t="s">
        <v>181</v>
      </c>
      <c r="AD216" s="51" t="s">
        <v>123</v>
      </c>
      <c r="AE216" s="51" t="s">
        <v>63</v>
      </c>
      <c r="AF216" s="51" t="s">
        <v>70</v>
      </c>
      <c r="AG216" s="51" t="s">
        <v>71</v>
      </c>
      <c r="AH216" s="53">
        <v>42431</v>
      </c>
      <c r="AI216" s="51" t="s">
        <v>64</v>
      </c>
      <c r="AJ216" s="53">
        <v>42422</v>
      </c>
      <c r="AK216" s="51"/>
      <c r="AL216" s="51"/>
      <c r="AM216" s="51"/>
      <c r="AN216" s="51" t="s">
        <v>73</v>
      </c>
      <c r="AO216" s="51" t="s">
        <v>2524</v>
      </c>
    </row>
    <row r="217" spans="1:41" x14ac:dyDescent="0.2">
      <c r="A217" s="51">
        <v>10020758</v>
      </c>
      <c r="B217" s="51">
        <v>90</v>
      </c>
      <c r="C217" s="51" t="s">
        <v>18</v>
      </c>
      <c r="D217" s="51" t="s">
        <v>78</v>
      </c>
      <c r="E217" s="53">
        <v>42422</v>
      </c>
      <c r="F217" s="51">
        <v>93693958</v>
      </c>
      <c r="G217" s="51">
        <v>90</v>
      </c>
      <c r="H217" s="51">
        <v>1201120</v>
      </c>
      <c r="I217" s="51" t="s">
        <v>117</v>
      </c>
      <c r="J217" s="51">
        <v>1307782</v>
      </c>
      <c r="K217" s="51" t="s">
        <v>119</v>
      </c>
      <c r="L217" s="51">
        <v>1171090</v>
      </c>
      <c r="M217" s="51" t="s">
        <v>118</v>
      </c>
      <c r="N217" s="51" t="s">
        <v>2523</v>
      </c>
      <c r="O217" s="51">
        <v>591381760</v>
      </c>
      <c r="P217" s="51" t="s">
        <v>1357</v>
      </c>
      <c r="Q217" s="51" t="s">
        <v>1322</v>
      </c>
      <c r="R217" s="51" t="s">
        <v>1358</v>
      </c>
      <c r="S217" s="51" t="s">
        <v>1331</v>
      </c>
      <c r="T217" s="51"/>
      <c r="U217" s="51">
        <v>7200</v>
      </c>
      <c r="V217" s="51">
        <v>384</v>
      </c>
      <c r="W217" s="51" t="s">
        <v>1332</v>
      </c>
      <c r="X217" s="51">
        <v>24</v>
      </c>
      <c r="Y217" s="51" t="s">
        <v>182</v>
      </c>
      <c r="Z217" s="54">
        <v>172800</v>
      </c>
      <c r="AA217" s="54">
        <v>9216</v>
      </c>
      <c r="AB217" s="51" t="s">
        <v>182</v>
      </c>
      <c r="AC217" s="51" t="s">
        <v>181</v>
      </c>
      <c r="AD217" s="51" t="s">
        <v>91</v>
      </c>
      <c r="AE217" s="51" t="s">
        <v>63</v>
      </c>
      <c r="AF217" s="51" t="s">
        <v>70</v>
      </c>
      <c r="AG217" s="51" t="s">
        <v>71</v>
      </c>
      <c r="AH217" s="53">
        <v>42431</v>
      </c>
      <c r="AI217" s="51" t="s">
        <v>64</v>
      </c>
      <c r="AJ217" s="53">
        <v>42422</v>
      </c>
      <c r="AK217" s="51"/>
      <c r="AL217" s="51"/>
      <c r="AM217" s="51"/>
      <c r="AN217" s="51" t="s">
        <v>73</v>
      </c>
      <c r="AO217" s="51" t="s">
        <v>2525</v>
      </c>
    </row>
    <row r="218" spans="1:41" x14ac:dyDescent="0.2">
      <c r="A218" s="51">
        <v>10020759</v>
      </c>
      <c r="B218" s="51">
        <v>10</v>
      </c>
      <c r="C218" s="51" t="s">
        <v>18</v>
      </c>
      <c r="D218" s="51" t="s">
        <v>78</v>
      </c>
      <c r="E218" s="53">
        <v>42422</v>
      </c>
      <c r="F218" s="51">
        <v>93693027</v>
      </c>
      <c r="G218" s="51">
        <v>10</v>
      </c>
      <c r="H218" s="51">
        <v>1201120</v>
      </c>
      <c r="I218" s="51" t="s">
        <v>117</v>
      </c>
      <c r="J218" s="51">
        <v>1307782</v>
      </c>
      <c r="K218" s="51" t="s">
        <v>119</v>
      </c>
      <c r="L218" s="51">
        <v>1171090</v>
      </c>
      <c r="M218" s="51" t="s">
        <v>118</v>
      </c>
      <c r="N218" s="51" t="s">
        <v>2526</v>
      </c>
      <c r="O218" s="51">
        <v>228263650</v>
      </c>
      <c r="P218" s="51" t="s">
        <v>2527</v>
      </c>
      <c r="Q218" s="51" t="s">
        <v>1322</v>
      </c>
      <c r="R218" s="51" t="s">
        <v>2528</v>
      </c>
      <c r="S218" s="51" t="s">
        <v>1331</v>
      </c>
      <c r="T218" s="51" t="s">
        <v>2529</v>
      </c>
      <c r="U218" s="51">
        <v>282</v>
      </c>
      <c r="V218" s="51">
        <v>6</v>
      </c>
      <c r="W218" s="51" t="s">
        <v>1332</v>
      </c>
      <c r="X218" s="51">
        <v>324.60000000000002</v>
      </c>
      <c r="Y218" s="51" t="s">
        <v>182</v>
      </c>
      <c r="Z218" s="54">
        <v>91537.2</v>
      </c>
      <c r="AA218" s="54">
        <v>1947.6</v>
      </c>
      <c r="AB218" s="51" t="s">
        <v>182</v>
      </c>
      <c r="AC218" s="51" t="s">
        <v>181</v>
      </c>
      <c r="AD218" s="51" t="s">
        <v>102</v>
      </c>
      <c r="AE218" s="51" t="s">
        <v>63</v>
      </c>
      <c r="AF218" s="51" t="s">
        <v>70</v>
      </c>
      <c r="AG218" s="51" t="s">
        <v>76</v>
      </c>
      <c r="AH218" s="53">
        <v>42429</v>
      </c>
      <c r="AI218" s="51" t="s">
        <v>64</v>
      </c>
      <c r="AJ218" s="53">
        <v>42422</v>
      </c>
      <c r="AK218" s="51"/>
      <c r="AL218" s="51"/>
      <c r="AM218" s="51"/>
      <c r="AN218" s="51" t="s">
        <v>77</v>
      </c>
      <c r="AO218" s="51" t="s">
        <v>170</v>
      </c>
    </row>
    <row r="219" spans="1:41" x14ac:dyDescent="0.2">
      <c r="A219" s="51">
        <v>10020760</v>
      </c>
      <c r="B219" s="51">
        <v>180</v>
      </c>
      <c r="C219" s="51" t="s">
        <v>26</v>
      </c>
      <c r="D219" s="51" t="s">
        <v>149</v>
      </c>
      <c r="E219" s="53">
        <v>42422</v>
      </c>
      <c r="F219" s="51">
        <v>93687410</v>
      </c>
      <c r="G219" s="51">
        <v>180</v>
      </c>
      <c r="H219" s="51">
        <v>1201047</v>
      </c>
      <c r="I219" s="51" t="s">
        <v>79</v>
      </c>
      <c r="J219" s="51">
        <v>1300235</v>
      </c>
      <c r="K219" s="51" t="s">
        <v>109</v>
      </c>
      <c r="L219" s="51">
        <v>1171089</v>
      </c>
      <c r="M219" s="51" t="s">
        <v>75</v>
      </c>
      <c r="N219" s="51">
        <v>8383847</v>
      </c>
      <c r="O219" s="51">
        <v>228212910</v>
      </c>
      <c r="P219" s="51" t="s">
        <v>1676</v>
      </c>
      <c r="Q219" s="51" t="s">
        <v>1322</v>
      </c>
      <c r="R219" s="51" t="s">
        <v>1677</v>
      </c>
      <c r="S219" s="51" t="s">
        <v>1331</v>
      </c>
      <c r="T219" s="51" t="s">
        <v>2530</v>
      </c>
      <c r="U219" s="51">
        <v>48</v>
      </c>
      <c r="V219" s="51">
        <v>24</v>
      </c>
      <c r="W219" s="51" t="s">
        <v>1332</v>
      </c>
      <c r="X219" s="51">
        <v>6.46</v>
      </c>
      <c r="Y219" s="51" t="s">
        <v>182</v>
      </c>
      <c r="Z219" s="51">
        <v>310.08</v>
      </c>
      <c r="AA219" s="51">
        <v>155.04</v>
      </c>
      <c r="AB219" s="51" t="s">
        <v>182</v>
      </c>
      <c r="AC219" s="51" t="s">
        <v>181</v>
      </c>
      <c r="AD219" s="51" t="s">
        <v>91</v>
      </c>
      <c r="AE219" s="51" t="s">
        <v>63</v>
      </c>
      <c r="AF219" s="51"/>
      <c r="AG219" s="51"/>
      <c r="AH219" s="51"/>
      <c r="AI219" s="51" t="s">
        <v>64</v>
      </c>
      <c r="AJ219" s="53">
        <v>42422</v>
      </c>
      <c r="AK219" s="51"/>
      <c r="AL219" s="51"/>
      <c r="AM219" s="51"/>
      <c r="AN219" s="51"/>
      <c r="AO219" s="51"/>
    </row>
    <row r="220" spans="1:41" x14ac:dyDescent="0.2">
      <c r="A220" s="51">
        <v>10020761</v>
      </c>
      <c r="B220" s="51">
        <v>280</v>
      </c>
      <c r="C220" s="51" t="s">
        <v>18</v>
      </c>
      <c r="D220" s="51" t="s">
        <v>78</v>
      </c>
      <c r="E220" s="53">
        <v>42422</v>
      </c>
      <c r="F220" s="51">
        <v>93691505</v>
      </c>
      <c r="G220" s="51">
        <v>280</v>
      </c>
      <c r="H220" s="51">
        <v>1201698</v>
      </c>
      <c r="I220" s="51" t="s">
        <v>1795</v>
      </c>
      <c r="J220" s="51">
        <v>1201698</v>
      </c>
      <c r="K220" s="51" t="s">
        <v>1795</v>
      </c>
      <c r="L220" s="51">
        <v>1201698</v>
      </c>
      <c r="M220" s="51" t="s">
        <v>1795</v>
      </c>
      <c r="N220" s="51">
        <v>523222</v>
      </c>
      <c r="O220" s="51">
        <v>591335401</v>
      </c>
      <c r="P220" s="51" t="s">
        <v>2531</v>
      </c>
      <c r="Q220" s="51" t="s">
        <v>1322</v>
      </c>
      <c r="R220" s="51" t="s">
        <v>2532</v>
      </c>
      <c r="S220" s="51" t="s">
        <v>1331</v>
      </c>
      <c r="T220" s="51" t="s">
        <v>2533</v>
      </c>
      <c r="U220" s="51">
        <v>1</v>
      </c>
      <c r="V220" s="51">
        <v>1</v>
      </c>
      <c r="W220" s="51" t="s">
        <v>1332</v>
      </c>
      <c r="X220" s="51">
        <v>23.46</v>
      </c>
      <c r="Y220" s="51" t="s">
        <v>182</v>
      </c>
      <c r="Z220" s="51">
        <v>563.04</v>
      </c>
      <c r="AA220" s="51">
        <v>23.46</v>
      </c>
      <c r="AB220" s="51" t="s">
        <v>182</v>
      </c>
      <c r="AC220" s="51" t="s">
        <v>181</v>
      </c>
      <c r="AD220" s="51" t="s">
        <v>97</v>
      </c>
      <c r="AE220" s="51" t="s">
        <v>63</v>
      </c>
      <c r="AF220" s="51" t="s">
        <v>70</v>
      </c>
      <c r="AG220" s="51" t="s">
        <v>76</v>
      </c>
      <c r="AH220" s="53">
        <v>42429</v>
      </c>
      <c r="AI220" s="51" t="s">
        <v>64</v>
      </c>
      <c r="AJ220" s="53">
        <v>42422</v>
      </c>
      <c r="AK220" s="51"/>
      <c r="AL220" s="51"/>
      <c r="AM220" s="51"/>
      <c r="AN220" s="51" t="s">
        <v>77</v>
      </c>
      <c r="AO220" s="51" t="s">
        <v>196</v>
      </c>
    </row>
    <row r="221" spans="1:41" x14ac:dyDescent="0.2">
      <c r="A221" s="51">
        <v>10020762</v>
      </c>
      <c r="B221" s="51">
        <v>30</v>
      </c>
      <c r="C221" s="51" t="s">
        <v>18</v>
      </c>
      <c r="D221" s="51" t="s">
        <v>432</v>
      </c>
      <c r="E221" s="53">
        <v>42422</v>
      </c>
      <c r="F221" s="51">
        <v>93689122</v>
      </c>
      <c r="G221" s="51">
        <v>30</v>
      </c>
      <c r="H221" s="51">
        <v>1201399</v>
      </c>
      <c r="I221" s="51" t="s">
        <v>144</v>
      </c>
      <c r="J221" s="51">
        <v>1334926</v>
      </c>
      <c r="K221" s="51" t="s">
        <v>145</v>
      </c>
      <c r="L221" s="51">
        <v>1171970</v>
      </c>
      <c r="M221" s="51" t="s">
        <v>144</v>
      </c>
      <c r="N221" s="51">
        <v>8106407953</v>
      </c>
      <c r="O221" s="51">
        <v>472033730</v>
      </c>
      <c r="P221" s="51" t="s">
        <v>1747</v>
      </c>
      <c r="Q221" s="51" t="s">
        <v>1322</v>
      </c>
      <c r="R221" s="51" t="s">
        <v>1748</v>
      </c>
      <c r="S221" s="51" t="s">
        <v>1331</v>
      </c>
      <c r="T221" s="51"/>
      <c r="U221" s="51">
        <v>9984</v>
      </c>
      <c r="V221" s="51">
        <v>96</v>
      </c>
      <c r="W221" s="51" t="s">
        <v>1332</v>
      </c>
      <c r="X221" s="51">
        <v>6.5</v>
      </c>
      <c r="Y221" s="51" t="s">
        <v>182</v>
      </c>
      <c r="Z221" s="54">
        <v>64896</v>
      </c>
      <c r="AA221" s="51">
        <v>624</v>
      </c>
      <c r="AB221" s="51" t="s">
        <v>182</v>
      </c>
      <c r="AC221" s="51" t="s">
        <v>181</v>
      </c>
      <c r="AD221" s="51" t="s">
        <v>97</v>
      </c>
      <c r="AE221" s="51" t="s">
        <v>63</v>
      </c>
      <c r="AF221" s="51" t="s">
        <v>70</v>
      </c>
      <c r="AG221" s="51" t="s">
        <v>76</v>
      </c>
      <c r="AH221" s="53">
        <v>42429</v>
      </c>
      <c r="AI221" s="51" t="s">
        <v>64</v>
      </c>
      <c r="AJ221" s="53">
        <v>42422</v>
      </c>
      <c r="AK221" s="51"/>
      <c r="AL221" s="51"/>
      <c r="AM221" s="51"/>
      <c r="AN221" s="51" t="s">
        <v>77</v>
      </c>
      <c r="AO221" s="51" t="s">
        <v>2534</v>
      </c>
    </row>
    <row r="222" spans="1:41" x14ac:dyDescent="0.2">
      <c r="A222" s="51">
        <v>10020763</v>
      </c>
      <c r="B222" s="51">
        <v>30</v>
      </c>
      <c r="C222" s="51" t="s">
        <v>18</v>
      </c>
      <c r="D222" s="51" t="s">
        <v>78</v>
      </c>
      <c r="E222" s="53">
        <v>42423</v>
      </c>
      <c r="F222" s="51">
        <v>93691491</v>
      </c>
      <c r="G222" s="51">
        <v>30</v>
      </c>
      <c r="H222" s="51">
        <v>1201646</v>
      </c>
      <c r="I222" s="51" t="s">
        <v>164</v>
      </c>
      <c r="J222" s="51">
        <v>1201646</v>
      </c>
      <c r="K222" s="51" t="s">
        <v>164</v>
      </c>
      <c r="L222" s="51">
        <v>1201646</v>
      </c>
      <c r="M222" s="51" t="s">
        <v>164</v>
      </c>
      <c r="N222" s="51">
        <v>8047515</v>
      </c>
      <c r="O222" s="51">
        <v>591379760</v>
      </c>
      <c r="P222" s="51" t="s">
        <v>1411</v>
      </c>
      <c r="Q222" s="51" t="s">
        <v>1322</v>
      </c>
      <c r="R222" s="51" t="s">
        <v>1412</v>
      </c>
      <c r="S222" s="51" t="s">
        <v>1331</v>
      </c>
      <c r="T222" s="51"/>
      <c r="U222" s="51">
        <v>720</v>
      </c>
      <c r="V222" s="51">
        <v>3</v>
      </c>
      <c r="W222" s="51" t="s">
        <v>1332</v>
      </c>
      <c r="X222" s="51">
        <v>5.22</v>
      </c>
      <c r="Y222" s="51" t="s">
        <v>182</v>
      </c>
      <c r="Z222" s="54">
        <v>3758.4</v>
      </c>
      <c r="AA222" s="51">
        <v>15.66</v>
      </c>
      <c r="AB222" s="51" t="s">
        <v>182</v>
      </c>
      <c r="AC222" s="51" t="s">
        <v>181</v>
      </c>
      <c r="AD222" s="51" t="s">
        <v>97</v>
      </c>
      <c r="AE222" s="51" t="s">
        <v>63</v>
      </c>
      <c r="AF222" s="51" t="s">
        <v>70</v>
      </c>
      <c r="AG222" s="51" t="s">
        <v>76</v>
      </c>
      <c r="AH222" s="53">
        <v>42429</v>
      </c>
      <c r="AI222" s="51" t="s">
        <v>64</v>
      </c>
      <c r="AJ222" s="53">
        <v>42423</v>
      </c>
      <c r="AK222" s="51"/>
      <c r="AL222" s="51"/>
      <c r="AM222" s="51"/>
      <c r="AN222" s="51" t="s">
        <v>77</v>
      </c>
      <c r="AO222" s="51" t="s">
        <v>228</v>
      </c>
    </row>
    <row r="223" spans="1:41" x14ac:dyDescent="0.2">
      <c r="A223" s="51">
        <v>10020765</v>
      </c>
      <c r="B223" s="51">
        <v>220</v>
      </c>
      <c r="C223" s="51" t="s">
        <v>26</v>
      </c>
      <c r="D223" s="51" t="s">
        <v>78</v>
      </c>
      <c r="E223" s="53">
        <v>42423</v>
      </c>
      <c r="F223" s="51">
        <v>93691473</v>
      </c>
      <c r="G223" s="51">
        <v>220</v>
      </c>
      <c r="H223" s="51">
        <v>1201494</v>
      </c>
      <c r="I223" s="51" t="s">
        <v>161</v>
      </c>
      <c r="J223" s="51">
        <v>1064093</v>
      </c>
      <c r="K223" s="51" t="s">
        <v>390</v>
      </c>
      <c r="L223" s="51">
        <v>1172005</v>
      </c>
      <c r="M223" s="51" t="s">
        <v>161</v>
      </c>
      <c r="N223" s="51">
        <v>19135</v>
      </c>
      <c r="O223" s="51">
        <v>45963053830</v>
      </c>
      <c r="P223" s="51" t="s">
        <v>1646</v>
      </c>
      <c r="Q223" s="51" t="s">
        <v>1322</v>
      </c>
      <c r="R223" s="51" t="s">
        <v>1647</v>
      </c>
      <c r="S223" s="51" t="s">
        <v>1331</v>
      </c>
      <c r="T223" s="51">
        <v>406426</v>
      </c>
      <c r="U223" s="51">
        <v>1728</v>
      </c>
      <c r="V223" s="51">
        <v>7</v>
      </c>
      <c r="W223" s="51" t="s">
        <v>1332</v>
      </c>
      <c r="X223" s="51">
        <v>2.11</v>
      </c>
      <c r="Y223" s="51" t="s">
        <v>182</v>
      </c>
      <c r="Z223" s="54">
        <v>3646.08</v>
      </c>
      <c r="AA223" s="51">
        <v>14.77</v>
      </c>
      <c r="AB223" s="51" t="s">
        <v>182</v>
      </c>
      <c r="AC223" s="51" t="s">
        <v>181</v>
      </c>
      <c r="AD223" s="51" t="s">
        <v>97</v>
      </c>
      <c r="AE223" s="51" t="s">
        <v>63</v>
      </c>
      <c r="AF223" s="51" t="s">
        <v>70</v>
      </c>
      <c r="AG223" s="51" t="s">
        <v>82</v>
      </c>
      <c r="AH223" s="53">
        <v>42424</v>
      </c>
      <c r="AI223" s="51" t="s">
        <v>64</v>
      </c>
      <c r="AJ223" s="53">
        <v>42423</v>
      </c>
      <c r="AK223" s="51"/>
      <c r="AL223" s="51"/>
      <c r="AM223" s="51"/>
      <c r="AN223" s="51" t="s">
        <v>89</v>
      </c>
      <c r="AO223" s="51" t="s">
        <v>2535</v>
      </c>
    </row>
    <row r="224" spans="1:41" x14ac:dyDescent="0.2">
      <c r="A224" s="51">
        <v>10020766</v>
      </c>
      <c r="B224" s="51">
        <v>220</v>
      </c>
      <c r="C224" s="51" t="s">
        <v>18</v>
      </c>
      <c r="D224" s="51" t="s">
        <v>78</v>
      </c>
      <c r="E224" s="53">
        <v>42423</v>
      </c>
      <c r="F224" s="51">
        <v>93691473</v>
      </c>
      <c r="G224" s="51">
        <v>220</v>
      </c>
      <c r="H224" s="51">
        <v>1201494</v>
      </c>
      <c r="I224" s="51" t="s">
        <v>161</v>
      </c>
      <c r="J224" s="51">
        <v>1064093</v>
      </c>
      <c r="K224" s="51" t="s">
        <v>390</v>
      </c>
      <c r="L224" s="51">
        <v>1172005</v>
      </c>
      <c r="M224" s="51" t="s">
        <v>161</v>
      </c>
      <c r="N224" s="51">
        <v>19135</v>
      </c>
      <c r="O224" s="51">
        <v>45963053830</v>
      </c>
      <c r="P224" s="51" t="s">
        <v>1646</v>
      </c>
      <c r="Q224" s="51" t="s">
        <v>1322</v>
      </c>
      <c r="R224" s="51" t="s">
        <v>1647</v>
      </c>
      <c r="S224" s="51" t="s">
        <v>1331</v>
      </c>
      <c r="T224" s="51">
        <v>406426</v>
      </c>
      <c r="U224" s="51">
        <v>1728</v>
      </c>
      <c r="V224" s="51">
        <v>3</v>
      </c>
      <c r="W224" s="51" t="s">
        <v>1332</v>
      </c>
      <c r="X224" s="51">
        <v>2.11</v>
      </c>
      <c r="Y224" s="51" t="s">
        <v>182</v>
      </c>
      <c r="Z224" s="54">
        <v>3646.08</v>
      </c>
      <c r="AA224" s="51">
        <v>6.33</v>
      </c>
      <c r="AB224" s="51" t="s">
        <v>182</v>
      </c>
      <c r="AC224" s="51" t="s">
        <v>181</v>
      </c>
      <c r="AD224" s="51" t="s">
        <v>97</v>
      </c>
      <c r="AE224" s="51" t="s">
        <v>63</v>
      </c>
      <c r="AF224" s="51" t="s">
        <v>70</v>
      </c>
      <c r="AG224" s="51" t="s">
        <v>76</v>
      </c>
      <c r="AH224" s="53">
        <v>42429</v>
      </c>
      <c r="AI224" s="51" t="s">
        <v>64</v>
      </c>
      <c r="AJ224" s="53">
        <v>42423</v>
      </c>
      <c r="AK224" s="51"/>
      <c r="AL224" s="51"/>
      <c r="AM224" s="51"/>
      <c r="AN224" s="51" t="s">
        <v>77</v>
      </c>
      <c r="AO224" s="51" t="s">
        <v>228</v>
      </c>
    </row>
    <row r="225" spans="1:41" x14ac:dyDescent="0.2">
      <c r="A225" s="51">
        <v>10020768</v>
      </c>
      <c r="B225" s="51">
        <v>410</v>
      </c>
      <c r="C225" s="51" t="s">
        <v>26</v>
      </c>
      <c r="D225" s="51" t="s">
        <v>78</v>
      </c>
      <c r="E225" s="53">
        <v>42423</v>
      </c>
      <c r="F225" s="51">
        <v>93693107</v>
      </c>
      <c r="G225" s="51">
        <v>410</v>
      </c>
      <c r="H225" s="51">
        <v>1201315</v>
      </c>
      <c r="I225" s="51" t="s">
        <v>256</v>
      </c>
      <c r="J225" s="51">
        <v>1317763</v>
      </c>
      <c r="K225" s="51" t="s">
        <v>256</v>
      </c>
      <c r="L225" s="51">
        <v>1201315</v>
      </c>
      <c r="M225" s="51" t="s">
        <v>256</v>
      </c>
      <c r="N225" s="51">
        <v>5721383</v>
      </c>
      <c r="O225" s="51">
        <v>472040060</v>
      </c>
      <c r="P225" s="51" t="s">
        <v>2025</v>
      </c>
      <c r="Q225" s="51" t="s">
        <v>1322</v>
      </c>
      <c r="R225" s="51" t="s">
        <v>2285</v>
      </c>
      <c r="S225" s="51" t="s">
        <v>1331</v>
      </c>
      <c r="T225" s="51">
        <v>66500020</v>
      </c>
      <c r="U225" s="51">
        <v>12</v>
      </c>
      <c r="V225" s="51">
        <v>4</v>
      </c>
      <c r="W225" s="51" t="s">
        <v>1332</v>
      </c>
      <c r="X225" s="51">
        <v>367.17</v>
      </c>
      <c r="Y225" s="51" t="s">
        <v>182</v>
      </c>
      <c r="Z225" s="54">
        <v>4406.04</v>
      </c>
      <c r="AA225" s="54">
        <v>1468.68</v>
      </c>
      <c r="AB225" s="51" t="s">
        <v>182</v>
      </c>
      <c r="AC225" s="51" t="s">
        <v>181</v>
      </c>
      <c r="AD225" s="51" t="s">
        <v>97</v>
      </c>
      <c r="AE225" s="51" t="s">
        <v>63</v>
      </c>
      <c r="AF225" s="51" t="s">
        <v>94</v>
      </c>
      <c r="AG225" s="51" t="s">
        <v>95</v>
      </c>
      <c r="AH225" s="53">
        <v>42426</v>
      </c>
      <c r="AI225" s="51" t="s">
        <v>64</v>
      </c>
      <c r="AJ225" s="53">
        <v>42423</v>
      </c>
      <c r="AK225" s="51"/>
      <c r="AL225" s="51"/>
      <c r="AM225" s="51"/>
      <c r="AN225" s="51" t="s">
        <v>96</v>
      </c>
      <c r="AO225" s="51" t="s">
        <v>2536</v>
      </c>
    </row>
    <row r="226" spans="1:41" x14ac:dyDescent="0.2">
      <c r="A226" s="51">
        <v>10020769</v>
      </c>
      <c r="B226" s="51">
        <v>10</v>
      </c>
      <c r="C226" s="51" t="s">
        <v>22</v>
      </c>
      <c r="D226" s="51" t="s">
        <v>78</v>
      </c>
      <c r="E226" s="53">
        <v>42424</v>
      </c>
      <c r="F226" s="51">
        <v>93686393</v>
      </c>
      <c r="G226" s="51">
        <v>10</v>
      </c>
      <c r="H226" s="51">
        <v>1201399</v>
      </c>
      <c r="I226" s="51" t="s">
        <v>144</v>
      </c>
      <c r="J226" s="51">
        <v>1040825</v>
      </c>
      <c r="K226" s="51" t="s">
        <v>145</v>
      </c>
      <c r="L226" s="51">
        <v>1171970</v>
      </c>
      <c r="M226" s="51" t="s">
        <v>144</v>
      </c>
      <c r="N226" s="51">
        <v>8195666393</v>
      </c>
      <c r="O226" s="51">
        <v>472024260</v>
      </c>
      <c r="P226" s="51" t="s">
        <v>2445</v>
      </c>
      <c r="Q226" s="51" t="s">
        <v>1322</v>
      </c>
      <c r="R226" s="51" t="s">
        <v>2446</v>
      </c>
      <c r="S226" s="51" t="s">
        <v>1331</v>
      </c>
      <c r="T226" s="51" t="s">
        <v>2515</v>
      </c>
      <c r="U226" s="51">
        <v>288</v>
      </c>
      <c r="V226" s="51">
        <v>96</v>
      </c>
      <c r="W226" s="51" t="s">
        <v>1332</v>
      </c>
      <c r="X226" s="51">
        <v>99</v>
      </c>
      <c r="Y226" s="51" t="s">
        <v>182</v>
      </c>
      <c r="Z226" s="54">
        <v>28512</v>
      </c>
      <c r="AA226" s="54">
        <v>9504</v>
      </c>
      <c r="AB226" s="51" t="s">
        <v>182</v>
      </c>
      <c r="AC226" s="51" t="s">
        <v>181</v>
      </c>
      <c r="AD226" s="51" t="s">
        <v>97</v>
      </c>
      <c r="AE226" s="51" t="s">
        <v>63</v>
      </c>
      <c r="AF226" s="51"/>
      <c r="AG226" s="51"/>
      <c r="AH226" s="51"/>
      <c r="AI226" s="51" t="s">
        <v>64</v>
      </c>
      <c r="AJ226" s="53">
        <v>42424</v>
      </c>
      <c r="AK226" s="51"/>
      <c r="AL226" s="51"/>
      <c r="AM226" s="51"/>
      <c r="AN226" s="51"/>
      <c r="AO226" s="51"/>
    </row>
    <row r="227" spans="1:41" x14ac:dyDescent="0.2">
      <c r="A227" s="51">
        <v>10020770</v>
      </c>
      <c r="B227" s="51">
        <v>160</v>
      </c>
      <c r="C227" s="51" t="s">
        <v>18</v>
      </c>
      <c r="D227" s="51" t="s">
        <v>78</v>
      </c>
      <c r="E227" s="53">
        <v>42424</v>
      </c>
      <c r="F227" s="51">
        <v>93692996</v>
      </c>
      <c r="G227" s="51">
        <v>160</v>
      </c>
      <c r="H227" s="51">
        <v>1201120</v>
      </c>
      <c r="I227" s="51" t="s">
        <v>117</v>
      </c>
      <c r="J227" s="51">
        <v>1307782</v>
      </c>
      <c r="K227" s="51" t="s">
        <v>119</v>
      </c>
      <c r="L227" s="51">
        <v>1171090</v>
      </c>
      <c r="M227" s="51" t="s">
        <v>118</v>
      </c>
      <c r="N227" s="51" t="s">
        <v>2405</v>
      </c>
      <c r="O227" s="51">
        <v>16252060144</v>
      </c>
      <c r="P227" s="51" t="s">
        <v>1350</v>
      </c>
      <c r="Q227" s="51" t="s">
        <v>1322</v>
      </c>
      <c r="R227" s="51" t="s">
        <v>1351</v>
      </c>
      <c r="S227" s="51" t="s">
        <v>1331</v>
      </c>
      <c r="T227" s="51">
        <v>1152249</v>
      </c>
      <c r="U227" s="51">
        <v>1800</v>
      </c>
      <c r="V227" s="51">
        <v>88</v>
      </c>
      <c r="W227" s="51" t="s">
        <v>1332</v>
      </c>
      <c r="X227" s="51">
        <v>3.5</v>
      </c>
      <c r="Y227" s="51" t="s">
        <v>182</v>
      </c>
      <c r="Z227" s="54">
        <v>6300</v>
      </c>
      <c r="AA227" s="51">
        <v>308</v>
      </c>
      <c r="AB227" s="51" t="s">
        <v>182</v>
      </c>
      <c r="AC227" s="51" t="s">
        <v>181</v>
      </c>
      <c r="AD227" s="51" t="s">
        <v>97</v>
      </c>
      <c r="AE227" s="51" t="s">
        <v>63</v>
      </c>
      <c r="AF227" s="51" t="s">
        <v>70</v>
      </c>
      <c r="AG227" s="51" t="s">
        <v>76</v>
      </c>
      <c r="AH227" s="53">
        <v>42429</v>
      </c>
      <c r="AI227" s="51" t="s">
        <v>64</v>
      </c>
      <c r="AJ227" s="53">
        <v>42424</v>
      </c>
      <c r="AK227" s="51"/>
      <c r="AL227" s="51"/>
      <c r="AM227" s="51"/>
      <c r="AN227" s="51" t="s">
        <v>77</v>
      </c>
      <c r="AO227" s="51" t="s">
        <v>2537</v>
      </c>
    </row>
    <row r="228" spans="1:41" x14ac:dyDescent="0.2">
      <c r="A228" s="51">
        <v>10020771</v>
      </c>
      <c r="B228" s="51">
        <v>120</v>
      </c>
      <c r="C228" s="51" t="s">
        <v>18</v>
      </c>
      <c r="D228" s="51" t="s">
        <v>78</v>
      </c>
      <c r="E228" s="53">
        <v>42424</v>
      </c>
      <c r="F228" s="51">
        <v>93612113</v>
      </c>
      <c r="G228" s="51">
        <v>120</v>
      </c>
      <c r="H228" s="51">
        <v>1201057</v>
      </c>
      <c r="I228" s="51" t="s">
        <v>643</v>
      </c>
      <c r="J228" s="51">
        <v>1325925</v>
      </c>
      <c r="K228" s="51" t="s">
        <v>643</v>
      </c>
      <c r="L228" s="51">
        <v>1201057</v>
      </c>
      <c r="M228" s="51" t="s">
        <v>643</v>
      </c>
      <c r="N228" s="51">
        <v>177967</v>
      </c>
      <c r="O228" s="51">
        <v>591350001</v>
      </c>
      <c r="P228" s="51" t="s">
        <v>2538</v>
      </c>
      <c r="Q228" s="51" t="s">
        <v>1322</v>
      </c>
      <c r="R228" s="51" t="s">
        <v>2539</v>
      </c>
      <c r="S228" s="51">
        <v>4</v>
      </c>
      <c r="T228" s="51" t="s">
        <v>2540</v>
      </c>
      <c r="U228" s="51">
        <v>12</v>
      </c>
      <c r="V228" s="51">
        <v>2</v>
      </c>
      <c r="W228" s="51" t="s">
        <v>1324</v>
      </c>
      <c r="X228" s="51">
        <v>57.89</v>
      </c>
      <c r="Y228" s="51" t="s">
        <v>182</v>
      </c>
      <c r="Z228" s="51">
        <v>694.68</v>
      </c>
      <c r="AA228" s="51">
        <v>115.78</v>
      </c>
      <c r="AB228" s="51" t="s">
        <v>182</v>
      </c>
      <c r="AC228" s="51" t="s">
        <v>181</v>
      </c>
      <c r="AD228" s="51" t="s">
        <v>97</v>
      </c>
      <c r="AE228" s="51" t="s">
        <v>63</v>
      </c>
      <c r="AF228" s="51" t="s">
        <v>105</v>
      </c>
      <c r="AG228" s="51" t="s">
        <v>82</v>
      </c>
      <c r="AH228" s="53">
        <v>42429</v>
      </c>
      <c r="AI228" s="51" t="s">
        <v>64</v>
      </c>
      <c r="AJ228" s="53">
        <v>42424</v>
      </c>
      <c r="AK228" s="51"/>
      <c r="AL228" s="51"/>
      <c r="AM228" s="51"/>
      <c r="AN228" s="51" t="s">
        <v>77</v>
      </c>
      <c r="AO228" s="51" t="s">
        <v>2541</v>
      </c>
    </row>
    <row r="229" spans="1:41" x14ac:dyDescent="0.2">
      <c r="A229" s="51">
        <v>10020772</v>
      </c>
      <c r="B229" s="51">
        <v>2550</v>
      </c>
      <c r="C229" s="51" t="s">
        <v>18</v>
      </c>
      <c r="D229" s="51" t="s">
        <v>78</v>
      </c>
      <c r="E229" s="53">
        <v>42424</v>
      </c>
      <c r="F229" s="51">
        <v>93695853</v>
      </c>
      <c r="G229" s="51">
        <v>2550</v>
      </c>
      <c r="H229" s="51">
        <v>1201120</v>
      </c>
      <c r="I229" s="51" t="s">
        <v>117</v>
      </c>
      <c r="J229" s="51">
        <v>1307782</v>
      </c>
      <c r="K229" s="51" t="s">
        <v>119</v>
      </c>
      <c r="L229" s="51">
        <v>1171090</v>
      </c>
      <c r="M229" s="51" t="s">
        <v>118</v>
      </c>
      <c r="N229" s="51" t="s">
        <v>2523</v>
      </c>
      <c r="O229" s="51">
        <v>591320413</v>
      </c>
      <c r="P229" s="51" t="s">
        <v>2136</v>
      </c>
      <c r="Q229" s="51" t="s">
        <v>1322</v>
      </c>
      <c r="R229" s="51" t="s">
        <v>2137</v>
      </c>
      <c r="S229" s="51" t="s">
        <v>1331</v>
      </c>
      <c r="T229" s="51" t="s">
        <v>2138</v>
      </c>
      <c r="U229" s="51">
        <v>108</v>
      </c>
      <c r="V229" s="51">
        <v>6</v>
      </c>
      <c r="W229" s="51" t="s">
        <v>1332</v>
      </c>
      <c r="X229" s="51">
        <v>79.58</v>
      </c>
      <c r="Y229" s="51" t="s">
        <v>182</v>
      </c>
      <c r="Z229" s="54">
        <v>8594.64</v>
      </c>
      <c r="AA229" s="51">
        <v>477.48</v>
      </c>
      <c r="AB229" s="51" t="s">
        <v>182</v>
      </c>
      <c r="AC229" s="51" t="s">
        <v>181</v>
      </c>
      <c r="AD229" s="51" t="s">
        <v>97</v>
      </c>
      <c r="AE229" s="51" t="s">
        <v>63</v>
      </c>
      <c r="AF229" s="51" t="s">
        <v>70</v>
      </c>
      <c r="AG229" s="51" t="s">
        <v>76</v>
      </c>
      <c r="AH229" s="53">
        <v>42429</v>
      </c>
      <c r="AI229" s="51" t="s">
        <v>64</v>
      </c>
      <c r="AJ229" s="53">
        <v>42424</v>
      </c>
      <c r="AK229" s="51"/>
      <c r="AL229" s="51"/>
      <c r="AM229" s="51"/>
      <c r="AN229" s="51" t="s">
        <v>77</v>
      </c>
      <c r="AO229" s="51" t="s">
        <v>1289</v>
      </c>
    </row>
    <row r="230" spans="1:41" x14ac:dyDescent="0.2">
      <c r="A230" s="51">
        <v>10020772</v>
      </c>
      <c r="B230" s="51">
        <v>3010</v>
      </c>
      <c r="C230" s="51" t="s">
        <v>18</v>
      </c>
      <c r="D230" s="51" t="s">
        <v>78</v>
      </c>
      <c r="E230" s="53">
        <v>42424</v>
      </c>
      <c r="F230" s="51">
        <v>93695853</v>
      </c>
      <c r="G230" s="51">
        <v>3010</v>
      </c>
      <c r="H230" s="51">
        <v>1201120</v>
      </c>
      <c r="I230" s="51" t="s">
        <v>117</v>
      </c>
      <c r="J230" s="51">
        <v>1307782</v>
      </c>
      <c r="K230" s="51" t="s">
        <v>119</v>
      </c>
      <c r="L230" s="51">
        <v>1171090</v>
      </c>
      <c r="M230" s="51" t="s">
        <v>118</v>
      </c>
      <c r="N230" s="51" t="s">
        <v>2523</v>
      </c>
      <c r="O230" s="51">
        <v>591319752</v>
      </c>
      <c r="P230" s="51" t="s">
        <v>2094</v>
      </c>
      <c r="Q230" s="51" t="s">
        <v>1322</v>
      </c>
      <c r="R230" s="51" t="s">
        <v>2095</v>
      </c>
      <c r="S230" s="51" t="s">
        <v>1331</v>
      </c>
      <c r="T230" s="51" t="s">
        <v>2375</v>
      </c>
      <c r="U230" s="51">
        <v>144</v>
      </c>
      <c r="V230" s="51">
        <v>2</v>
      </c>
      <c r="W230" s="51" t="s">
        <v>1332</v>
      </c>
      <c r="X230" s="51">
        <v>32.74</v>
      </c>
      <c r="Y230" s="51" t="s">
        <v>182</v>
      </c>
      <c r="Z230" s="54">
        <v>4714.5600000000004</v>
      </c>
      <c r="AA230" s="51">
        <v>65.48</v>
      </c>
      <c r="AB230" s="51" t="s">
        <v>182</v>
      </c>
      <c r="AC230" s="51" t="s">
        <v>181</v>
      </c>
      <c r="AD230" s="51" t="s">
        <v>97</v>
      </c>
      <c r="AE230" s="51" t="s">
        <v>63</v>
      </c>
      <c r="AF230" s="51" t="s">
        <v>70</v>
      </c>
      <c r="AG230" s="51" t="s">
        <v>76</v>
      </c>
      <c r="AH230" s="53">
        <v>42429</v>
      </c>
      <c r="AI230" s="51" t="s">
        <v>64</v>
      </c>
      <c r="AJ230" s="53">
        <v>42424</v>
      </c>
      <c r="AK230" s="51"/>
      <c r="AL230" s="51"/>
      <c r="AM230" s="51"/>
      <c r="AN230" s="51" t="s">
        <v>77</v>
      </c>
      <c r="AO230" s="51" t="s">
        <v>1289</v>
      </c>
    </row>
    <row r="231" spans="1:41" x14ac:dyDescent="0.2">
      <c r="A231" s="51">
        <v>10020773</v>
      </c>
      <c r="B231" s="51">
        <v>40</v>
      </c>
      <c r="C231" s="51" t="s">
        <v>25</v>
      </c>
      <c r="D231" s="51" t="s">
        <v>149</v>
      </c>
      <c r="E231" s="53">
        <v>42424</v>
      </c>
      <c r="F231" s="51">
        <v>93691522</v>
      </c>
      <c r="G231" s="51">
        <v>40</v>
      </c>
      <c r="H231" s="51">
        <v>1318826</v>
      </c>
      <c r="I231" s="51" t="s">
        <v>110</v>
      </c>
      <c r="J231" s="51">
        <v>1334311</v>
      </c>
      <c r="K231" s="51" t="s">
        <v>113</v>
      </c>
      <c r="L231" s="51">
        <v>1318826</v>
      </c>
      <c r="M231" s="51" t="s">
        <v>110</v>
      </c>
      <c r="N231" s="51">
        <v>2055815</v>
      </c>
      <c r="O231" s="51">
        <v>16252060144</v>
      </c>
      <c r="P231" s="51" t="s">
        <v>1350</v>
      </c>
      <c r="Q231" s="51" t="s">
        <v>1322</v>
      </c>
      <c r="R231" s="51" t="s">
        <v>1351</v>
      </c>
      <c r="S231" s="51" t="s">
        <v>1331</v>
      </c>
      <c r="T231" s="51"/>
      <c r="U231" s="51">
        <v>9984</v>
      </c>
      <c r="V231" s="51">
        <v>9984</v>
      </c>
      <c r="W231" s="51" t="s">
        <v>1332</v>
      </c>
      <c r="X231" s="51">
        <v>0.53</v>
      </c>
      <c r="Y231" s="51" t="s">
        <v>182</v>
      </c>
      <c r="Z231" s="54">
        <v>5291.52</v>
      </c>
      <c r="AA231" s="54">
        <v>5291.52</v>
      </c>
      <c r="AB231" s="51" t="s">
        <v>182</v>
      </c>
      <c r="AC231" s="51" t="s">
        <v>181</v>
      </c>
      <c r="AD231" s="51" t="s">
        <v>97</v>
      </c>
      <c r="AE231" s="51" t="s">
        <v>69</v>
      </c>
      <c r="AF231" s="51" t="s">
        <v>81</v>
      </c>
      <c r="AG231" s="51" t="s">
        <v>71</v>
      </c>
      <c r="AH231" s="53">
        <v>42426</v>
      </c>
      <c r="AI231" s="51" t="s">
        <v>64</v>
      </c>
      <c r="AJ231" s="53">
        <v>42424</v>
      </c>
      <c r="AK231" s="51" t="s">
        <v>72</v>
      </c>
      <c r="AL231" s="51">
        <v>62089568</v>
      </c>
      <c r="AM231" s="53">
        <v>42429</v>
      </c>
      <c r="AN231" s="51" t="s">
        <v>465</v>
      </c>
      <c r="AO231" s="51" t="s">
        <v>2542</v>
      </c>
    </row>
    <row r="232" spans="1:41" x14ac:dyDescent="0.2">
      <c r="A232" s="51">
        <v>10020774</v>
      </c>
      <c r="B232" s="51">
        <v>140</v>
      </c>
      <c r="C232" s="51" t="s">
        <v>18</v>
      </c>
      <c r="D232" s="51" t="s">
        <v>78</v>
      </c>
      <c r="E232" s="53">
        <v>42424</v>
      </c>
      <c r="F232" s="51">
        <v>93695856</v>
      </c>
      <c r="G232" s="51">
        <v>140</v>
      </c>
      <c r="H232" s="51">
        <v>1201120</v>
      </c>
      <c r="I232" s="51" t="s">
        <v>117</v>
      </c>
      <c r="J232" s="51">
        <v>1307782</v>
      </c>
      <c r="K232" s="51" t="s">
        <v>119</v>
      </c>
      <c r="L232" s="51">
        <v>1171090</v>
      </c>
      <c r="M232" s="51" t="s">
        <v>118</v>
      </c>
      <c r="N232" s="51" t="s">
        <v>2543</v>
      </c>
      <c r="O232" s="51">
        <v>45963061359</v>
      </c>
      <c r="P232" s="51" t="s">
        <v>1914</v>
      </c>
      <c r="Q232" s="51" t="s">
        <v>1322</v>
      </c>
      <c r="R232" s="51" t="s">
        <v>2370</v>
      </c>
      <c r="S232" s="51" t="s">
        <v>1331</v>
      </c>
      <c r="T232" s="51" t="s">
        <v>2371</v>
      </c>
      <c r="U232" s="51">
        <v>400</v>
      </c>
      <c r="V232" s="51">
        <v>6</v>
      </c>
      <c r="W232" s="51" t="s">
        <v>1332</v>
      </c>
      <c r="X232" s="51">
        <v>100</v>
      </c>
      <c r="Y232" s="51" t="s">
        <v>182</v>
      </c>
      <c r="Z232" s="54">
        <v>40000</v>
      </c>
      <c r="AA232" s="51">
        <v>600</v>
      </c>
      <c r="AB232" s="51" t="s">
        <v>182</v>
      </c>
      <c r="AC232" s="51" t="s">
        <v>181</v>
      </c>
      <c r="AD232" s="51" t="s">
        <v>97</v>
      </c>
      <c r="AE232" s="51" t="s">
        <v>63</v>
      </c>
      <c r="AF232" s="51" t="s">
        <v>70</v>
      </c>
      <c r="AG232" s="51" t="s">
        <v>76</v>
      </c>
      <c r="AH232" s="53">
        <v>42429</v>
      </c>
      <c r="AI232" s="51" t="s">
        <v>64</v>
      </c>
      <c r="AJ232" s="53">
        <v>42424</v>
      </c>
      <c r="AK232" s="51"/>
      <c r="AL232" s="51"/>
      <c r="AM232" s="51"/>
      <c r="AN232" s="51" t="s">
        <v>77</v>
      </c>
      <c r="AO232" s="51" t="s">
        <v>386</v>
      </c>
    </row>
    <row r="233" spans="1:41" x14ac:dyDescent="0.2">
      <c r="A233" s="51">
        <v>10020775</v>
      </c>
      <c r="B233" s="51">
        <v>220</v>
      </c>
      <c r="C233" s="51" t="s">
        <v>22</v>
      </c>
      <c r="D233" s="51" t="s">
        <v>149</v>
      </c>
      <c r="E233" s="53">
        <v>42425</v>
      </c>
      <c r="F233" s="51">
        <v>93696973</v>
      </c>
      <c r="G233" s="51">
        <v>220</v>
      </c>
      <c r="H233" s="51">
        <v>1201047</v>
      </c>
      <c r="I233" s="51" t="s">
        <v>79</v>
      </c>
      <c r="J233" s="51">
        <v>1034532</v>
      </c>
      <c r="K233" s="51" t="s">
        <v>301</v>
      </c>
      <c r="L233" s="51">
        <v>1171089</v>
      </c>
      <c r="M233" s="51" t="s">
        <v>75</v>
      </c>
      <c r="N233" s="51">
        <v>25441560</v>
      </c>
      <c r="O233" s="51">
        <v>591261205</v>
      </c>
      <c r="P233" s="51" t="s">
        <v>2544</v>
      </c>
      <c r="Q233" s="51" t="s">
        <v>1322</v>
      </c>
      <c r="R233" s="51" t="s">
        <v>2545</v>
      </c>
      <c r="S233" s="51">
        <v>2</v>
      </c>
      <c r="T233" s="51"/>
      <c r="U233" s="51">
        <v>168</v>
      </c>
      <c r="V233" s="51">
        <v>132</v>
      </c>
      <c r="W233" s="51" t="s">
        <v>1332</v>
      </c>
      <c r="X233" s="51">
        <v>219.39</v>
      </c>
      <c r="Y233" s="51" t="s">
        <v>182</v>
      </c>
      <c r="Z233" s="54">
        <v>36857.519999999997</v>
      </c>
      <c r="AA233" s="54">
        <v>28959.48</v>
      </c>
      <c r="AB233" s="51" t="s">
        <v>182</v>
      </c>
      <c r="AC233" s="51" t="s">
        <v>181</v>
      </c>
      <c r="AD233" s="51" t="s">
        <v>97</v>
      </c>
      <c r="AE233" s="51" t="s">
        <v>63</v>
      </c>
      <c r="AF233" s="51" t="s">
        <v>70</v>
      </c>
      <c r="AG233" s="51" t="s">
        <v>82</v>
      </c>
      <c r="AH233" s="53">
        <v>42430</v>
      </c>
      <c r="AI233" s="51" t="s">
        <v>64</v>
      </c>
      <c r="AJ233" s="53">
        <v>42425</v>
      </c>
      <c r="AK233" s="51"/>
      <c r="AL233" s="51"/>
      <c r="AM233" s="51"/>
      <c r="AN233" s="51" t="s">
        <v>893</v>
      </c>
      <c r="AO233" s="51" t="s">
        <v>2546</v>
      </c>
    </row>
    <row r="234" spans="1:41" x14ac:dyDescent="0.2">
      <c r="A234" s="51">
        <v>10020775</v>
      </c>
      <c r="B234" s="51">
        <v>250</v>
      </c>
      <c r="C234" s="51" t="s">
        <v>22</v>
      </c>
      <c r="D234" s="51" t="s">
        <v>149</v>
      </c>
      <c r="E234" s="53">
        <v>42425</v>
      </c>
      <c r="F234" s="51">
        <v>93696973</v>
      </c>
      <c r="G234" s="51">
        <v>250</v>
      </c>
      <c r="H234" s="51">
        <v>1201047</v>
      </c>
      <c r="I234" s="51" t="s">
        <v>79</v>
      </c>
      <c r="J234" s="51">
        <v>1034532</v>
      </c>
      <c r="K234" s="51" t="s">
        <v>301</v>
      </c>
      <c r="L234" s="51">
        <v>1171089</v>
      </c>
      <c r="M234" s="51" t="s">
        <v>75</v>
      </c>
      <c r="N234" s="51">
        <v>25441560</v>
      </c>
      <c r="O234" s="51">
        <v>591320205</v>
      </c>
      <c r="P234" s="51" t="s">
        <v>2547</v>
      </c>
      <c r="Q234" s="51" t="s">
        <v>1322</v>
      </c>
      <c r="R234" s="51" t="s">
        <v>2545</v>
      </c>
      <c r="S234" s="51">
        <v>2</v>
      </c>
      <c r="T234" s="51" t="s">
        <v>2548</v>
      </c>
      <c r="U234" s="51">
        <v>384</v>
      </c>
      <c r="V234" s="51">
        <v>420</v>
      </c>
      <c r="W234" s="51" t="s">
        <v>1332</v>
      </c>
      <c r="X234" s="51">
        <v>191.45</v>
      </c>
      <c r="Y234" s="51" t="s">
        <v>182</v>
      </c>
      <c r="Z234" s="54">
        <v>73516.800000000003</v>
      </c>
      <c r="AA234" s="54">
        <v>80409</v>
      </c>
      <c r="AB234" s="51" t="s">
        <v>182</v>
      </c>
      <c r="AC234" s="51" t="s">
        <v>181</v>
      </c>
      <c r="AD234" s="51" t="s">
        <v>97</v>
      </c>
      <c r="AE234" s="51" t="s">
        <v>63</v>
      </c>
      <c r="AF234" s="51" t="s">
        <v>70</v>
      </c>
      <c r="AG234" s="51" t="s">
        <v>82</v>
      </c>
      <c r="AH234" s="53">
        <v>42430</v>
      </c>
      <c r="AI234" s="51" t="s">
        <v>64</v>
      </c>
      <c r="AJ234" s="53">
        <v>42425</v>
      </c>
      <c r="AK234" s="51"/>
      <c r="AL234" s="51"/>
      <c r="AM234" s="51"/>
      <c r="AN234" s="51" t="s">
        <v>893</v>
      </c>
      <c r="AO234" s="51" t="s">
        <v>2546</v>
      </c>
    </row>
    <row r="235" spans="1:41" x14ac:dyDescent="0.2">
      <c r="A235" s="51">
        <v>10020775</v>
      </c>
      <c r="B235" s="51">
        <v>260</v>
      </c>
      <c r="C235" s="51" t="s">
        <v>22</v>
      </c>
      <c r="D235" s="51" t="s">
        <v>149</v>
      </c>
      <c r="E235" s="53">
        <v>42425</v>
      </c>
      <c r="F235" s="51">
        <v>93696973</v>
      </c>
      <c r="G235" s="51">
        <v>260</v>
      </c>
      <c r="H235" s="51">
        <v>1201047</v>
      </c>
      <c r="I235" s="51" t="s">
        <v>79</v>
      </c>
      <c r="J235" s="51">
        <v>1034532</v>
      </c>
      <c r="K235" s="51" t="s">
        <v>301</v>
      </c>
      <c r="L235" s="51">
        <v>1171089</v>
      </c>
      <c r="M235" s="51" t="s">
        <v>75</v>
      </c>
      <c r="N235" s="51">
        <v>25441560</v>
      </c>
      <c r="O235" s="51">
        <v>591260505</v>
      </c>
      <c r="P235" s="51" t="s">
        <v>2549</v>
      </c>
      <c r="Q235" s="51" t="s">
        <v>1322</v>
      </c>
      <c r="R235" s="51" t="s">
        <v>2545</v>
      </c>
      <c r="S235" s="51">
        <v>2</v>
      </c>
      <c r="T235" s="51" t="s">
        <v>2550</v>
      </c>
      <c r="U235" s="51">
        <v>108</v>
      </c>
      <c r="V235" s="51">
        <v>132</v>
      </c>
      <c r="W235" s="51" t="s">
        <v>1332</v>
      </c>
      <c r="X235" s="51">
        <v>209.05</v>
      </c>
      <c r="Y235" s="51" t="s">
        <v>182</v>
      </c>
      <c r="Z235" s="54">
        <v>22577.4</v>
      </c>
      <c r="AA235" s="54">
        <v>27594.6</v>
      </c>
      <c r="AB235" s="51" t="s">
        <v>182</v>
      </c>
      <c r="AC235" s="51" t="s">
        <v>181</v>
      </c>
      <c r="AD235" s="51" t="s">
        <v>97</v>
      </c>
      <c r="AE235" s="51" t="s">
        <v>63</v>
      </c>
      <c r="AF235" s="51" t="s">
        <v>70</v>
      </c>
      <c r="AG235" s="51" t="s">
        <v>82</v>
      </c>
      <c r="AH235" s="53">
        <v>42430</v>
      </c>
      <c r="AI235" s="51" t="s">
        <v>64</v>
      </c>
      <c r="AJ235" s="53">
        <v>42425</v>
      </c>
      <c r="AK235" s="51"/>
      <c r="AL235" s="51"/>
      <c r="AM235" s="51"/>
      <c r="AN235" s="51" t="s">
        <v>893</v>
      </c>
      <c r="AO235" s="51" t="s">
        <v>2546</v>
      </c>
    </row>
    <row r="236" spans="1:41" x14ac:dyDescent="0.2">
      <c r="A236" s="51">
        <v>10020775</v>
      </c>
      <c r="B236" s="51">
        <v>280</v>
      </c>
      <c r="C236" s="51" t="s">
        <v>22</v>
      </c>
      <c r="D236" s="51" t="s">
        <v>149</v>
      </c>
      <c r="E236" s="53">
        <v>42425</v>
      </c>
      <c r="F236" s="51">
        <v>93696973</v>
      </c>
      <c r="G236" s="51">
        <v>280</v>
      </c>
      <c r="H236" s="51">
        <v>1201047</v>
      </c>
      <c r="I236" s="51" t="s">
        <v>79</v>
      </c>
      <c r="J236" s="51">
        <v>1034532</v>
      </c>
      <c r="K236" s="51" t="s">
        <v>301</v>
      </c>
      <c r="L236" s="51">
        <v>1171089</v>
      </c>
      <c r="M236" s="51" t="s">
        <v>75</v>
      </c>
      <c r="N236" s="51">
        <v>25441560</v>
      </c>
      <c r="O236" s="51">
        <v>62037052401</v>
      </c>
      <c r="P236" s="51" t="s">
        <v>2551</v>
      </c>
      <c r="Q236" s="51" t="s">
        <v>1322</v>
      </c>
      <c r="R236" s="51" t="s">
        <v>2552</v>
      </c>
      <c r="S236" s="51">
        <v>2</v>
      </c>
      <c r="T236" s="51" t="s">
        <v>2553</v>
      </c>
      <c r="U236" s="51">
        <v>48</v>
      </c>
      <c r="V236" s="51">
        <v>96</v>
      </c>
      <c r="W236" s="51" t="s">
        <v>1332</v>
      </c>
      <c r="X236" s="51">
        <v>84.95</v>
      </c>
      <c r="Y236" s="51" t="s">
        <v>182</v>
      </c>
      <c r="Z236" s="54">
        <v>4077.6</v>
      </c>
      <c r="AA236" s="54">
        <v>8155.2</v>
      </c>
      <c r="AB236" s="51" t="s">
        <v>182</v>
      </c>
      <c r="AC236" s="51" t="s">
        <v>181</v>
      </c>
      <c r="AD236" s="51" t="s">
        <v>97</v>
      </c>
      <c r="AE236" s="51" t="s">
        <v>63</v>
      </c>
      <c r="AF236" s="51" t="s">
        <v>70</v>
      </c>
      <c r="AG236" s="51" t="s">
        <v>82</v>
      </c>
      <c r="AH236" s="53">
        <v>42430</v>
      </c>
      <c r="AI236" s="51" t="s">
        <v>64</v>
      </c>
      <c r="AJ236" s="53">
        <v>42425</v>
      </c>
      <c r="AK236" s="51"/>
      <c r="AL236" s="51"/>
      <c r="AM236" s="51"/>
      <c r="AN236" s="51" t="s">
        <v>893</v>
      </c>
      <c r="AO236" s="51" t="s">
        <v>2546</v>
      </c>
    </row>
    <row r="237" spans="1:41" x14ac:dyDescent="0.2">
      <c r="A237" s="51">
        <v>10020776</v>
      </c>
      <c r="B237" s="51">
        <v>1830</v>
      </c>
      <c r="C237" s="51" t="s">
        <v>25</v>
      </c>
      <c r="D237" s="51" t="s">
        <v>149</v>
      </c>
      <c r="E237" s="53">
        <v>42425</v>
      </c>
      <c r="F237" s="51">
        <v>93678142</v>
      </c>
      <c r="G237" s="51">
        <v>1830</v>
      </c>
      <c r="H237" s="51">
        <v>1201047</v>
      </c>
      <c r="I237" s="51" t="s">
        <v>79</v>
      </c>
      <c r="J237" s="51">
        <v>1307128</v>
      </c>
      <c r="K237" s="51" t="s">
        <v>85</v>
      </c>
      <c r="L237" s="51">
        <v>1171089</v>
      </c>
      <c r="M237" s="51" t="s">
        <v>75</v>
      </c>
      <c r="N237" s="51">
        <v>10501083</v>
      </c>
      <c r="O237" s="51">
        <v>472033956</v>
      </c>
      <c r="P237" s="51" t="s">
        <v>2554</v>
      </c>
      <c r="Q237" s="51" t="s">
        <v>1459</v>
      </c>
      <c r="R237" s="51" t="s">
        <v>2555</v>
      </c>
      <c r="S237" s="51" t="s">
        <v>1459</v>
      </c>
      <c r="T237" s="51" t="s">
        <v>2556</v>
      </c>
      <c r="U237" s="51">
        <v>240</v>
      </c>
      <c r="V237" s="51">
        <v>69</v>
      </c>
      <c r="W237" s="51" t="s">
        <v>1332</v>
      </c>
      <c r="X237" s="51">
        <v>1.32</v>
      </c>
      <c r="Y237" s="51" t="s">
        <v>182</v>
      </c>
      <c r="Z237" s="51">
        <v>316.8</v>
      </c>
      <c r="AA237" s="51">
        <v>91.08</v>
      </c>
      <c r="AB237" s="51" t="s">
        <v>182</v>
      </c>
      <c r="AC237" s="51" t="s">
        <v>181</v>
      </c>
      <c r="AD237" s="51" t="s">
        <v>97</v>
      </c>
      <c r="AE237" s="51" t="s">
        <v>69</v>
      </c>
      <c r="AF237" s="51" t="s">
        <v>94</v>
      </c>
      <c r="AG237" s="51" t="s">
        <v>71</v>
      </c>
      <c r="AH237" s="53">
        <v>42430</v>
      </c>
      <c r="AI237" s="51" t="s">
        <v>64</v>
      </c>
      <c r="AJ237" s="53">
        <v>42425</v>
      </c>
      <c r="AK237" s="51" t="s">
        <v>72</v>
      </c>
      <c r="AL237" s="51">
        <v>62091512</v>
      </c>
      <c r="AM237" s="53">
        <v>42431</v>
      </c>
      <c r="AN237" s="51" t="s">
        <v>985</v>
      </c>
      <c r="AO237" s="51" t="s">
        <v>2557</v>
      </c>
    </row>
    <row r="238" spans="1:41" x14ac:dyDescent="0.2">
      <c r="A238" s="51">
        <v>10020777</v>
      </c>
      <c r="B238" s="51">
        <v>1510</v>
      </c>
      <c r="C238" s="51" t="s">
        <v>25</v>
      </c>
      <c r="D238" s="51" t="s">
        <v>149</v>
      </c>
      <c r="E238" s="53">
        <v>42425</v>
      </c>
      <c r="F238" s="51">
        <v>93680230</v>
      </c>
      <c r="G238" s="51">
        <v>1510</v>
      </c>
      <c r="H238" s="51">
        <v>1201047</v>
      </c>
      <c r="I238" s="51" t="s">
        <v>79</v>
      </c>
      <c r="J238" s="51">
        <v>1051549</v>
      </c>
      <c r="K238" s="51" t="s">
        <v>85</v>
      </c>
      <c r="L238" s="51">
        <v>1171089</v>
      </c>
      <c r="M238" s="51" t="s">
        <v>75</v>
      </c>
      <c r="N238" s="51">
        <v>12922742</v>
      </c>
      <c r="O238" s="51">
        <v>472033956</v>
      </c>
      <c r="P238" s="51" t="s">
        <v>2554</v>
      </c>
      <c r="Q238" s="51" t="s">
        <v>1459</v>
      </c>
      <c r="R238" s="51" t="s">
        <v>2555</v>
      </c>
      <c r="S238" s="51" t="s">
        <v>1459</v>
      </c>
      <c r="T238" s="51" t="s">
        <v>2556</v>
      </c>
      <c r="U238" s="51">
        <v>48</v>
      </c>
      <c r="V238" s="51">
        <v>47</v>
      </c>
      <c r="W238" s="51" t="s">
        <v>1332</v>
      </c>
      <c r="X238" s="51">
        <v>1.32</v>
      </c>
      <c r="Y238" s="51" t="s">
        <v>182</v>
      </c>
      <c r="Z238" s="51">
        <v>63.36</v>
      </c>
      <c r="AA238" s="51">
        <v>62.04</v>
      </c>
      <c r="AB238" s="51" t="s">
        <v>182</v>
      </c>
      <c r="AC238" s="51" t="s">
        <v>181</v>
      </c>
      <c r="AD238" s="51" t="s">
        <v>102</v>
      </c>
      <c r="AE238" s="51" t="s">
        <v>63</v>
      </c>
      <c r="AF238" s="51"/>
      <c r="AG238" s="51"/>
      <c r="AH238" s="51"/>
      <c r="AI238" s="51" t="s">
        <v>64</v>
      </c>
      <c r="AJ238" s="53">
        <v>42425</v>
      </c>
      <c r="AK238" s="51"/>
      <c r="AL238" s="51"/>
      <c r="AM238" s="51"/>
      <c r="AN238" s="51"/>
      <c r="AO238" s="51"/>
    </row>
    <row r="239" spans="1:41" x14ac:dyDescent="0.2">
      <c r="A239" s="51">
        <v>10020778</v>
      </c>
      <c r="B239" s="51">
        <v>20</v>
      </c>
      <c r="C239" s="51" t="s">
        <v>26</v>
      </c>
      <c r="D239" s="51" t="s">
        <v>78</v>
      </c>
      <c r="E239" s="53">
        <v>42425</v>
      </c>
      <c r="F239" s="51">
        <v>93689067</v>
      </c>
      <c r="G239" s="51">
        <v>20</v>
      </c>
      <c r="H239" s="51">
        <v>1201156</v>
      </c>
      <c r="I239" s="51" t="s">
        <v>131</v>
      </c>
      <c r="J239" s="51">
        <v>1325957</v>
      </c>
      <c r="K239" s="51" t="s">
        <v>133</v>
      </c>
      <c r="L239" s="51">
        <v>1201156</v>
      </c>
      <c r="M239" s="51" t="s">
        <v>131</v>
      </c>
      <c r="N239" s="51">
        <v>302366</v>
      </c>
      <c r="O239" s="51">
        <v>228277811</v>
      </c>
      <c r="P239" s="51" t="s">
        <v>1387</v>
      </c>
      <c r="Q239" s="51" t="s">
        <v>1322</v>
      </c>
      <c r="R239" s="51" t="s">
        <v>1388</v>
      </c>
      <c r="S239" s="51" t="s">
        <v>1331</v>
      </c>
      <c r="T239" s="51" t="s">
        <v>2558</v>
      </c>
      <c r="U239" s="51">
        <v>324</v>
      </c>
      <c r="V239" s="51">
        <v>288</v>
      </c>
      <c r="W239" s="51" t="s">
        <v>1332</v>
      </c>
      <c r="X239" s="51">
        <v>40.31</v>
      </c>
      <c r="Y239" s="51" t="s">
        <v>182</v>
      </c>
      <c r="Z239" s="54">
        <v>13060.44</v>
      </c>
      <c r="AA239" s="54">
        <v>11609.28</v>
      </c>
      <c r="AB239" s="51" t="s">
        <v>182</v>
      </c>
      <c r="AC239" s="51" t="s">
        <v>181</v>
      </c>
      <c r="AD239" s="51" t="s">
        <v>67</v>
      </c>
      <c r="AE239" s="51" t="s">
        <v>63</v>
      </c>
      <c r="AF239" s="51"/>
      <c r="AG239" s="51"/>
      <c r="AH239" s="51"/>
      <c r="AI239" s="51"/>
      <c r="AJ239" s="51"/>
      <c r="AK239" s="51"/>
      <c r="AL239" s="51"/>
      <c r="AM239" s="51"/>
      <c r="AN239" s="51"/>
      <c r="AO239" s="51"/>
    </row>
    <row r="240" spans="1:41" x14ac:dyDescent="0.2">
      <c r="A240" s="51">
        <v>10020779</v>
      </c>
      <c r="B240" s="51">
        <v>20</v>
      </c>
      <c r="C240" s="51" t="s">
        <v>18</v>
      </c>
      <c r="D240" s="51" t="s">
        <v>432</v>
      </c>
      <c r="E240" s="53">
        <v>42425</v>
      </c>
      <c r="F240" s="51">
        <v>93695954</v>
      </c>
      <c r="G240" s="51">
        <v>20</v>
      </c>
      <c r="H240" s="51">
        <v>1201432</v>
      </c>
      <c r="I240" s="51" t="s">
        <v>660</v>
      </c>
      <c r="J240" s="51">
        <v>1306711</v>
      </c>
      <c r="K240" s="51" t="s">
        <v>660</v>
      </c>
      <c r="L240" s="51">
        <v>1172008</v>
      </c>
      <c r="M240" s="51" t="s">
        <v>660</v>
      </c>
      <c r="N240" s="51">
        <v>352800</v>
      </c>
      <c r="O240" s="51">
        <v>52544007730</v>
      </c>
      <c r="P240" s="51" t="s">
        <v>2559</v>
      </c>
      <c r="Q240" s="51" t="s">
        <v>1636</v>
      </c>
      <c r="R240" s="51" t="s">
        <v>2560</v>
      </c>
      <c r="S240" s="51" t="s">
        <v>2121</v>
      </c>
      <c r="T240" s="51">
        <v>1068789</v>
      </c>
      <c r="U240" s="51">
        <v>240</v>
      </c>
      <c r="V240" s="51">
        <v>72</v>
      </c>
      <c r="W240" s="51" t="s">
        <v>1332</v>
      </c>
      <c r="X240" s="51">
        <v>471.26</v>
      </c>
      <c r="Y240" s="51" t="s">
        <v>182</v>
      </c>
      <c r="Z240" s="54">
        <v>113102.39999999999</v>
      </c>
      <c r="AA240" s="54">
        <v>33930.720000000001</v>
      </c>
      <c r="AB240" s="51" t="s">
        <v>182</v>
      </c>
      <c r="AC240" s="51" t="s">
        <v>181</v>
      </c>
      <c r="AD240" s="51" t="s">
        <v>67</v>
      </c>
      <c r="AE240" s="51" t="s">
        <v>63</v>
      </c>
      <c r="AF240" s="51"/>
      <c r="AG240" s="51"/>
      <c r="AH240" s="51"/>
      <c r="AI240" s="51"/>
      <c r="AJ240" s="51"/>
      <c r="AK240" s="51"/>
      <c r="AL240" s="51"/>
      <c r="AM240" s="51"/>
      <c r="AN240" s="51"/>
      <c r="AO240" s="51"/>
    </row>
    <row r="241" spans="1:41" x14ac:dyDescent="0.2">
      <c r="A241" s="51">
        <v>10020780</v>
      </c>
      <c r="B241" s="51">
        <v>10</v>
      </c>
      <c r="C241" s="51" t="s">
        <v>22</v>
      </c>
      <c r="D241" s="51" t="s">
        <v>432</v>
      </c>
      <c r="E241" s="53">
        <v>42425</v>
      </c>
      <c r="F241" s="51">
        <v>93679092</v>
      </c>
      <c r="G241" s="51">
        <v>10</v>
      </c>
      <c r="H241" s="51">
        <v>1201354</v>
      </c>
      <c r="I241" s="51" t="s">
        <v>778</v>
      </c>
      <c r="J241" s="51">
        <v>1061270</v>
      </c>
      <c r="K241" s="51" t="s">
        <v>779</v>
      </c>
      <c r="L241" s="51">
        <v>1171836</v>
      </c>
      <c r="M241" s="51" t="s">
        <v>780</v>
      </c>
      <c r="N241" s="51" t="s">
        <v>2561</v>
      </c>
      <c r="O241" s="51">
        <v>60758011905</v>
      </c>
      <c r="P241" s="51" t="s">
        <v>1511</v>
      </c>
      <c r="Q241" s="51" t="s">
        <v>1322</v>
      </c>
      <c r="R241" s="51" t="s">
        <v>1400</v>
      </c>
      <c r="S241" s="51" t="s">
        <v>1331</v>
      </c>
      <c r="T241" s="51"/>
      <c r="U241" s="51">
        <v>4248</v>
      </c>
      <c r="V241" s="51">
        <v>4248</v>
      </c>
      <c r="W241" s="51" t="s">
        <v>1332</v>
      </c>
      <c r="X241" s="51">
        <v>20</v>
      </c>
      <c r="Y241" s="51" t="s">
        <v>182</v>
      </c>
      <c r="Z241" s="54">
        <v>84960</v>
      </c>
      <c r="AA241" s="54">
        <v>84960</v>
      </c>
      <c r="AB241" s="51" t="s">
        <v>182</v>
      </c>
      <c r="AC241" s="51" t="s">
        <v>181</v>
      </c>
      <c r="AD241" s="51" t="s">
        <v>97</v>
      </c>
      <c r="AE241" s="51" t="s">
        <v>69</v>
      </c>
      <c r="AF241" s="51" t="s">
        <v>94</v>
      </c>
      <c r="AG241" s="51" t="s">
        <v>71</v>
      </c>
      <c r="AH241" s="53">
        <v>42425</v>
      </c>
      <c r="AI241" s="51" t="s">
        <v>64</v>
      </c>
      <c r="AJ241" s="53">
        <v>42425</v>
      </c>
      <c r="AK241" s="51" t="s">
        <v>72</v>
      </c>
      <c r="AL241" s="51">
        <v>62089569</v>
      </c>
      <c r="AM241" s="53">
        <v>42429</v>
      </c>
      <c r="AN241" s="51" t="s">
        <v>107</v>
      </c>
      <c r="AO241" s="51" t="s">
        <v>2562</v>
      </c>
    </row>
    <row r="242" spans="1:41" x14ac:dyDescent="0.2">
      <c r="A242" s="51">
        <v>10020782</v>
      </c>
      <c r="B242" s="51">
        <v>1190</v>
      </c>
      <c r="C242" s="51" t="s">
        <v>25</v>
      </c>
      <c r="D242" s="51" t="s">
        <v>149</v>
      </c>
      <c r="E242" s="53">
        <v>42425</v>
      </c>
      <c r="F242" s="51">
        <v>93680226</v>
      </c>
      <c r="G242" s="51">
        <v>1190</v>
      </c>
      <c r="H242" s="51">
        <v>1201047</v>
      </c>
      <c r="I242" s="51" t="s">
        <v>79</v>
      </c>
      <c r="J242" s="51">
        <v>1003696</v>
      </c>
      <c r="K242" s="51" t="s">
        <v>80</v>
      </c>
      <c r="L242" s="51">
        <v>1171089</v>
      </c>
      <c r="M242" s="51" t="s">
        <v>75</v>
      </c>
      <c r="N242" s="51">
        <v>24519563</v>
      </c>
      <c r="O242" s="51">
        <v>472033956</v>
      </c>
      <c r="P242" s="51" t="s">
        <v>2554</v>
      </c>
      <c r="Q242" s="51" t="s">
        <v>1459</v>
      </c>
      <c r="R242" s="51" t="s">
        <v>2555</v>
      </c>
      <c r="S242" s="51" t="s">
        <v>1459</v>
      </c>
      <c r="T242" s="51" t="s">
        <v>2556</v>
      </c>
      <c r="U242" s="51">
        <v>96</v>
      </c>
      <c r="V242" s="51">
        <v>11</v>
      </c>
      <c r="W242" s="51" t="s">
        <v>1332</v>
      </c>
      <c r="X242" s="51">
        <v>1.32</v>
      </c>
      <c r="Y242" s="51" t="s">
        <v>182</v>
      </c>
      <c r="Z242" s="51">
        <v>126.72</v>
      </c>
      <c r="AA242" s="51">
        <v>14.52</v>
      </c>
      <c r="AB242" s="51" t="s">
        <v>182</v>
      </c>
      <c r="AC242" s="51" t="s">
        <v>181</v>
      </c>
      <c r="AD242" s="51" t="s">
        <v>168</v>
      </c>
      <c r="AE242" s="51" t="s">
        <v>63</v>
      </c>
      <c r="AF242" s="51"/>
      <c r="AG242" s="51"/>
      <c r="AH242" s="51"/>
      <c r="AI242" s="51" t="s">
        <v>64</v>
      </c>
      <c r="AJ242" s="53">
        <v>42425</v>
      </c>
      <c r="AK242" s="51"/>
      <c r="AL242" s="51"/>
      <c r="AM242" s="51"/>
      <c r="AN242" s="51"/>
      <c r="AO242" s="51"/>
    </row>
    <row r="243" spans="1:41" x14ac:dyDescent="0.2">
      <c r="A243" s="51">
        <v>10020783</v>
      </c>
      <c r="B243" s="51">
        <v>1530</v>
      </c>
      <c r="C243" s="51" t="s">
        <v>25</v>
      </c>
      <c r="D243" s="51" t="s">
        <v>149</v>
      </c>
      <c r="E243" s="53">
        <v>42425</v>
      </c>
      <c r="F243" s="51">
        <v>93680231</v>
      </c>
      <c r="G243" s="51">
        <v>1530</v>
      </c>
      <c r="H243" s="51">
        <v>1201047</v>
      </c>
      <c r="I243" s="51" t="s">
        <v>79</v>
      </c>
      <c r="J243" s="51">
        <v>1300235</v>
      </c>
      <c r="K243" s="51" t="s">
        <v>109</v>
      </c>
      <c r="L243" s="51">
        <v>1171089</v>
      </c>
      <c r="M243" s="51" t="s">
        <v>75</v>
      </c>
      <c r="N243" s="51">
        <v>8383119</v>
      </c>
      <c r="O243" s="51">
        <v>472033956</v>
      </c>
      <c r="P243" s="51" t="s">
        <v>2554</v>
      </c>
      <c r="Q243" s="51" t="s">
        <v>1459</v>
      </c>
      <c r="R243" s="51" t="s">
        <v>2555</v>
      </c>
      <c r="S243" s="51" t="s">
        <v>1459</v>
      </c>
      <c r="T243" s="51" t="s">
        <v>2556</v>
      </c>
      <c r="U243" s="51">
        <v>96</v>
      </c>
      <c r="V243" s="51">
        <v>66</v>
      </c>
      <c r="W243" s="51" t="s">
        <v>1332</v>
      </c>
      <c r="X243" s="51">
        <v>1.32</v>
      </c>
      <c r="Y243" s="51" t="s">
        <v>182</v>
      </c>
      <c r="Z243" s="51">
        <v>126.72</v>
      </c>
      <c r="AA243" s="51">
        <v>87.12</v>
      </c>
      <c r="AB243" s="51" t="s">
        <v>182</v>
      </c>
      <c r="AC243" s="51" t="s">
        <v>181</v>
      </c>
      <c r="AD243" s="51" t="s">
        <v>91</v>
      </c>
      <c r="AE243" s="51" t="s">
        <v>63</v>
      </c>
      <c r="AF243" s="51"/>
      <c r="AG243" s="51"/>
      <c r="AH243" s="51"/>
      <c r="AI243" s="51" t="s">
        <v>64</v>
      </c>
      <c r="AJ243" s="53">
        <v>42425</v>
      </c>
      <c r="AK243" s="51"/>
      <c r="AL243" s="51"/>
      <c r="AM243" s="51"/>
      <c r="AN243" s="51"/>
      <c r="AO243" s="51"/>
    </row>
    <row r="244" spans="1:41" x14ac:dyDescent="0.2">
      <c r="A244" s="51">
        <v>10020785</v>
      </c>
      <c r="B244" s="51">
        <v>250</v>
      </c>
      <c r="C244" s="51" t="s">
        <v>22</v>
      </c>
      <c r="D244" s="51" t="s">
        <v>78</v>
      </c>
      <c r="E244" s="53">
        <v>42425</v>
      </c>
      <c r="F244" s="51">
        <v>93672293</v>
      </c>
      <c r="G244" s="51">
        <v>250</v>
      </c>
      <c r="H244" s="51">
        <v>1201315</v>
      </c>
      <c r="I244" s="51" t="s">
        <v>256</v>
      </c>
      <c r="J244" s="51">
        <v>1319381</v>
      </c>
      <c r="K244" s="51" t="s">
        <v>256</v>
      </c>
      <c r="L244" s="51">
        <v>1201315</v>
      </c>
      <c r="M244" s="51" t="s">
        <v>256</v>
      </c>
      <c r="N244" s="51">
        <v>5707453</v>
      </c>
      <c r="O244" s="51">
        <v>591247330</v>
      </c>
      <c r="P244" s="51" t="s">
        <v>2009</v>
      </c>
      <c r="Q244" s="51" t="s">
        <v>1322</v>
      </c>
      <c r="R244" s="51" t="s">
        <v>2010</v>
      </c>
      <c r="S244" s="51" t="s">
        <v>1331</v>
      </c>
      <c r="T244" s="51" t="s">
        <v>2563</v>
      </c>
      <c r="U244" s="51">
        <v>72</v>
      </c>
      <c r="V244" s="51">
        <v>48</v>
      </c>
      <c r="W244" s="51" t="s">
        <v>1332</v>
      </c>
      <c r="X244" s="51">
        <v>22.85</v>
      </c>
      <c r="Y244" s="51" t="s">
        <v>182</v>
      </c>
      <c r="Z244" s="54">
        <v>1645.2</v>
      </c>
      <c r="AA244" s="54">
        <v>1096.8</v>
      </c>
      <c r="AB244" s="51" t="s">
        <v>182</v>
      </c>
      <c r="AC244" s="51" t="s">
        <v>181</v>
      </c>
      <c r="AD244" s="51" t="s">
        <v>67</v>
      </c>
      <c r="AE244" s="51" t="s">
        <v>63</v>
      </c>
      <c r="AF244" s="51"/>
      <c r="AG244" s="51"/>
      <c r="AH244" s="51"/>
      <c r="AI244" s="51" t="s">
        <v>64</v>
      </c>
      <c r="AJ244" s="53">
        <v>42425</v>
      </c>
      <c r="AK244" s="51"/>
      <c r="AL244" s="51"/>
      <c r="AM244" s="51"/>
      <c r="AN244" s="51"/>
      <c r="AO244" s="51"/>
    </row>
    <row r="245" spans="1:41" x14ac:dyDescent="0.2">
      <c r="A245" s="51">
        <v>10020786</v>
      </c>
      <c r="B245" s="51">
        <v>10</v>
      </c>
      <c r="C245" s="51" t="s">
        <v>26</v>
      </c>
      <c r="D245" s="51" t="s">
        <v>149</v>
      </c>
      <c r="E245" s="53">
        <v>42425</v>
      </c>
      <c r="F245" s="51">
        <v>93688998</v>
      </c>
      <c r="G245" s="51">
        <v>10</v>
      </c>
      <c r="H245" s="51">
        <v>1201047</v>
      </c>
      <c r="I245" s="51" t="s">
        <v>79</v>
      </c>
      <c r="J245" s="51">
        <v>1309880</v>
      </c>
      <c r="K245" s="51" t="s">
        <v>108</v>
      </c>
      <c r="L245" s="51">
        <v>1171089</v>
      </c>
      <c r="M245" s="51" t="s">
        <v>75</v>
      </c>
      <c r="N245" s="51">
        <v>105082</v>
      </c>
      <c r="O245" s="51">
        <v>472034356</v>
      </c>
      <c r="P245" s="51" t="s">
        <v>2171</v>
      </c>
      <c r="Q245" s="51" t="s">
        <v>1459</v>
      </c>
      <c r="R245" s="51" t="s">
        <v>2117</v>
      </c>
      <c r="S245" s="51" t="s">
        <v>1459</v>
      </c>
      <c r="T245" s="51" t="s">
        <v>2564</v>
      </c>
      <c r="U245" s="51">
        <v>6</v>
      </c>
      <c r="V245" s="51">
        <v>96</v>
      </c>
      <c r="W245" s="51" t="s">
        <v>1332</v>
      </c>
      <c r="X245" s="51">
        <v>1.32</v>
      </c>
      <c r="Y245" s="51" t="s">
        <v>182</v>
      </c>
      <c r="Z245" s="51">
        <v>380.16</v>
      </c>
      <c r="AA245" s="51">
        <v>126.72</v>
      </c>
      <c r="AB245" s="51" t="s">
        <v>182</v>
      </c>
      <c r="AC245" s="51" t="s">
        <v>181</v>
      </c>
      <c r="AD245" s="51" t="s">
        <v>97</v>
      </c>
      <c r="AE245" s="51" t="s">
        <v>63</v>
      </c>
      <c r="AF245" s="51" t="s">
        <v>81</v>
      </c>
      <c r="AG245" s="51" t="s">
        <v>88</v>
      </c>
      <c r="AH245" s="53">
        <v>42429</v>
      </c>
      <c r="AI245" s="51" t="s">
        <v>64</v>
      </c>
      <c r="AJ245" s="53">
        <v>42425</v>
      </c>
      <c r="AK245" s="51"/>
      <c r="AL245" s="51"/>
      <c r="AM245" s="51"/>
      <c r="AN245" s="51" t="s">
        <v>89</v>
      </c>
      <c r="AO245" s="51" t="s">
        <v>193</v>
      </c>
    </row>
    <row r="246" spans="1:41" x14ac:dyDescent="0.2">
      <c r="A246" s="51">
        <v>10020787</v>
      </c>
      <c r="B246" s="51">
        <v>80</v>
      </c>
      <c r="C246" s="51" t="s">
        <v>26</v>
      </c>
      <c r="D246" s="51" t="s">
        <v>432</v>
      </c>
      <c r="E246" s="53">
        <v>42425</v>
      </c>
      <c r="F246" s="51">
        <v>93696063</v>
      </c>
      <c r="G246" s="51">
        <v>80</v>
      </c>
      <c r="H246" s="51">
        <v>1201731</v>
      </c>
      <c r="I246" s="51" t="s">
        <v>342</v>
      </c>
      <c r="J246" s="51">
        <v>1319945</v>
      </c>
      <c r="K246" s="51" t="s">
        <v>343</v>
      </c>
      <c r="L246" s="51">
        <v>1171089</v>
      </c>
      <c r="M246" s="51" t="s">
        <v>75</v>
      </c>
      <c r="N246" s="51">
        <v>300075871</v>
      </c>
      <c r="O246" s="51">
        <v>45963061359</v>
      </c>
      <c r="P246" s="51" t="s">
        <v>1914</v>
      </c>
      <c r="Q246" s="51" t="s">
        <v>1322</v>
      </c>
      <c r="R246" s="51" t="s">
        <v>2370</v>
      </c>
      <c r="S246" s="51" t="s">
        <v>1331</v>
      </c>
      <c r="T246" s="51"/>
      <c r="U246" s="51">
        <v>2000</v>
      </c>
      <c r="V246" s="51">
        <v>55</v>
      </c>
      <c r="W246" s="51" t="s">
        <v>1332</v>
      </c>
      <c r="X246" s="51">
        <v>100</v>
      </c>
      <c r="Y246" s="51" t="s">
        <v>182</v>
      </c>
      <c r="Z246" s="54">
        <v>200000</v>
      </c>
      <c r="AA246" s="54">
        <v>5500</v>
      </c>
      <c r="AB246" s="51" t="s">
        <v>182</v>
      </c>
      <c r="AC246" s="51" t="s">
        <v>181</v>
      </c>
      <c r="AD246" s="51" t="s">
        <v>67</v>
      </c>
      <c r="AE246" s="51" t="s">
        <v>63</v>
      </c>
      <c r="AF246" s="51" t="s">
        <v>70</v>
      </c>
      <c r="AG246" s="51" t="s">
        <v>82</v>
      </c>
      <c r="AH246" s="53">
        <v>42429</v>
      </c>
      <c r="AI246" s="51" t="s">
        <v>64</v>
      </c>
      <c r="AJ246" s="53">
        <v>42425</v>
      </c>
      <c r="AK246" s="51"/>
      <c r="AL246" s="51"/>
      <c r="AM246" s="51"/>
      <c r="AN246" s="51" t="s">
        <v>2565</v>
      </c>
      <c r="AO246" s="51" t="s">
        <v>2566</v>
      </c>
    </row>
    <row r="247" spans="1:41" x14ac:dyDescent="0.2">
      <c r="A247" s="51">
        <v>10020788</v>
      </c>
      <c r="B247" s="51">
        <v>80</v>
      </c>
      <c r="C247" s="51" t="s">
        <v>18</v>
      </c>
      <c r="D247" s="51" t="s">
        <v>432</v>
      </c>
      <c r="E247" s="53">
        <v>42425</v>
      </c>
      <c r="F247" s="51">
        <v>93696063</v>
      </c>
      <c r="G247" s="51">
        <v>80</v>
      </c>
      <c r="H247" s="51">
        <v>1201731</v>
      </c>
      <c r="I247" s="51" t="s">
        <v>342</v>
      </c>
      <c r="J247" s="51">
        <v>1319945</v>
      </c>
      <c r="K247" s="51" t="s">
        <v>343</v>
      </c>
      <c r="L247" s="51">
        <v>1171089</v>
      </c>
      <c r="M247" s="51" t="s">
        <v>75</v>
      </c>
      <c r="N247" s="51">
        <v>300075871</v>
      </c>
      <c r="O247" s="51">
        <v>45963061359</v>
      </c>
      <c r="P247" s="51" t="s">
        <v>1914</v>
      </c>
      <c r="Q247" s="51" t="s">
        <v>1322</v>
      </c>
      <c r="R247" s="51" t="s">
        <v>2370</v>
      </c>
      <c r="S247" s="51" t="s">
        <v>1331</v>
      </c>
      <c r="T247" s="51"/>
      <c r="U247" s="51">
        <v>2000</v>
      </c>
      <c r="V247" s="51">
        <v>55</v>
      </c>
      <c r="W247" s="51" t="s">
        <v>1332</v>
      </c>
      <c r="X247" s="51">
        <v>100</v>
      </c>
      <c r="Y247" s="51" t="s">
        <v>182</v>
      </c>
      <c r="Z247" s="54">
        <v>200000</v>
      </c>
      <c r="AA247" s="54">
        <v>5500</v>
      </c>
      <c r="AB247" s="51" t="s">
        <v>182</v>
      </c>
      <c r="AC247" s="51" t="s">
        <v>181</v>
      </c>
      <c r="AD247" s="51" t="s">
        <v>67</v>
      </c>
      <c r="AE247" s="51" t="s">
        <v>63</v>
      </c>
      <c r="AF247" s="51" t="s">
        <v>70</v>
      </c>
      <c r="AG247" s="51" t="s">
        <v>76</v>
      </c>
      <c r="AH247" s="53">
        <v>42429</v>
      </c>
      <c r="AI247" s="51" t="s">
        <v>64</v>
      </c>
      <c r="AJ247" s="53">
        <v>42425</v>
      </c>
      <c r="AK247" s="51"/>
      <c r="AL247" s="51"/>
      <c r="AM247" s="51"/>
      <c r="AN247" s="51" t="s">
        <v>77</v>
      </c>
      <c r="AO247" s="51" t="s">
        <v>2567</v>
      </c>
    </row>
    <row r="248" spans="1:41" x14ac:dyDescent="0.2">
      <c r="A248" s="51">
        <v>10020789</v>
      </c>
      <c r="B248" s="51">
        <v>270</v>
      </c>
      <c r="C248" s="51" t="s">
        <v>26</v>
      </c>
      <c r="D248" s="51" t="s">
        <v>149</v>
      </c>
      <c r="E248" s="53">
        <v>42425</v>
      </c>
      <c r="F248" s="51">
        <v>93691292</v>
      </c>
      <c r="G248" s="51">
        <v>270</v>
      </c>
      <c r="H248" s="51">
        <v>1201047</v>
      </c>
      <c r="I248" s="51" t="s">
        <v>79</v>
      </c>
      <c r="J248" s="51">
        <v>1019056</v>
      </c>
      <c r="K248" s="51" t="s">
        <v>80</v>
      </c>
      <c r="L248" s="51">
        <v>1171089</v>
      </c>
      <c r="M248" s="51" t="s">
        <v>75</v>
      </c>
      <c r="N248" s="51">
        <v>41408962</v>
      </c>
      <c r="O248" s="51">
        <v>16252060144</v>
      </c>
      <c r="P248" s="51" t="s">
        <v>1350</v>
      </c>
      <c r="Q248" s="51" t="s">
        <v>1322</v>
      </c>
      <c r="R248" s="51" t="s">
        <v>1351</v>
      </c>
      <c r="S248" s="51" t="s">
        <v>1331</v>
      </c>
      <c r="T248" s="51">
        <v>1152249</v>
      </c>
      <c r="U248" s="51">
        <v>1800</v>
      </c>
      <c r="V248" s="51">
        <v>60</v>
      </c>
      <c r="W248" s="51" t="s">
        <v>1332</v>
      </c>
      <c r="X248" s="51">
        <v>3.5</v>
      </c>
      <c r="Y248" s="51" t="s">
        <v>182</v>
      </c>
      <c r="Z248" s="54">
        <v>6300</v>
      </c>
      <c r="AA248" s="51">
        <v>210</v>
      </c>
      <c r="AB248" s="51" t="s">
        <v>182</v>
      </c>
      <c r="AC248" s="51" t="s">
        <v>181</v>
      </c>
      <c r="AD248" s="51" t="s">
        <v>97</v>
      </c>
      <c r="AE248" s="51" t="s">
        <v>63</v>
      </c>
      <c r="AF248" s="51" t="s">
        <v>81</v>
      </c>
      <c r="AG248" s="51" t="s">
        <v>82</v>
      </c>
      <c r="AH248" s="53">
        <v>42431</v>
      </c>
      <c r="AI248" s="51" t="s">
        <v>64</v>
      </c>
      <c r="AJ248" s="53">
        <v>42425</v>
      </c>
      <c r="AK248" s="51"/>
      <c r="AL248" s="51"/>
      <c r="AM248" s="51"/>
      <c r="AN248" s="51" t="s">
        <v>84</v>
      </c>
      <c r="AO248" s="51" t="s">
        <v>2568</v>
      </c>
    </row>
    <row r="249" spans="1:41" x14ac:dyDescent="0.2">
      <c r="A249" s="51">
        <v>10020790</v>
      </c>
      <c r="B249" s="51">
        <v>210</v>
      </c>
      <c r="C249" s="51" t="s">
        <v>26</v>
      </c>
      <c r="D249" s="51" t="s">
        <v>149</v>
      </c>
      <c r="E249" s="53">
        <v>42425</v>
      </c>
      <c r="F249" s="51">
        <v>93696967</v>
      </c>
      <c r="G249" s="51">
        <v>210</v>
      </c>
      <c r="H249" s="51">
        <v>1201047</v>
      </c>
      <c r="I249" s="51" t="s">
        <v>79</v>
      </c>
      <c r="J249" s="51">
        <v>1002905</v>
      </c>
      <c r="K249" s="51" t="s">
        <v>80</v>
      </c>
      <c r="L249" s="51">
        <v>1171089</v>
      </c>
      <c r="M249" s="51" t="s">
        <v>75</v>
      </c>
      <c r="N249" s="51">
        <v>38296684</v>
      </c>
      <c r="O249" s="51">
        <v>591261205</v>
      </c>
      <c r="P249" s="51" t="s">
        <v>2544</v>
      </c>
      <c r="Q249" s="51" t="s">
        <v>1322</v>
      </c>
      <c r="R249" s="51" t="s">
        <v>2545</v>
      </c>
      <c r="S249" s="51">
        <v>2</v>
      </c>
      <c r="T249" s="51"/>
      <c r="U249" s="51">
        <v>276</v>
      </c>
      <c r="V249" s="51">
        <v>132</v>
      </c>
      <c r="W249" s="51" t="s">
        <v>1332</v>
      </c>
      <c r="X249" s="51">
        <v>219.39</v>
      </c>
      <c r="Y249" s="51" t="s">
        <v>182</v>
      </c>
      <c r="Z249" s="54">
        <v>60551.64</v>
      </c>
      <c r="AA249" s="54">
        <v>28959.48</v>
      </c>
      <c r="AB249" s="51" t="s">
        <v>182</v>
      </c>
      <c r="AC249" s="51" t="s">
        <v>181</v>
      </c>
      <c r="AD249" s="51" t="s">
        <v>91</v>
      </c>
      <c r="AE249" s="51" t="s">
        <v>63</v>
      </c>
      <c r="AF249" s="51" t="s">
        <v>70</v>
      </c>
      <c r="AG249" s="51" t="s">
        <v>71</v>
      </c>
      <c r="AH249" s="53">
        <v>42430</v>
      </c>
      <c r="AI249" s="51" t="s">
        <v>83</v>
      </c>
      <c r="AJ249" s="53">
        <v>42430</v>
      </c>
      <c r="AK249" s="51"/>
      <c r="AL249" s="51"/>
      <c r="AM249" s="51"/>
      <c r="AN249" s="51" t="s">
        <v>893</v>
      </c>
      <c r="AO249" s="51" t="s">
        <v>2569</v>
      </c>
    </row>
    <row r="250" spans="1:41" x14ac:dyDescent="0.2">
      <c r="A250" s="51">
        <v>10020790</v>
      </c>
      <c r="B250" s="51">
        <v>240</v>
      </c>
      <c r="C250" s="51" t="s">
        <v>26</v>
      </c>
      <c r="D250" s="51" t="s">
        <v>149</v>
      </c>
      <c r="E250" s="53">
        <v>42425</v>
      </c>
      <c r="F250" s="51">
        <v>93696967</v>
      </c>
      <c r="G250" s="51">
        <v>240</v>
      </c>
      <c r="H250" s="51">
        <v>1201047</v>
      </c>
      <c r="I250" s="51" t="s">
        <v>79</v>
      </c>
      <c r="J250" s="51">
        <v>1002905</v>
      </c>
      <c r="K250" s="51" t="s">
        <v>80</v>
      </c>
      <c r="L250" s="51">
        <v>1171089</v>
      </c>
      <c r="M250" s="51" t="s">
        <v>75</v>
      </c>
      <c r="N250" s="51">
        <v>38296684</v>
      </c>
      <c r="O250" s="51">
        <v>591320205</v>
      </c>
      <c r="P250" s="51" t="s">
        <v>2547</v>
      </c>
      <c r="Q250" s="51" t="s">
        <v>1322</v>
      </c>
      <c r="R250" s="51" t="s">
        <v>2545</v>
      </c>
      <c r="S250" s="51">
        <v>2</v>
      </c>
      <c r="T250" s="51" t="s">
        <v>2570</v>
      </c>
      <c r="U250" s="51">
        <v>420</v>
      </c>
      <c r="V250" s="51">
        <v>420</v>
      </c>
      <c r="W250" s="51" t="s">
        <v>1332</v>
      </c>
      <c r="X250" s="51">
        <v>191.45</v>
      </c>
      <c r="Y250" s="51" t="s">
        <v>182</v>
      </c>
      <c r="Z250" s="54">
        <v>80409</v>
      </c>
      <c r="AA250" s="54">
        <v>80409</v>
      </c>
      <c r="AB250" s="51" t="s">
        <v>182</v>
      </c>
      <c r="AC250" s="51" t="s">
        <v>181</v>
      </c>
      <c r="AD250" s="51" t="s">
        <v>91</v>
      </c>
      <c r="AE250" s="51" t="s">
        <v>63</v>
      </c>
      <c r="AF250" s="51" t="s">
        <v>70</v>
      </c>
      <c r="AG250" s="51" t="s">
        <v>71</v>
      </c>
      <c r="AH250" s="53">
        <v>42430</v>
      </c>
      <c r="AI250" s="51" t="s">
        <v>83</v>
      </c>
      <c r="AJ250" s="53">
        <v>42430</v>
      </c>
      <c r="AK250" s="51"/>
      <c r="AL250" s="51"/>
      <c r="AM250" s="51"/>
      <c r="AN250" s="51" t="s">
        <v>893</v>
      </c>
      <c r="AO250" s="51" t="s">
        <v>2569</v>
      </c>
    </row>
    <row r="251" spans="1:41" x14ac:dyDescent="0.2">
      <c r="A251" s="51">
        <v>10020790</v>
      </c>
      <c r="B251" s="51">
        <v>250</v>
      </c>
      <c r="C251" s="51" t="s">
        <v>26</v>
      </c>
      <c r="D251" s="51" t="s">
        <v>149</v>
      </c>
      <c r="E251" s="53">
        <v>42425</v>
      </c>
      <c r="F251" s="51">
        <v>93696967</v>
      </c>
      <c r="G251" s="51">
        <v>250</v>
      </c>
      <c r="H251" s="51">
        <v>1201047</v>
      </c>
      <c r="I251" s="51" t="s">
        <v>79</v>
      </c>
      <c r="J251" s="51">
        <v>1002905</v>
      </c>
      <c r="K251" s="51" t="s">
        <v>80</v>
      </c>
      <c r="L251" s="51">
        <v>1171089</v>
      </c>
      <c r="M251" s="51" t="s">
        <v>75</v>
      </c>
      <c r="N251" s="51">
        <v>38296684</v>
      </c>
      <c r="O251" s="51">
        <v>591260505</v>
      </c>
      <c r="P251" s="51" t="s">
        <v>2549</v>
      </c>
      <c r="Q251" s="51" t="s">
        <v>1322</v>
      </c>
      <c r="R251" s="51" t="s">
        <v>2545</v>
      </c>
      <c r="S251" s="51">
        <v>2</v>
      </c>
      <c r="T251" s="51" t="s">
        <v>2550</v>
      </c>
      <c r="U251" s="51">
        <v>132</v>
      </c>
      <c r="V251" s="51">
        <v>132</v>
      </c>
      <c r="W251" s="51" t="s">
        <v>1332</v>
      </c>
      <c r="X251" s="51">
        <v>209.05</v>
      </c>
      <c r="Y251" s="51" t="s">
        <v>182</v>
      </c>
      <c r="Z251" s="54">
        <v>27594.6</v>
      </c>
      <c r="AA251" s="54">
        <v>27594.6</v>
      </c>
      <c r="AB251" s="51" t="s">
        <v>182</v>
      </c>
      <c r="AC251" s="51" t="s">
        <v>181</v>
      </c>
      <c r="AD251" s="51" t="s">
        <v>91</v>
      </c>
      <c r="AE251" s="51" t="s">
        <v>63</v>
      </c>
      <c r="AF251" s="51" t="s">
        <v>70</v>
      </c>
      <c r="AG251" s="51" t="s">
        <v>71</v>
      </c>
      <c r="AH251" s="53">
        <v>42430</v>
      </c>
      <c r="AI251" s="51" t="s">
        <v>83</v>
      </c>
      <c r="AJ251" s="53">
        <v>42430</v>
      </c>
      <c r="AK251" s="51"/>
      <c r="AL251" s="51"/>
      <c r="AM251" s="51"/>
      <c r="AN251" s="51" t="s">
        <v>893</v>
      </c>
      <c r="AO251" s="51" t="s">
        <v>2569</v>
      </c>
    </row>
    <row r="252" spans="1:41" x14ac:dyDescent="0.2">
      <c r="A252" s="51">
        <v>10020790</v>
      </c>
      <c r="B252" s="51">
        <v>270</v>
      </c>
      <c r="C252" s="51" t="s">
        <v>26</v>
      </c>
      <c r="D252" s="51" t="s">
        <v>149</v>
      </c>
      <c r="E252" s="53">
        <v>42425</v>
      </c>
      <c r="F252" s="51">
        <v>93696967</v>
      </c>
      <c r="G252" s="51">
        <v>270</v>
      </c>
      <c r="H252" s="51">
        <v>1201047</v>
      </c>
      <c r="I252" s="51" t="s">
        <v>79</v>
      </c>
      <c r="J252" s="51">
        <v>1002905</v>
      </c>
      <c r="K252" s="51" t="s">
        <v>80</v>
      </c>
      <c r="L252" s="51">
        <v>1171089</v>
      </c>
      <c r="M252" s="51" t="s">
        <v>75</v>
      </c>
      <c r="N252" s="51">
        <v>38296684</v>
      </c>
      <c r="O252" s="51">
        <v>62037052401</v>
      </c>
      <c r="P252" s="51" t="s">
        <v>2551</v>
      </c>
      <c r="Q252" s="51" t="s">
        <v>1322</v>
      </c>
      <c r="R252" s="51" t="s">
        <v>2552</v>
      </c>
      <c r="S252" s="51">
        <v>2</v>
      </c>
      <c r="T252" s="51" t="s">
        <v>2553</v>
      </c>
      <c r="U252" s="51">
        <v>96</v>
      </c>
      <c r="V252" s="51">
        <v>96</v>
      </c>
      <c r="W252" s="51" t="s">
        <v>1332</v>
      </c>
      <c r="X252" s="51">
        <v>84.95</v>
      </c>
      <c r="Y252" s="51" t="s">
        <v>182</v>
      </c>
      <c r="Z252" s="54">
        <v>8155.2</v>
      </c>
      <c r="AA252" s="54">
        <v>8155.2</v>
      </c>
      <c r="AB252" s="51" t="s">
        <v>182</v>
      </c>
      <c r="AC252" s="51" t="s">
        <v>181</v>
      </c>
      <c r="AD252" s="51" t="s">
        <v>91</v>
      </c>
      <c r="AE252" s="51" t="s">
        <v>63</v>
      </c>
      <c r="AF252" s="51" t="s">
        <v>70</v>
      </c>
      <c r="AG252" s="51" t="s">
        <v>71</v>
      </c>
      <c r="AH252" s="53">
        <v>42430</v>
      </c>
      <c r="AI252" s="51" t="s">
        <v>83</v>
      </c>
      <c r="AJ252" s="53">
        <v>42430</v>
      </c>
      <c r="AK252" s="51"/>
      <c r="AL252" s="51"/>
      <c r="AM252" s="51"/>
      <c r="AN252" s="51" t="s">
        <v>893</v>
      </c>
      <c r="AO252" s="51" t="s">
        <v>2569</v>
      </c>
    </row>
    <row r="253" spans="1:41" x14ac:dyDescent="0.2">
      <c r="A253" s="51">
        <v>10020791</v>
      </c>
      <c r="B253" s="51">
        <v>550</v>
      </c>
      <c r="C253" s="51" t="s">
        <v>25</v>
      </c>
      <c r="D253" s="51" t="s">
        <v>149</v>
      </c>
      <c r="E253" s="53">
        <v>42426</v>
      </c>
      <c r="F253" s="51">
        <v>93678136</v>
      </c>
      <c r="G253" s="51">
        <v>550</v>
      </c>
      <c r="H253" s="51">
        <v>1201047</v>
      </c>
      <c r="I253" s="51" t="s">
        <v>79</v>
      </c>
      <c r="J253" s="51">
        <v>1341515</v>
      </c>
      <c r="K253" s="51" t="s">
        <v>85</v>
      </c>
      <c r="L253" s="51">
        <v>1171089</v>
      </c>
      <c r="M253" s="51" t="s">
        <v>75</v>
      </c>
      <c r="N253" s="51">
        <v>14106616</v>
      </c>
      <c r="O253" s="51">
        <v>472033956</v>
      </c>
      <c r="P253" s="51" t="s">
        <v>2554</v>
      </c>
      <c r="Q253" s="51" t="s">
        <v>1459</v>
      </c>
      <c r="R253" s="51" t="s">
        <v>2555</v>
      </c>
      <c r="S253" s="51" t="s">
        <v>1459</v>
      </c>
      <c r="T253" s="51" t="s">
        <v>2556</v>
      </c>
      <c r="U253" s="51">
        <v>96</v>
      </c>
      <c r="V253" s="51">
        <v>10</v>
      </c>
      <c r="W253" s="51" t="s">
        <v>1332</v>
      </c>
      <c r="X253" s="51">
        <v>1.32</v>
      </c>
      <c r="Y253" s="51" t="s">
        <v>182</v>
      </c>
      <c r="Z253" s="51">
        <v>126.72</v>
      </c>
      <c r="AA253" s="51">
        <v>13.2</v>
      </c>
      <c r="AB253" s="51" t="s">
        <v>182</v>
      </c>
      <c r="AC253" s="51" t="s">
        <v>181</v>
      </c>
      <c r="AD253" s="51" t="s">
        <v>67</v>
      </c>
      <c r="AE253" s="51" t="s">
        <v>63</v>
      </c>
      <c r="AF253" s="51"/>
      <c r="AG253" s="51"/>
      <c r="AH253" s="51"/>
      <c r="AI253" s="51" t="s">
        <v>64</v>
      </c>
      <c r="AJ253" s="53">
        <v>42426</v>
      </c>
      <c r="AK253" s="51"/>
      <c r="AL253" s="51"/>
      <c r="AM253" s="51"/>
      <c r="AN253" s="51"/>
      <c r="AO253" s="51"/>
    </row>
    <row r="254" spans="1:41" x14ac:dyDescent="0.2">
      <c r="A254" s="51">
        <v>10020792</v>
      </c>
      <c r="B254" s="51">
        <v>50</v>
      </c>
      <c r="C254" s="51" t="s">
        <v>18</v>
      </c>
      <c r="D254" s="51" t="s">
        <v>432</v>
      </c>
      <c r="E254" s="53">
        <v>42429</v>
      </c>
      <c r="F254" s="51">
        <v>93697282</v>
      </c>
      <c r="G254" s="51">
        <v>50</v>
      </c>
      <c r="H254" s="51">
        <v>1201519</v>
      </c>
      <c r="I254" s="51" t="s">
        <v>668</v>
      </c>
      <c r="J254" s="51">
        <v>1317471</v>
      </c>
      <c r="K254" s="51" t="s">
        <v>669</v>
      </c>
      <c r="L254" s="51">
        <v>1201519</v>
      </c>
      <c r="M254" s="51" t="s">
        <v>668</v>
      </c>
      <c r="N254" s="51" t="s">
        <v>2571</v>
      </c>
      <c r="O254" s="51">
        <v>591248179</v>
      </c>
      <c r="P254" s="51" t="s">
        <v>2572</v>
      </c>
      <c r="Q254" s="51" t="s">
        <v>1322</v>
      </c>
      <c r="R254" s="51" t="s">
        <v>2573</v>
      </c>
      <c r="S254" s="51" t="s">
        <v>1331</v>
      </c>
      <c r="T254" s="51" t="s">
        <v>2574</v>
      </c>
      <c r="U254" s="51">
        <v>936</v>
      </c>
      <c r="V254" s="51">
        <v>24</v>
      </c>
      <c r="W254" s="51" t="s">
        <v>1324</v>
      </c>
      <c r="X254" s="51">
        <v>3.57</v>
      </c>
      <c r="Y254" s="51" t="s">
        <v>182</v>
      </c>
      <c r="Z254" s="54">
        <v>3341.52</v>
      </c>
      <c r="AA254" s="51">
        <v>85.68</v>
      </c>
      <c r="AB254" s="51" t="s">
        <v>182</v>
      </c>
      <c r="AC254" s="51" t="s">
        <v>181</v>
      </c>
      <c r="AD254" s="51" t="s">
        <v>67</v>
      </c>
      <c r="AE254" s="51" t="s">
        <v>63</v>
      </c>
      <c r="AF254" s="51" t="s">
        <v>70</v>
      </c>
      <c r="AG254" s="51" t="s">
        <v>76</v>
      </c>
      <c r="AH254" s="53">
        <v>42429</v>
      </c>
      <c r="AI254" s="51" t="s">
        <v>64</v>
      </c>
      <c r="AJ254" s="53">
        <v>42429</v>
      </c>
      <c r="AK254" s="51"/>
      <c r="AL254" s="51"/>
      <c r="AM254" s="51"/>
      <c r="AN254" s="51" t="s">
        <v>77</v>
      </c>
      <c r="AO254" s="51" t="s">
        <v>370</v>
      </c>
    </row>
    <row r="255" spans="1:41" x14ac:dyDescent="0.2">
      <c r="A255" s="51">
        <v>10020793</v>
      </c>
      <c r="B255" s="51">
        <v>720</v>
      </c>
      <c r="C255" s="51" t="s">
        <v>26</v>
      </c>
      <c r="D255" s="51" t="s">
        <v>78</v>
      </c>
      <c r="E255" s="53">
        <v>42429</v>
      </c>
      <c r="F255" s="51">
        <v>93690458</v>
      </c>
      <c r="G255" s="51">
        <v>720</v>
      </c>
      <c r="H255" s="51">
        <v>1201120</v>
      </c>
      <c r="I255" s="51" t="s">
        <v>117</v>
      </c>
      <c r="J255" s="51">
        <v>1307782</v>
      </c>
      <c r="K255" s="51" t="s">
        <v>119</v>
      </c>
      <c r="L255" s="51">
        <v>1171090</v>
      </c>
      <c r="M255" s="51" t="s">
        <v>118</v>
      </c>
      <c r="N255" s="51" t="s">
        <v>2405</v>
      </c>
      <c r="O255" s="51">
        <v>228212750</v>
      </c>
      <c r="P255" s="51" t="s">
        <v>2575</v>
      </c>
      <c r="Q255" s="51" t="s">
        <v>1322</v>
      </c>
      <c r="R255" s="51" t="s">
        <v>1677</v>
      </c>
      <c r="S255" s="51" t="s">
        <v>1331</v>
      </c>
      <c r="T255" s="51" t="s">
        <v>2576</v>
      </c>
      <c r="U255" s="51">
        <v>492</v>
      </c>
      <c r="V255" s="51">
        <v>228</v>
      </c>
      <c r="W255" s="51" t="s">
        <v>1332</v>
      </c>
      <c r="X255" s="51">
        <v>21.2</v>
      </c>
      <c r="Y255" s="51" t="s">
        <v>182</v>
      </c>
      <c r="Z255" s="54">
        <v>10430.4</v>
      </c>
      <c r="AA255" s="54">
        <v>4833.6000000000004</v>
      </c>
      <c r="AB255" s="51" t="s">
        <v>182</v>
      </c>
      <c r="AC255" s="51" t="s">
        <v>181</v>
      </c>
      <c r="AD255" s="51" t="s">
        <v>97</v>
      </c>
      <c r="AE255" s="51" t="s">
        <v>63</v>
      </c>
      <c r="AF255" s="51"/>
      <c r="AG255" s="51"/>
      <c r="AH255" s="51"/>
      <c r="AI255" s="51" t="s">
        <v>64</v>
      </c>
      <c r="AJ255" s="53">
        <v>42429</v>
      </c>
      <c r="AK255" s="51"/>
      <c r="AL255" s="51"/>
      <c r="AM255" s="51"/>
      <c r="AN255" s="51"/>
      <c r="AO255" s="51"/>
    </row>
    <row r="256" spans="1:41" x14ac:dyDescent="0.2">
      <c r="A256" s="51">
        <v>10020794</v>
      </c>
      <c r="B256" s="51">
        <v>20</v>
      </c>
      <c r="C256" s="51" t="s">
        <v>18</v>
      </c>
      <c r="D256" s="51" t="s">
        <v>575</v>
      </c>
      <c r="E256" s="53">
        <v>42429</v>
      </c>
      <c r="F256" s="51">
        <v>93689211</v>
      </c>
      <c r="G256" s="51">
        <v>20</v>
      </c>
      <c r="H256" s="51">
        <v>1201656</v>
      </c>
      <c r="I256" s="51" t="s">
        <v>799</v>
      </c>
      <c r="J256" s="51">
        <v>1323482</v>
      </c>
      <c r="K256" s="51" t="s">
        <v>799</v>
      </c>
      <c r="L256" s="51">
        <v>1201656</v>
      </c>
      <c r="M256" s="51" t="s">
        <v>799</v>
      </c>
      <c r="N256" s="51">
        <v>4500213065</v>
      </c>
      <c r="O256" s="51">
        <v>591521505</v>
      </c>
      <c r="P256" s="51" t="s">
        <v>1975</v>
      </c>
      <c r="Q256" s="51" t="s">
        <v>1322</v>
      </c>
      <c r="R256" s="51" t="s">
        <v>1976</v>
      </c>
      <c r="S256" s="51" t="s">
        <v>1331</v>
      </c>
      <c r="T256" s="51" t="s">
        <v>2577</v>
      </c>
      <c r="U256" s="51">
        <v>1998</v>
      </c>
      <c r="V256" s="51">
        <v>2</v>
      </c>
      <c r="W256" s="51" t="s">
        <v>1332</v>
      </c>
      <c r="X256" s="51">
        <v>148.41</v>
      </c>
      <c r="Y256" s="51" t="s">
        <v>182</v>
      </c>
      <c r="Z256" s="54">
        <v>296523.18</v>
      </c>
      <c r="AA256" s="51">
        <v>296.82</v>
      </c>
      <c r="AB256" s="51" t="s">
        <v>182</v>
      </c>
      <c r="AC256" s="51" t="s">
        <v>181</v>
      </c>
      <c r="AD256" s="51" t="s">
        <v>67</v>
      </c>
      <c r="AE256" s="51" t="s">
        <v>63</v>
      </c>
      <c r="AF256" s="51" t="s">
        <v>70</v>
      </c>
      <c r="AG256" s="51" t="s">
        <v>76</v>
      </c>
      <c r="AH256" s="53">
        <v>42429</v>
      </c>
      <c r="AI256" s="51" t="s">
        <v>64</v>
      </c>
      <c r="AJ256" s="53">
        <v>42429</v>
      </c>
      <c r="AK256" s="51"/>
      <c r="AL256" s="51"/>
      <c r="AM256" s="51"/>
      <c r="AN256" s="51" t="s">
        <v>77</v>
      </c>
      <c r="AO256" s="51" t="s">
        <v>191</v>
      </c>
    </row>
    <row r="257" spans="1:41" x14ac:dyDescent="0.2">
      <c r="A257" s="51">
        <v>10020795</v>
      </c>
      <c r="B257" s="51">
        <v>170</v>
      </c>
      <c r="C257" s="51" t="s">
        <v>26</v>
      </c>
      <c r="D257" s="51" t="s">
        <v>78</v>
      </c>
      <c r="E257" s="53">
        <v>42429</v>
      </c>
      <c r="F257" s="51">
        <v>93693860</v>
      </c>
      <c r="G257" s="51">
        <v>170</v>
      </c>
      <c r="H257" s="51">
        <v>1022013</v>
      </c>
      <c r="I257" s="51" t="s">
        <v>114</v>
      </c>
      <c r="J257" s="51">
        <v>1335507</v>
      </c>
      <c r="K257" s="51" t="s">
        <v>114</v>
      </c>
      <c r="L257" s="51">
        <v>1022013</v>
      </c>
      <c r="M257" s="51" t="s">
        <v>114</v>
      </c>
      <c r="N257" s="51">
        <v>78034</v>
      </c>
      <c r="O257" s="51">
        <v>62037099905</v>
      </c>
      <c r="P257" s="51" t="s">
        <v>2169</v>
      </c>
      <c r="Q257" s="51" t="s">
        <v>1322</v>
      </c>
      <c r="R257" s="51" t="s">
        <v>1396</v>
      </c>
      <c r="S257" s="51" t="s">
        <v>1331</v>
      </c>
      <c r="T257" s="51"/>
      <c r="U257" s="51">
        <v>510</v>
      </c>
      <c r="V257" s="51">
        <v>6</v>
      </c>
      <c r="W257" s="51" t="s">
        <v>1332</v>
      </c>
      <c r="X257" s="51">
        <v>78.38</v>
      </c>
      <c r="Y257" s="51" t="s">
        <v>182</v>
      </c>
      <c r="Z257" s="54">
        <v>39973.800000000003</v>
      </c>
      <c r="AA257" s="51">
        <v>470.28</v>
      </c>
      <c r="AB257" s="51" t="s">
        <v>182</v>
      </c>
      <c r="AC257" s="51" t="s">
        <v>181</v>
      </c>
      <c r="AD257" s="51" t="s">
        <v>67</v>
      </c>
      <c r="AE257" s="51" t="s">
        <v>63</v>
      </c>
      <c r="AF257" s="51" t="s">
        <v>94</v>
      </c>
      <c r="AG257" s="51" t="s">
        <v>95</v>
      </c>
      <c r="AH257" s="53">
        <v>42429</v>
      </c>
      <c r="AI257" s="51" t="s">
        <v>64</v>
      </c>
      <c r="AJ257" s="53">
        <v>42429</v>
      </c>
      <c r="AK257" s="51"/>
      <c r="AL257" s="51"/>
      <c r="AM257" s="51"/>
      <c r="AN257" s="51" t="s">
        <v>96</v>
      </c>
      <c r="AO257" s="51" t="s">
        <v>2578</v>
      </c>
    </row>
    <row r="258" spans="1:41" x14ac:dyDescent="0.2">
      <c r="A258" s="51">
        <v>10020797</v>
      </c>
      <c r="B258" s="51">
        <v>120</v>
      </c>
      <c r="C258" s="51" t="s">
        <v>24</v>
      </c>
      <c r="D258" s="51" t="s">
        <v>78</v>
      </c>
      <c r="E258" s="53">
        <v>42429</v>
      </c>
      <c r="F258" s="51">
        <v>93686347</v>
      </c>
      <c r="G258" s="51">
        <v>120</v>
      </c>
      <c r="H258" s="51">
        <v>1201156</v>
      </c>
      <c r="I258" s="51" t="s">
        <v>131</v>
      </c>
      <c r="J258" s="51">
        <v>1308906</v>
      </c>
      <c r="K258" s="51" t="s">
        <v>349</v>
      </c>
      <c r="L258" s="51">
        <v>1201156</v>
      </c>
      <c r="M258" s="51" t="s">
        <v>131</v>
      </c>
      <c r="N258" s="51">
        <v>5349708</v>
      </c>
      <c r="O258" s="51">
        <v>591222215</v>
      </c>
      <c r="P258" s="51" t="s">
        <v>1873</v>
      </c>
      <c r="Q258" s="51" t="s">
        <v>1322</v>
      </c>
      <c r="R258" s="51" t="s">
        <v>1874</v>
      </c>
      <c r="S258" s="51" t="s">
        <v>1331</v>
      </c>
      <c r="T258" s="51">
        <v>1152808</v>
      </c>
      <c r="U258" s="51">
        <v>96</v>
      </c>
      <c r="V258" s="51">
        <v>60</v>
      </c>
      <c r="W258" s="51" t="s">
        <v>1332</v>
      </c>
      <c r="X258" s="51">
        <v>12</v>
      </c>
      <c r="Y258" s="51" t="s">
        <v>182</v>
      </c>
      <c r="Z258" s="54">
        <v>1152</v>
      </c>
      <c r="AA258" s="51">
        <v>720</v>
      </c>
      <c r="AB258" s="51" t="s">
        <v>182</v>
      </c>
      <c r="AC258" s="51" t="s">
        <v>181</v>
      </c>
      <c r="AD258" s="51" t="s">
        <v>61</v>
      </c>
      <c r="AE258" s="51" t="s">
        <v>63</v>
      </c>
      <c r="AF258" s="51" t="s">
        <v>84</v>
      </c>
      <c r="AG258" s="51" t="s">
        <v>82</v>
      </c>
      <c r="AH258" s="53">
        <v>42431</v>
      </c>
      <c r="AI258" s="51" t="s">
        <v>64</v>
      </c>
      <c r="AJ258" s="53">
        <v>42429</v>
      </c>
      <c r="AK258" s="51"/>
      <c r="AL258" s="51"/>
      <c r="AM258" s="51"/>
      <c r="AN258" s="51" t="s">
        <v>84</v>
      </c>
      <c r="AO258" s="51" t="s">
        <v>2579</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6"/>
  <sheetViews>
    <sheetView tabSelected="1" workbookViewId="0">
      <selection activeCell="M61" sqref="M61"/>
    </sheetView>
  </sheetViews>
  <sheetFormatPr defaultRowHeight="12.75" x14ac:dyDescent="0.2"/>
  <cols>
    <col min="1" max="1" width="17.7109375" bestFit="1" customWidth="1"/>
    <col min="14" max="14" width="11.28515625" bestFit="1" customWidth="1"/>
    <col min="15" max="15" width="9.140625" style="19"/>
    <col min="16" max="16" width="2.7109375" style="19" customWidth="1"/>
    <col min="17" max="17" width="17.7109375" bestFit="1" customWidth="1"/>
    <col min="19" max="19" width="15.42578125" bestFit="1" customWidth="1"/>
    <col min="20" max="20" width="11.28515625" bestFit="1" customWidth="1"/>
  </cols>
  <sheetData>
    <row r="1" spans="1:21" ht="38.25" customHeight="1" x14ac:dyDescent="0.2">
      <c r="A1" s="1" t="s">
        <v>0</v>
      </c>
      <c r="O1" s="22"/>
      <c r="P1" s="17"/>
      <c r="Q1" s="2" t="s">
        <v>0</v>
      </c>
      <c r="R1" s="3"/>
      <c r="S1" s="2" t="s">
        <v>1</v>
      </c>
      <c r="T1" s="2" t="s">
        <v>2</v>
      </c>
      <c r="U1" s="4" t="s">
        <v>3</v>
      </c>
    </row>
    <row r="2" spans="1:21" s="7" customFormat="1" ht="25.5" customHeight="1" x14ac:dyDescent="0.2">
      <c r="A2" s="5" t="s">
        <v>4</v>
      </c>
      <c r="B2" s="5" t="s">
        <v>5</v>
      </c>
      <c r="C2" s="5" t="s">
        <v>6</v>
      </c>
      <c r="D2" s="5" t="s">
        <v>7</v>
      </c>
      <c r="E2" s="5" t="s">
        <v>8</v>
      </c>
      <c r="F2" s="5" t="s">
        <v>9</v>
      </c>
      <c r="G2" s="5" t="s">
        <v>10</v>
      </c>
      <c r="H2" s="5" t="s">
        <v>11</v>
      </c>
      <c r="I2" s="5" t="s">
        <v>12</v>
      </c>
      <c r="J2" s="5" t="s">
        <v>13</v>
      </c>
      <c r="K2" s="5" t="s">
        <v>14</v>
      </c>
      <c r="L2" s="5" t="s">
        <v>15</v>
      </c>
      <c r="M2" s="5" t="s">
        <v>16</v>
      </c>
      <c r="N2" s="6" t="s">
        <v>2</v>
      </c>
      <c r="O2" s="22" t="s">
        <v>174</v>
      </c>
      <c r="P2" s="18"/>
      <c r="Q2" s="5" t="s">
        <v>4</v>
      </c>
      <c r="R2" s="5"/>
      <c r="S2" s="5" t="s">
        <v>4</v>
      </c>
      <c r="T2" s="5"/>
      <c r="U2" s="5"/>
    </row>
    <row r="3" spans="1:21" x14ac:dyDescent="0.2">
      <c r="A3" s="8" t="s">
        <v>17</v>
      </c>
      <c r="B3" s="8">
        <v>2</v>
      </c>
      <c r="C3" s="8">
        <v>4</v>
      </c>
      <c r="D3" s="8"/>
      <c r="E3" s="8">
        <v>1</v>
      </c>
      <c r="F3" s="8"/>
      <c r="G3" s="8"/>
      <c r="H3" s="8"/>
      <c r="I3" s="8">
        <v>1</v>
      </c>
      <c r="J3" s="8"/>
      <c r="K3" s="8">
        <v>1</v>
      </c>
      <c r="L3" s="8">
        <v>1</v>
      </c>
      <c r="M3" s="8"/>
      <c r="N3" s="9">
        <v>10</v>
      </c>
      <c r="O3" s="20">
        <f>AVERAGE(B3:M3)</f>
        <v>1.6666666666666667</v>
      </c>
      <c r="Q3" s="8" t="s">
        <v>17</v>
      </c>
      <c r="R3" s="8">
        <v>10</v>
      </c>
      <c r="S3" s="5"/>
      <c r="T3" s="10">
        <v>0</v>
      </c>
      <c r="U3" s="11">
        <f>SUM(T3/R3)-1</f>
        <v>-1</v>
      </c>
    </row>
    <row r="4" spans="1:21" x14ac:dyDescent="0.2">
      <c r="A4" s="8" t="s">
        <v>18</v>
      </c>
      <c r="B4" s="8">
        <v>119</v>
      </c>
      <c r="C4" s="8">
        <v>108</v>
      </c>
      <c r="D4" s="8">
        <v>143</v>
      </c>
      <c r="E4" s="8">
        <v>120</v>
      </c>
      <c r="F4" s="8">
        <v>121</v>
      </c>
      <c r="G4" s="8">
        <v>149</v>
      </c>
      <c r="H4" s="8">
        <v>130</v>
      </c>
      <c r="I4" s="8">
        <v>149</v>
      </c>
      <c r="J4" s="8">
        <v>146</v>
      </c>
      <c r="K4" s="8">
        <v>144</v>
      </c>
      <c r="L4" s="8">
        <v>114</v>
      </c>
      <c r="M4" s="8">
        <v>106</v>
      </c>
      <c r="N4" s="9">
        <v>1549</v>
      </c>
      <c r="O4" s="20">
        <f t="shared" ref="O4:O49" si="0">AVERAGE(B4:M4)</f>
        <v>129.08333333333334</v>
      </c>
      <c r="Q4" s="8" t="s">
        <v>18</v>
      </c>
      <c r="R4" s="8">
        <v>1549</v>
      </c>
      <c r="S4" s="8" t="s">
        <v>18</v>
      </c>
      <c r="T4" s="8">
        <v>911</v>
      </c>
      <c r="U4" s="11">
        <f t="shared" ref="U4:U16" si="1">SUM(T4/R4)-1</f>
        <v>-0.41187863137508074</v>
      </c>
    </row>
    <row r="5" spans="1:21" x14ac:dyDescent="0.2">
      <c r="A5" s="8" t="s">
        <v>19</v>
      </c>
      <c r="B5" s="8"/>
      <c r="C5" s="8">
        <v>3</v>
      </c>
      <c r="D5" s="8"/>
      <c r="E5" s="8">
        <v>1</v>
      </c>
      <c r="F5" s="8"/>
      <c r="G5" s="8">
        <v>1</v>
      </c>
      <c r="H5" s="8">
        <v>1</v>
      </c>
      <c r="I5" s="8">
        <v>5</v>
      </c>
      <c r="J5" s="8">
        <v>2</v>
      </c>
      <c r="K5" s="8">
        <v>3</v>
      </c>
      <c r="L5" s="8">
        <v>1</v>
      </c>
      <c r="M5" s="8">
        <v>2</v>
      </c>
      <c r="N5" s="9">
        <v>19</v>
      </c>
      <c r="O5" s="20">
        <f t="shared" si="0"/>
        <v>2.1111111111111112</v>
      </c>
      <c r="Q5" s="8" t="s">
        <v>19</v>
      </c>
      <c r="R5" s="8">
        <v>19</v>
      </c>
      <c r="S5" s="8" t="s">
        <v>19</v>
      </c>
      <c r="T5" s="8">
        <v>7</v>
      </c>
      <c r="U5" s="11">
        <f t="shared" si="1"/>
        <v>-0.63157894736842102</v>
      </c>
    </row>
    <row r="6" spans="1:21" x14ac:dyDescent="0.2">
      <c r="A6" s="8" t="s">
        <v>20</v>
      </c>
      <c r="B6" s="8"/>
      <c r="C6" s="8"/>
      <c r="D6" s="8">
        <v>1</v>
      </c>
      <c r="E6" s="8"/>
      <c r="F6" s="8"/>
      <c r="G6" s="8">
        <v>2</v>
      </c>
      <c r="H6" s="8"/>
      <c r="I6" s="8"/>
      <c r="J6" s="8"/>
      <c r="K6" s="8"/>
      <c r="L6" s="8"/>
      <c r="M6" s="8"/>
      <c r="N6" s="9">
        <v>3</v>
      </c>
      <c r="O6" s="20">
        <f t="shared" si="0"/>
        <v>1.5</v>
      </c>
      <c r="Q6" s="8" t="s">
        <v>20</v>
      </c>
      <c r="R6" s="8">
        <v>3</v>
      </c>
      <c r="S6" s="8" t="s">
        <v>20</v>
      </c>
      <c r="T6" s="8">
        <v>1</v>
      </c>
      <c r="U6" s="11">
        <f t="shared" si="1"/>
        <v>-0.66666666666666674</v>
      </c>
    </row>
    <row r="7" spans="1:21" x14ac:dyDescent="0.2">
      <c r="A7" s="8" t="s">
        <v>21</v>
      </c>
      <c r="B7" s="8">
        <v>4</v>
      </c>
      <c r="C7" s="8"/>
      <c r="D7" s="8">
        <v>3</v>
      </c>
      <c r="E7" s="8">
        <v>5</v>
      </c>
      <c r="F7" s="8">
        <v>2</v>
      </c>
      <c r="G7" s="8"/>
      <c r="H7" s="8">
        <v>4</v>
      </c>
      <c r="I7" s="8">
        <v>3</v>
      </c>
      <c r="J7" s="8">
        <v>4</v>
      </c>
      <c r="K7" s="8">
        <v>1</v>
      </c>
      <c r="L7" s="8">
        <v>3</v>
      </c>
      <c r="M7" s="8">
        <v>1</v>
      </c>
      <c r="N7" s="9">
        <v>30</v>
      </c>
      <c r="O7" s="20">
        <f t="shared" si="0"/>
        <v>3</v>
      </c>
      <c r="Q7" s="8" t="s">
        <v>21</v>
      </c>
      <c r="R7" s="8">
        <v>30</v>
      </c>
      <c r="S7" s="8" t="s">
        <v>21</v>
      </c>
      <c r="T7" s="8">
        <v>18</v>
      </c>
      <c r="U7" s="11">
        <f t="shared" si="1"/>
        <v>-0.4</v>
      </c>
    </row>
    <row r="8" spans="1:21" x14ac:dyDescent="0.2">
      <c r="A8" s="8" t="s">
        <v>22</v>
      </c>
      <c r="B8" s="8">
        <v>17</v>
      </c>
      <c r="C8" s="8">
        <v>18</v>
      </c>
      <c r="D8" s="8">
        <v>40</v>
      </c>
      <c r="E8" s="8">
        <v>44</v>
      </c>
      <c r="F8" s="8">
        <v>23</v>
      </c>
      <c r="G8" s="8">
        <v>17</v>
      </c>
      <c r="H8" s="8">
        <v>14</v>
      </c>
      <c r="I8" s="8">
        <v>27</v>
      </c>
      <c r="J8" s="8">
        <v>16</v>
      </c>
      <c r="K8" s="8">
        <v>25</v>
      </c>
      <c r="L8" s="8">
        <v>16</v>
      </c>
      <c r="M8" s="8">
        <v>26</v>
      </c>
      <c r="N8" s="9">
        <v>283</v>
      </c>
      <c r="O8" s="20">
        <f t="shared" si="0"/>
        <v>23.583333333333332</v>
      </c>
      <c r="Q8" s="8" t="s">
        <v>22</v>
      </c>
      <c r="R8" s="8">
        <v>283</v>
      </c>
      <c r="S8" s="8" t="s">
        <v>22</v>
      </c>
      <c r="T8" s="8">
        <v>154</v>
      </c>
      <c r="U8" s="11">
        <f t="shared" si="1"/>
        <v>-0.45583038869257952</v>
      </c>
    </row>
    <row r="9" spans="1:21" x14ac:dyDescent="0.2">
      <c r="A9" s="8" t="s">
        <v>23</v>
      </c>
      <c r="B9" s="8"/>
      <c r="C9" s="8">
        <v>1</v>
      </c>
      <c r="D9" s="8">
        <v>2</v>
      </c>
      <c r="E9" s="8">
        <v>3</v>
      </c>
      <c r="F9" s="8"/>
      <c r="G9" s="8">
        <v>2</v>
      </c>
      <c r="H9" s="8"/>
      <c r="I9" s="8">
        <v>2</v>
      </c>
      <c r="J9" s="8">
        <v>4</v>
      </c>
      <c r="K9" s="8">
        <v>1</v>
      </c>
      <c r="L9" s="8">
        <v>1</v>
      </c>
      <c r="M9" s="8"/>
      <c r="N9" s="9">
        <v>16</v>
      </c>
      <c r="O9" s="20">
        <f t="shared" si="0"/>
        <v>2</v>
      </c>
      <c r="Q9" s="8" t="s">
        <v>23</v>
      </c>
      <c r="R9" s="8">
        <v>16</v>
      </c>
      <c r="S9" s="8" t="s">
        <v>23</v>
      </c>
      <c r="T9" s="8">
        <v>13</v>
      </c>
      <c r="U9" s="11">
        <f t="shared" si="1"/>
        <v>-0.1875</v>
      </c>
    </row>
    <row r="10" spans="1:21" x14ac:dyDescent="0.2">
      <c r="A10" s="8" t="s">
        <v>24</v>
      </c>
      <c r="B10" s="8">
        <v>27</v>
      </c>
      <c r="C10" s="8">
        <v>34</v>
      </c>
      <c r="D10" s="8">
        <v>39</v>
      </c>
      <c r="E10" s="8">
        <v>25</v>
      </c>
      <c r="F10" s="8">
        <v>11</v>
      </c>
      <c r="G10" s="8">
        <v>19</v>
      </c>
      <c r="H10" s="8">
        <v>15</v>
      </c>
      <c r="I10" s="8">
        <v>16</v>
      </c>
      <c r="J10" s="8">
        <v>20</v>
      </c>
      <c r="K10" s="8">
        <v>18</v>
      </c>
      <c r="L10" s="8">
        <v>12</v>
      </c>
      <c r="M10" s="8">
        <v>10</v>
      </c>
      <c r="N10" s="9">
        <v>246</v>
      </c>
      <c r="O10" s="20">
        <f t="shared" si="0"/>
        <v>20.5</v>
      </c>
      <c r="Q10" s="8" t="s">
        <v>24</v>
      </c>
      <c r="R10" s="8">
        <v>246</v>
      </c>
      <c r="S10" s="8" t="s">
        <v>24</v>
      </c>
      <c r="T10" s="8">
        <v>152</v>
      </c>
      <c r="U10" s="11">
        <f t="shared" si="1"/>
        <v>-0.38211382113821135</v>
      </c>
    </row>
    <row r="11" spans="1:21" x14ac:dyDescent="0.2">
      <c r="A11" s="8" t="s">
        <v>25</v>
      </c>
      <c r="B11" s="8">
        <v>16</v>
      </c>
      <c r="C11" s="8">
        <v>20</v>
      </c>
      <c r="D11" s="8">
        <v>11</v>
      </c>
      <c r="E11" s="8">
        <v>15</v>
      </c>
      <c r="F11" s="8">
        <v>8</v>
      </c>
      <c r="G11" s="8">
        <v>6</v>
      </c>
      <c r="H11" s="8">
        <v>11</v>
      </c>
      <c r="I11" s="8">
        <v>6</v>
      </c>
      <c r="J11" s="8">
        <v>14</v>
      </c>
      <c r="K11" s="8">
        <v>16</v>
      </c>
      <c r="L11" s="8">
        <v>13</v>
      </c>
      <c r="M11" s="8">
        <v>16</v>
      </c>
      <c r="N11" s="9">
        <v>152</v>
      </c>
      <c r="O11" s="20">
        <f t="shared" si="0"/>
        <v>12.666666666666666</v>
      </c>
      <c r="Q11" s="8" t="s">
        <v>25</v>
      </c>
      <c r="R11" s="8">
        <v>152</v>
      </c>
      <c r="S11" s="8" t="s">
        <v>25</v>
      </c>
      <c r="T11" s="8">
        <v>70</v>
      </c>
      <c r="U11" s="11">
        <f t="shared" si="1"/>
        <v>-0.53947368421052633</v>
      </c>
    </row>
    <row r="12" spans="1:21" x14ac:dyDescent="0.2">
      <c r="A12" s="8" t="s">
        <v>26</v>
      </c>
      <c r="B12" s="8">
        <v>86</v>
      </c>
      <c r="C12" s="8">
        <v>93</v>
      </c>
      <c r="D12" s="8">
        <v>114</v>
      </c>
      <c r="E12" s="8">
        <v>78</v>
      </c>
      <c r="F12" s="8">
        <v>82</v>
      </c>
      <c r="G12" s="8">
        <v>68</v>
      </c>
      <c r="H12" s="8">
        <v>84</v>
      </c>
      <c r="I12" s="8">
        <v>81</v>
      </c>
      <c r="J12" s="8">
        <v>97</v>
      </c>
      <c r="K12" s="8">
        <v>103</v>
      </c>
      <c r="L12" s="8">
        <v>67</v>
      </c>
      <c r="M12" s="8">
        <v>87</v>
      </c>
      <c r="N12" s="9">
        <v>1040</v>
      </c>
      <c r="O12" s="20">
        <f t="shared" si="0"/>
        <v>86.666666666666671</v>
      </c>
      <c r="Q12" s="8" t="s">
        <v>26</v>
      </c>
      <c r="R12" s="8">
        <v>1040</v>
      </c>
      <c r="S12" s="8" t="s">
        <v>26</v>
      </c>
      <c r="T12" s="8">
        <v>575</v>
      </c>
      <c r="U12" s="11">
        <f t="shared" si="1"/>
        <v>-0.44711538461538458</v>
      </c>
    </row>
    <row r="13" spans="1:21" x14ac:dyDescent="0.2">
      <c r="A13" s="8" t="s">
        <v>27</v>
      </c>
      <c r="B13" s="8">
        <v>2</v>
      </c>
      <c r="C13" s="8"/>
      <c r="D13" s="8">
        <v>4</v>
      </c>
      <c r="E13" s="8">
        <v>2</v>
      </c>
      <c r="F13" s="8">
        <v>1</v>
      </c>
      <c r="G13" s="8">
        <v>1</v>
      </c>
      <c r="H13" s="8"/>
      <c r="I13" s="8">
        <v>1</v>
      </c>
      <c r="J13" s="8">
        <v>4</v>
      </c>
      <c r="K13" s="8">
        <v>1</v>
      </c>
      <c r="L13" s="8">
        <v>2</v>
      </c>
      <c r="M13" s="8">
        <v>3</v>
      </c>
      <c r="N13" s="9">
        <v>21</v>
      </c>
      <c r="O13" s="20">
        <f t="shared" si="0"/>
        <v>2.1</v>
      </c>
      <c r="Q13" s="8" t="s">
        <v>27</v>
      </c>
      <c r="R13" s="8">
        <v>21</v>
      </c>
      <c r="S13" s="8" t="s">
        <v>27</v>
      </c>
      <c r="T13" s="8">
        <v>10</v>
      </c>
      <c r="U13" s="11">
        <f t="shared" si="1"/>
        <v>-0.52380952380952384</v>
      </c>
    </row>
    <row r="14" spans="1:21" x14ac:dyDescent="0.2">
      <c r="A14" s="8" t="s">
        <v>28</v>
      </c>
      <c r="B14" s="8">
        <v>4</v>
      </c>
      <c r="C14" s="8">
        <v>1</v>
      </c>
      <c r="D14" s="8">
        <v>2</v>
      </c>
      <c r="E14" s="8"/>
      <c r="F14" s="8"/>
      <c r="G14" s="8"/>
      <c r="H14" s="8"/>
      <c r="I14" s="8"/>
      <c r="J14" s="8"/>
      <c r="K14" s="8"/>
      <c r="L14" s="8"/>
      <c r="M14" s="8"/>
      <c r="N14" s="9">
        <v>7</v>
      </c>
      <c r="O14" s="20">
        <f t="shared" si="0"/>
        <v>2.3333333333333335</v>
      </c>
      <c r="Q14" s="8" t="s">
        <v>28</v>
      </c>
      <c r="R14" s="8">
        <v>7</v>
      </c>
      <c r="S14" s="8" t="s">
        <v>28</v>
      </c>
      <c r="T14" s="8">
        <v>1</v>
      </c>
      <c r="U14" s="11">
        <f t="shared" si="1"/>
        <v>-0.85714285714285721</v>
      </c>
    </row>
    <row r="15" spans="1:21" x14ac:dyDescent="0.2">
      <c r="A15" s="8" t="s">
        <v>29</v>
      </c>
      <c r="B15" s="8">
        <v>1</v>
      </c>
      <c r="C15" s="8"/>
      <c r="D15" s="8"/>
      <c r="E15" s="8"/>
      <c r="F15" s="8"/>
      <c r="G15" s="8">
        <v>3</v>
      </c>
      <c r="H15" s="8">
        <v>2</v>
      </c>
      <c r="I15" s="8">
        <v>2</v>
      </c>
      <c r="J15" s="8">
        <v>3</v>
      </c>
      <c r="K15" s="8">
        <v>2</v>
      </c>
      <c r="L15" s="8">
        <v>2</v>
      </c>
      <c r="M15" s="8"/>
      <c r="N15" s="9">
        <v>15</v>
      </c>
      <c r="O15" s="20">
        <f t="shared" si="0"/>
        <v>2.1428571428571428</v>
      </c>
      <c r="Q15" s="8" t="s">
        <v>29</v>
      </c>
      <c r="R15" s="8">
        <v>15</v>
      </c>
      <c r="S15" s="8" t="s">
        <v>29</v>
      </c>
      <c r="T15" s="8">
        <v>8</v>
      </c>
      <c r="U15" s="11">
        <f t="shared" si="1"/>
        <v>-0.46666666666666667</v>
      </c>
    </row>
    <row r="16" spans="1:21" x14ac:dyDescent="0.2">
      <c r="A16" s="2" t="s">
        <v>2</v>
      </c>
      <c r="B16" s="2">
        <v>278</v>
      </c>
      <c r="C16" s="2">
        <v>282</v>
      </c>
      <c r="D16" s="2">
        <v>359</v>
      </c>
      <c r="E16" s="2">
        <v>294</v>
      </c>
      <c r="F16" s="2">
        <v>248</v>
      </c>
      <c r="G16" s="2">
        <v>268</v>
      </c>
      <c r="H16" s="2">
        <v>261</v>
      </c>
      <c r="I16" s="2">
        <v>293</v>
      </c>
      <c r="J16" s="2">
        <v>310</v>
      </c>
      <c r="K16" s="2">
        <v>315</v>
      </c>
      <c r="L16" s="2">
        <v>232</v>
      </c>
      <c r="M16" s="2">
        <v>251</v>
      </c>
      <c r="N16" s="12">
        <v>3391</v>
      </c>
      <c r="O16" s="23">
        <f t="shared" si="0"/>
        <v>282.58333333333331</v>
      </c>
      <c r="Q16" s="2" t="s">
        <v>2</v>
      </c>
      <c r="R16" s="2">
        <v>3391</v>
      </c>
      <c r="S16" s="2" t="s">
        <v>2</v>
      </c>
      <c r="T16" s="2">
        <v>1920</v>
      </c>
      <c r="U16" s="13">
        <f t="shared" si="1"/>
        <v>-0.43379534060749037</v>
      </c>
    </row>
    <row r="17" spans="1:21" x14ac:dyDescent="0.2">
      <c r="A17" s="8"/>
      <c r="B17" s="8"/>
      <c r="C17" s="8"/>
      <c r="D17" s="8"/>
      <c r="E17" s="8"/>
      <c r="F17" s="8"/>
      <c r="G17" s="8"/>
      <c r="H17" s="8"/>
      <c r="I17" s="8"/>
      <c r="J17" s="8"/>
      <c r="K17" s="8"/>
      <c r="L17" s="8"/>
      <c r="M17" s="8"/>
      <c r="N17" s="9"/>
      <c r="O17" s="20"/>
    </row>
    <row r="18" spans="1:21" ht="93.6" customHeight="1" x14ac:dyDescent="0.2">
      <c r="A18" s="14" t="s">
        <v>1</v>
      </c>
      <c r="Q18" s="59" t="s">
        <v>30</v>
      </c>
      <c r="R18" s="59"/>
      <c r="S18" s="59"/>
      <c r="T18" s="59"/>
      <c r="U18" s="59"/>
    </row>
    <row r="19" spans="1:21" ht="25.5" x14ac:dyDescent="0.2">
      <c r="A19" s="5" t="s">
        <v>4</v>
      </c>
      <c r="B19" s="5" t="s">
        <v>5</v>
      </c>
      <c r="C19" s="5" t="s">
        <v>6</v>
      </c>
      <c r="D19" s="5" t="s">
        <v>7</v>
      </c>
      <c r="E19" s="5" t="s">
        <v>8</v>
      </c>
      <c r="F19" s="5" t="s">
        <v>9</v>
      </c>
      <c r="G19" s="5" t="s">
        <v>10</v>
      </c>
      <c r="H19" s="5" t="s">
        <v>11</v>
      </c>
      <c r="I19" s="5" t="s">
        <v>12</v>
      </c>
      <c r="J19" s="5" t="s">
        <v>13</v>
      </c>
      <c r="K19" s="5" t="s">
        <v>14</v>
      </c>
      <c r="L19" s="5" t="s">
        <v>15</v>
      </c>
      <c r="M19" s="5" t="s">
        <v>16</v>
      </c>
      <c r="N19" s="6" t="s">
        <v>2</v>
      </c>
      <c r="O19" s="22" t="s">
        <v>174</v>
      </c>
    </row>
    <row r="20" spans="1:21" x14ac:dyDescent="0.2">
      <c r="A20" s="8" t="s">
        <v>18</v>
      </c>
      <c r="B20" s="8">
        <v>82</v>
      </c>
      <c r="C20" s="8">
        <v>79</v>
      </c>
      <c r="D20" s="8">
        <v>84</v>
      </c>
      <c r="E20" s="8">
        <v>69</v>
      </c>
      <c r="F20" s="8">
        <v>62</v>
      </c>
      <c r="G20" s="8">
        <v>85</v>
      </c>
      <c r="H20" s="8">
        <v>66</v>
      </c>
      <c r="I20" s="8">
        <v>84</v>
      </c>
      <c r="J20" s="8">
        <v>89</v>
      </c>
      <c r="K20" s="8">
        <v>89</v>
      </c>
      <c r="L20" s="8">
        <v>63</v>
      </c>
      <c r="M20" s="8">
        <v>59</v>
      </c>
      <c r="N20" s="9">
        <v>911</v>
      </c>
      <c r="O20" s="20">
        <f t="shared" si="0"/>
        <v>75.916666666666671</v>
      </c>
    </row>
    <row r="21" spans="1:21" x14ac:dyDescent="0.2">
      <c r="A21" s="8" t="s">
        <v>19</v>
      </c>
      <c r="B21" s="8"/>
      <c r="C21" s="8">
        <v>3</v>
      </c>
      <c r="D21" s="8"/>
      <c r="E21" s="8"/>
      <c r="F21" s="8"/>
      <c r="G21" s="8">
        <v>1</v>
      </c>
      <c r="H21" s="8">
        <v>1</v>
      </c>
      <c r="I21" s="8">
        <v>2</v>
      </c>
      <c r="J21" s="8"/>
      <c r="K21" s="8"/>
      <c r="L21" s="8"/>
      <c r="M21" s="8"/>
      <c r="N21" s="9">
        <v>7</v>
      </c>
      <c r="O21" s="20">
        <f t="shared" si="0"/>
        <v>1.75</v>
      </c>
    </row>
    <row r="22" spans="1:21" x14ac:dyDescent="0.2">
      <c r="A22" s="8" t="s">
        <v>20</v>
      </c>
      <c r="B22" s="8"/>
      <c r="C22" s="8"/>
      <c r="D22" s="8"/>
      <c r="E22" s="8"/>
      <c r="F22" s="8"/>
      <c r="G22" s="8">
        <v>1</v>
      </c>
      <c r="H22" s="8"/>
      <c r="I22" s="8"/>
      <c r="J22" s="8"/>
      <c r="K22" s="8"/>
      <c r="L22" s="8"/>
      <c r="M22" s="8"/>
      <c r="N22" s="9">
        <v>1</v>
      </c>
      <c r="O22" s="20">
        <f t="shared" si="0"/>
        <v>1</v>
      </c>
    </row>
    <row r="23" spans="1:21" x14ac:dyDescent="0.2">
      <c r="A23" s="8" t="s">
        <v>21</v>
      </c>
      <c r="B23" s="8">
        <v>4</v>
      </c>
      <c r="C23" s="8"/>
      <c r="D23" s="8">
        <v>1</v>
      </c>
      <c r="E23" s="8">
        <v>2</v>
      </c>
      <c r="F23" s="8"/>
      <c r="G23" s="8"/>
      <c r="H23" s="8">
        <v>4</v>
      </c>
      <c r="I23" s="8">
        <v>2</v>
      </c>
      <c r="J23" s="8">
        <v>3</v>
      </c>
      <c r="K23" s="8">
        <v>1</v>
      </c>
      <c r="L23" s="8">
        <v>1</v>
      </c>
      <c r="M23" s="8"/>
      <c r="N23" s="9">
        <v>18</v>
      </c>
      <c r="O23" s="20">
        <f t="shared" si="0"/>
        <v>2.25</v>
      </c>
    </row>
    <row r="24" spans="1:21" x14ac:dyDescent="0.2">
      <c r="A24" s="8" t="s">
        <v>22</v>
      </c>
      <c r="B24" s="8">
        <v>8</v>
      </c>
      <c r="C24" s="8">
        <v>10</v>
      </c>
      <c r="D24" s="8">
        <v>23</v>
      </c>
      <c r="E24" s="8">
        <v>31</v>
      </c>
      <c r="F24" s="8">
        <v>13</v>
      </c>
      <c r="G24" s="8">
        <v>9</v>
      </c>
      <c r="H24" s="8">
        <v>5</v>
      </c>
      <c r="I24" s="8">
        <v>14</v>
      </c>
      <c r="J24" s="8">
        <v>7</v>
      </c>
      <c r="K24" s="8">
        <v>10</v>
      </c>
      <c r="L24" s="8">
        <v>8</v>
      </c>
      <c r="M24" s="8">
        <v>16</v>
      </c>
      <c r="N24" s="9">
        <v>154</v>
      </c>
      <c r="O24" s="20">
        <f t="shared" si="0"/>
        <v>12.833333333333334</v>
      </c>
    </row>
    <row r="25" spans="1:21" x14ac:dyDescent="0.2">
      <c r="A25" s="8" t="s">
        <v>23</v>
      </c>
      <c r="B25" s="8"/>
      <c r="C25" s="8">
        <v>1</v>
      </c>
      <c r="D25" s="8">
        <v>1</v>
      </c>
      <c r="E25" s="8">
        <v>3</v>
      </c>
      <c r="F25" s="8"/>
      <c r="G25" s="8">
        <v>2</v>
      </c>
      <c r="H25" s="8"/>
      <c r="I25" s="8">
        <v>1</v>
      </c>
      <c r="J25" s="8">
        <v>3</v>
      </c>
      <c r="K25" s="8">
        <v>1</v>
      </c>
      <c r="L25" s="8">
        <v>1</v>
      </c>
      <c r="M25" s="8"/>
      <c r="N25" s="9">
        <v>13</v>
      </c>
      <c r="O25" s="20">
        <f t="shared" si="0"/>
        <v>1.625</v>
      </c>
    </row>
    <row r="26" spans="1:21" x14ac:dyDescent="0.2">
      <c r="A26" s="8" t="s">
        <v>24</v>
      </c>
      <c r="B26" s="8">
        <v>17</v>
      </c>
      <c r="C26" s="8">
        <v>25</v>
      </c>
      <c r="D26" s="8">
        <v>29</v>
      </c>
      <c r="E26" s="8">
        <v>11</v>
      </c>
      <c r="F26" s="8">
        <v>6</v>
      </c>
      <c r="G26" s="8">
        <v>8</v>
      </c>
      <c r="H26" s="8">
        <v>13</v>
      </c>
      <c r="I26" s="8">
        <v>7</v>
      </c>
      <c r="J26" s="8">
        <v>13</v>
      </c>
      <c r="K26" s="8">
        <v>10</v>
      </c>
      <c r="L26" s="8">
        <v>6</v>
      </c>
      <c r="M26" s="8">
        <v>7</v>
      </c>
      <c r="N26" s="9">
        <v>152</v>
      </c>
      <c r="O26" s="20">
        <f t="shared" si="0"/>
        <v>12.666666666666666</v>
      </c>
    </row>
    <row r="27" spans="1:21" x14ac:dyDescent="0.2">
      <c r="A27" s="8" t="s">
        <v>25</v>
      </c>
      <c r="B27" s="8">
        <v>12</v>
      </c>
      <c r="C27" s="8">
        <v>14</v>
      </c>
      <c r="D27" s="8">
        <v>3</v>
      </c>
      <c r="E27" s="8">
        <v>9</v>
      </c>
      <c r="F27" s="8">
        <v>4</v>
      </c>
      <c r="G27" s="8">
        <v>3</v>
      </c>
      <c r="H27" s="8">
        <v>5</v>
      </c>
      <c r="I27" s="8">
        <v>3</v>
      </c>
      <c r="J27" s="8">
        <v>2</v>
      </c>
      <c r="K27" s="8">
        <v>3</v>
      </c>
      <c r="L27" s="8">
        <v>6</v>
      </c>
      <c r="M27" s="8">
        <v>6</v>
      </c>
      <c r="N27" s="9">
        <v>70</v>
      </c>
      <c r="O27" s="20">
        <f t="shared" si="0"/>
        <v>5.833333333333333</v>
      </c>
    </row>
    <row r="28" spans="1:21" x14ac:dyDescent="0.2">
      <c r="A28" s="8" t="s">
        <v>26</v>
      </c>
      <c r="B28" s="8">
        <v>47</v>
      </c>
      <c r="C28" s="8">
        <v>52</v>
      </c>
      <c r="D28" s="8">
        <v>61</v>
      </c>
      <c r="E28" s="8">
        <v>42</v>
      </c>
      <c r="F28" s="8">
        <v>38</v>
      </c>
      <c r="G28" s="8">
        <v>35</v>
      </c>
      <c r="H28" s="8">
        <v>46</v>
      </c>
      <c r="I28" s="8">
        <v>39</v>
      </c>
      <c r="J28" s="8">
        <v>62</v>
      </c>
      <c r="K28" s="8">
        <v>70</v>
      </c>
      <c r="L28" s="8">
        <v>33</v>
      </c>
      <c r="M28" s="8">
        <v>50</v>
      </c>
      <c r="N28" s="9">
        <v>575</v>
      </c>
      <c r="O28" s="20">
        <f t="shared" si="0"/>
        <v>47.916666666666664</v>
      </c>
    </row>
    <row r="29" spans="1:21" x14ac:dyDescent="0.2">
      <c r="A29" s="8" t="s">
        <v>27</v>
      </c>
      <c r="B29" s="8"/>
      <c r="C29" s="8"/>
      <c r="D29" s="8">
        <v>3</v>
      </c>
      <c r="E29" s="8"/>
      <c r="F29" s="8">
        <v>1</v>
      </c>
      <c r="G29" s="8"/>
      <c r="H29" s="8"/>
      <c r="I29" s="8"/>
      <c r="J29" s="8">
        <v>2</v>
      </c>
      <c r="K29" s="8">
        <v>1</v>
      </c>
      <c r="L29" s="8">
        <v>2</v>
      </c>
      <c r="M29" s="8">
        <v>1</v>
      </c>
      <c r="N29" s="9">
        <v>10</v>
      </c>
      <c r="O29" s="20">
        <f t="shared" si="0"/>
        <v>1.6666666666666667</v>
      </c>
    </row>
    <row r="30" spans="1:21" x14ac:dyDescent="0.2">
      <c r="A30" s="8" t="s">
        <v>28</v>
      </c>
      <c r="B30" s="8">
        <v>1</v>
      </c>
      <c r="C30" s="8"/>
      <c r="D30" s="8"/>
      <c r="E30" s="8"/>
      <c r="F30" s="8"/>
      <c r="G30" s="8"/>
      <c r="H30" s="8"/>
      <c r="I30" s="8"/>
      <c r="J30" s="8"/>
      <c r="K30" s="8"/>
      <c r="L30" s="8"/>
      <c r="M30" s="8"/>
      <c r="N30" s="9">
        <v>1</v>
      </c>
      <c r="O30" s="20">
        <f t="shared" si="0"/>
        <v>1</v>
      </c>
    </row>
    <row r="31" spans="1:21" x14ac:dyDescent="0.2">
      <c r="A31" s="8" t="s">
        <v>29</v>
      </c>
      <c r="B31" s="8"/>
      <c r="C31" s="8"/>
      <c r="D31" s="8"/>
      <c r="E31" s="8"/>
      <c r="F31" s="8"/>
      <c r="G31" s="8">
        <v>1</v>
      </c>
      <c r="H31" s="8">
        <v>1</v>
      </c>
      <c r="I31" s="8"/>
      <c r="J31" s="8">
        <v>2</v>
      </c>
      <c r="K31" s="8">
        <v>2</v>
      </c>
      <c r="L31" s="8">
        <v>2</v>
      </c>
      <c r="M31" s="8"/>
      <c r="N31" s="9">
        <v>8</v>
      </c>
      <c r="O31" s="20">
        <f t="shared" si="0"/>
        <v>1.6</v>
      </c>
    </row>
    <row r="32" spans="1:21" x14ac:dyDescent="0.2">
      <c r="A32" s="2" t="s">
        <v>2</v>
      </c>
      <c r="B32" s="2">
        <v>171</v>
      </c>
      <c r="C32" s="2">
        <v>184</v>
      </c>
      <c r="D32" s="2">
        <v>205</v>
      </c>
      <c r="E32" s="2">
        <v>167</v>
      </c>
      <c r="F32" s="2">
        <v>124</v>
      </c>
      <c r="G32" s="2">
        <v>145</v>
      </c>
      <c r="H32" s="2">
        <v>141</v>
      </c>
      <c r="I32" s="2">
        <v>152</v>
      </c>
      <c r="J32" s="2">
        <v>183</v>
      </c>
      <c r="K32" s="2">
        <v>187</v>
      </c>
      <c r="L32" s="2">
        <v>122</v>
      </c>
      <c r="M32" s="2">
        <v>139</v>
      </c>
      <c r="N32" s="12">
        <v>1920</v>
      </c>
      <c r="O32" s="23">
        <f t="shared" si="0"/>
        <v>160</v>
      </c>
    </row>
    <row r="34" spans="1:15" ht="25.5" customHeight="1" x14ac:dyDescent="0.2">
      <c r="A34" s="2" t="s">
        <v>171</v>
      </c>
      <c r="B34" s="21" t="s">
        <v>5</v>
      </c>
      <c r="C34" s="21" t="s">
        <v>6</v>
      </c>
      <c r="D34" s="21" t="s">
        <v>7</v>
      </c>
      <c r="E34" s="21" t="s">
        <v>8</v>
      </c>
      <c r="F34" s="21" t="s">
        <v>9</v>
      </c>
      <c r="G34" s="21" t="s">
        <v>10</v>
      </c>
      <c r="H34" s="21" t="s">
        <v>11</v>
      </c>
      <c r="I34" s="21" t="s">
        <v>12</v>
      </c>
      <c r="J34" s="21" t="s">
        <v>13</v>
      </c>
      <c r="K34" s="21" t="s">
        <v>14</v>
      </c>
      <c r="L34" s="21" t="s">
        <v>15</v>
      </c>
      <c r="M34" s="21" t="s">
        <v>16</v>
      </c>
      <c r="N34" s="6" t="s">
        <v>2</v>
      </c>
      <c r="O34" s="22" t="s">
        <v>174</v>
      </c>
    </row>
    <row r="35" spans="1:15" x14ac:dyDescent="0.2">
      <c r="A35" s="5" t="s">
        <v>4</v>
      </c>
      <c r="B35" s="8"/>
      <c r="C35" s="8"/>
      <c r="D35" s="8"/>
      <c r="E35" s="8"/>
      <c r="F35" s="8"/>
      <c r="G35" s="8"/>
      <c r="H35" s="8"/>
      <c r="I35" s="8"/>
      <c r="J35" s="8"/>
      <c r="K35" s="8"/>
      <c r="L35" s="8"/>
      <c r="M35" s="8"/>
      <c r="N35" s="8"/>
      <c r="O35" s="20"/>
    </row>
    <row r="36" spans="1:15" x14ac:dyDescent="0.2">
      <c r="A36" s="8" t="s">
        <v>17</v>
      </c>
      <c r="B36" s="8"/>
      <c r="C36" s="8"/>
      <c r="D36" s="8"/>
      <c r="E36" s="8">
        <v>1</v>
      </c>
      <c r="F36" s="8"/>
      <c r="G36" s="8">
        <v>5</v>
      </c>
      <c r="H36" s="8"/>
      <c r="I36" s="8"/>
      <c r="J36" s="8"/>
      <c r="K36" s="8"/>
      <c r="L36" s="8"/>
      <c r="M36" s="8">
        <v>1</v>
      </c>
      <c r="N36" s="8"/>
      <c r="O36" s="20"/>
    </row>
    <row r="37" spans="1:15" x14ac:dyDescent="0.2">
      <c r="A37" s="8" t="s">
        <v>18</v>
      </c>
      <c r="B37" s="8">
        <v>54</v>
      </c>
      <c r="C37" s="8">
        <v>62</v>
      </c>
      <c r="D37" s="8">
        <v>77</v>
      </c>
      <c r="E37" s="8">
        <v>67</v>
      </c>
      <c r="F37" s="8">
        <v>78</v>
      </c>
      <c r="G37" s="8">
        <v>80</v>
      </c>
      <c r="H37" s="8">
        <v>113</v>
      </c>
      <c r="I37" s="8">
        <v>136</v>
      </c>
      <c r="J37" s="8">
        <v>115</v>
      </c>
      <c r="K37" s="8">
        <v>100</v>
      </c>
      <c r="L37" s="8">
        <v>100</v>
      </c>
      <c r="M37" s="8">
        <v>94</v>
      </c>
      <c r="N37" s="8">
        <f>SUM(B37:M37)</f>
        <v>1076</v>
      </c>
      <c r="O37" s="20">
        <f t="shared" si="0"/>
        <v>89.666666666666671</v>
      </c>
    </row>
    <row r="38" spans="1:15" x14ac:dyDescent="0.2">
      <c r="A38" s="8" t="s">
        <v>19</v>
      </c>
      <c r="B38" s="8">
        <v>0</v>
      </c>
      <c r="C38" s="8"/>
      <c r="D38" s="8">
        <v>1</v>
      </c>
      <c r="E38" s="8"/>
      <c r="F38" s="8"/>
      <c r="G38" s="8"/>
      <c r="H38" s="8"/>
      <c r="I38" s="8"/>
      <c r="J38" s="8"/>
      <c r="K38" s="8"/>
      <c r="L38" s="8"/>
      <c r="M38" s="8"/>
      <c r="N38" s="8">
        <f t="shared" ref="N38:N49" si="2">SUM(B38:M38)</f>
        <v>1</v>
      </c>
      <c r="O38" s="20">
        <f t="shared" si="0"/>
        <v>0.5</v>
      </c>
    </row>
    <row r="39" spans="1:15" x14ac:dyDescent="0.2">
      <c r="A39" s="8" t="s">
        <v>20</v>
      </c>
      <c r="B39" s="8">
        <v>0</v>
      </c>
      <c r="C39" s="8"/>
      <c r="D39" s="8"/>
      <c r="E39" s="8"/>
      <c r="F39" s="8"/>
      <c r="G39" s="8"/>
      <c r="H39" s="8"/>
      <c r="I39" s="8"/>
      <c r="J39" s="8"/>
      <c r="K39" s="8"/>
      <c r="L39" s="8"/>
      <c r="M39" s="8"/>
      <c r="N39" s="8">
        <f t="shared" si="2"/>
        <v>0</v>
      </c>
      <c r="O39" s="20">
        <f t="shared" si="0"/>
        <v>0</v>
      </c>
    </row>
    <row r="40" spans="1:15" x14ac:dyDescent="0.2">
      <c r="A40" s="8" t="s">
        <v>21</v>
      </c>
      <c r="B40" s="8">
        <v>0</v>
      </c>
      <c r="C40" s="8">
        <v>1</v>
      </c>
      <c r="D40" s="8"/>
      <c r="E40" s="8">
        <v>1</v>
      </c>
      <c r="F40" s="8"/>
      <c r="G40" s="8"/>
      <c r="H40" s="8">
        <v>7</v>
      </c>
      <c r="I40" s="8">
        <v>1</v>
      </c>
      <c r="J40" s="8"/>
      <c r="K40" s="8"/>
      <c r="L40" s="8"/>
      <c r="M40" s="8">
        <v>10</v>
      </c>
      <c r="N40" s="8">
        <f t="shared" si="2"/>
        <v>20</v>
      </c>
      <c r="O40" s="20">
        <f t="shared" si="0"/>
        <v>3.3333333333333335</v>
      </c>
    </row>
    <row r="41" spans="1:15" x14ac:dyDescent="0.2">
      <c r="A41" s="8" t="s">
        <v>22</v>
      </c>
      <c r="B41" s="8">
        <v>13</v>
      </c>
      <c r="C41" s="8">
        <v>13</v>
      </c>
      <c r="D41" s="8">
        <v>14</v>
      </c>
      <c r="E41" s="8">
        <v>12</v>
      </c>
      <c r="F41" s="8">
        <v>15</v>
      </c>
      <c r="G41" s="8">
        <v>21</v>
      </c>
      <c r="H41" s="8">
        <v>23</v>
      </c>
      <c r="I41" s="8">
        <v>24</v>
      </c>
      <c r="J41" s="8">
        <v>31</v>
      </c>
      <c r="K41" s="8">
        <v>30</v>
      </c>
      <c r="L41" s="8">
        <v>29</v>
      </c>
      <c r="M41" s="8">
        <v>37</v>
      </c>
      <c r="N41" s="8">
        <f t="shared" si="2"/>
        <v>262</v>
      </c>
      <c r="O41" s="20">
        <f t="shared" si="0"/>
        <v>21.833333333333332</v>
      </c>
    </row>
    <row r="42" spans="1:15" x14ac:dyDescent="0.2">
      <c r="A42" s="8" t="s">
        <v>23</v>
      </c>
      <c r="B42" s="8">
        <v>6</v>
      </c>
      <c r="C42" s="8">
        <v>29</v>
      </c>
      <c r="D42" s="8">
        <v>4</v>
      </c>
      <c r="E42" s="8">
        <v>5</v>
      </c>
      <c r="F42" s="8">
        <v>1</v>
      </c>
      <c r="G42" s="8">
        <v>1</v>
      </c>
      <c r="H42" s="8">
        <v>2</v>
      </c>
      <c r="I42" s="8">
        <v>2</v>
      </c>
      <c r="J42" s="8"/>
      <c r="K42" s="8"/>
      <c r="L42" s="8"/>
      <c r="M42" s="8">
        <v>2</v>
      </c>
      <c r="N42" s="8">
        <f t="shared" si="2"/>
        <v>52</v>
      </c>
      <c r="O42" s="20">
        <f t="shared" si="0"/>
        <v>5.7777777777777777</v>
      </c>
    </row>
    <row r="43" spans="1:15" x14ac:dyDescent="0.2">
      <c r="A43" s="8" t="s">
        <v>24</v>
      </c>
      <c r="B43" s="8">
        <v>6</v>
      </c>
      <c r="C43" s="8">
        <v>15</v>
      </c>
      <c r="D43" s="8">
        <v>20</v>
      </c>
      <c r="E43" s="8">
        <v>7</v>
      </c>
      <c r="F43" s="8">
        <v>13</v>
      </c>
      <c r="G43" s="8">
        <v>19</v>
      </c>
      <c r="H43" s="8">
        <v>19</v>
      </c>
      <c r="I43" s="8">
        <v>5</v>
      </c>
      <c r="J43" s="8">
        <v>6</v>
      </c>
      <c r="K43" s="8">
        <v>12</v>
      </c>
      <c r="L43" s="8">
        <v>4</v>
      </c>
      <c r="M43" s="8">
        <v>2</v>
      </c>
      <c r="N43" s="8">
        <f t="shared" si="2"/>
        <v>128</v>
      </c>
      <c r="O43" s="20">
        <f t="shared" si="0"/>
        <v>10.666666666666666</v>
      </c>
    </row>
    <row r="44" spans="1:15" x14ac:dyDescent="0.2">
      <c r="A44" s="8" t="s">
        <v>25</v>
      </c>
      <c r="B44" s="8">
        <v>6</v>
      </c>
      <c r="C44" s="8">
        <v>9</v>
      </c>
      <c r="D44" s="8">
        <v>7</v>
      </c>
      <c r="E44" s="8">
        <v>10</v>
      </c>
      <c r="F44" s="8">
        <v>10</v>
      </c>
      <c r="G44" s="8">
        <v>11</v>
      </c>
      <c r="H44" s="8">
        <v>2</v>
      </c>
      <c r="I44" s="8">
        <v>3</v>
      </c>
      <c r="J44" s="8">
        <v>5</v>
      </c>
      <c r="K44" s="8">
        <v>79</v>
      </c>
      <c r="L44" s="8">
        <v>8</v>
      </c>
      <c r="M44" s="8">
        <v>5</v>
      </c>
      <c r="N44" s="8">
        <f t="shared" si="2"/>
        <v>155</v>
      </c>
      <c r="O44" s="20">
        <f t="shared" si="0"/>
        <v>12.916666666666666</v>
      </c>
    </row>
    <row r="45" spans="1:15" x14ac:dyDescent="0.2">
      <c r="A45" s="8" t="s">
        <v>26</v>
      </c>
      <c r="B45" s="8">
        <v>48</v>
      </c>
      <c r="C45" s="8">
        <v>70</v>
      </c>
      <c r="D45" s="8">
        <v>54</v>
      </c>
      <c r="E45" s="8">
        <v>48</v>
      </c>
      <c r="F45" s="8">
        <v>67</v>
      </c>
      <c r="G45" s="8">
        <v>64</v>
      </c>
      <c r="H45" s="8">
        <v>77</v>
      </c>
      <c r="I45" s="8">
        <v>82</v>
      </c>
      <c r="J45" s="8">
        <v>67</v>
      </c>
      <c r="K45" s="8">
        <v>65</v>
      </c>
      <c r="L45" s="8">
        <v>79</v>
      </c>
      <c r="M45" s="8">
        <v>113</v>
      </c>
      <c r="N45" s="8">
        <f t="shared" si="2"/>
        <v>834</v>
      </c>
      <c r="O45" s="20">
        <f t="shared" si="0"/>
        <v>69.5</v>
      </c>
    </row>
    <row r="46" spans="1:15" x14ac:dyDescent="0.2">
      <c r="A46" s="8" t="s">
        <v>27</v>
      </c>
      <c r="B46" s="8">
        <v>1</v>
      </c>
      <c r="C46" s="8"/>
      <c r="D46" s="8">
        <v>1</v>
      </c>
      <c r="E46" s="8"/>
      <c r="F46" s="8"/>
      <c r="G46" s="8"/>
      <c r="H46" s="8"/>
      <c r="I46" s="8">
        <v>2</v>
      </c>
      <c r="J46" s="8"/>
      <c r="K46" s="8"/>
      <c r="L46" s="8"/>
      <c r="M46" s="8">
        <v>2</v>
      </c>
      <c r="N46" s="8">
        <f t="shared" si="2"/>
        <v>6</v>
      </c>
      <c r="O46" s="20">
        <f t="shared" si="0"/>
        <v>1.5</v>
      </c>
    </row>
    <row r="47" spans="1:15" x14ac:dyDescent="0.2">
      <c r="A47" s="8" t="s">
        <v>28</v>
      </c>
      <c r="B47" s="8">
        <v>0</v>
      </c>
      <c r="C47" s="8"/>
      <c r="D47" s="8"/>
      <c r="E47" s="8"/>
      <c r="F47" s="8"/>
      <c r="G47" s="8"/>
      <c r="H47" s="8"/>
      <c r="I47" s="8"/>
      <c r="J47" s="8"/>
      <c r="K47" s="8"/>
      <c r="L47" s="8"/>
      <c r="M47" s="8"/>
      <c r="N47" s="8">
        <f t="shared" si="2"/>
        <v>0</v>
      </c>
      <c r="O47" s="20">
        <f t="shared" si="0"/>
        <v>0</v>
      </c>
    </row>
    <row r="48" spans="1:15" x14ac:dyDescent="0.2">
      <c r="A48" s="8" t="s">
        <v>29</v>
      </c>
      <c r="B48" s="8">
        <v>2</v>
      </c>
      <c r="C48" s="8"/>
      <c r="D48" s="8"/>
      <c r="E48" s="8"/>
      <c r="F48" s="8"/>
      <c r="G48" s="8"/>
      <c r="H48" s="8"/>
      <c r="I48" s="8"/>
      <c r="J48" s="8"/>
      <c r="K48" s="8"/>
      <c r="L48" s="8"/>
      <c r="M48" s="8"/>
      <c r="N48" s="8">
        <f t="shared" si="2"/>
        <v>2</v>
      </c>
      <c r="O48" s="20">
        <f t="shared" si="0"/>
        <v>2</v>
      </c>
    </row>
    <row r="49" spans="1:16" x14ac:dyDescent="0.2">
      <c r="A49" s="24" t="s">
        <v>2</v>
      </c>
      <c r="B49" s="2">
        <v>136</v>
      </c>
      <c r="C49" s="2">
        <v>199</v>
      </c>
      <c r="D49" s="2">
        <v>178</v>
      </c>
      <c r="E49" s="2">
        <v>151</v>
      </c>
      <c r="F49" s="2">
        <v>184</v>
      </c>
      <c r="G49" s="2">
        <v>201</v>
      </c>
      <c r="H49" s="2">
        <v>246</v>
      </c>
      <c r="I49" s="2">
        <v>255</v>
      </c>
      <c r="J49" s="2">
        <v>224</v>
      </c>
      <c r="K49" s="2">
        <v>286</v>
      </c>
      <c r="L49" s="2">
        <v>220</v>
      </c>
      <c r="M49" s="2">
        <v>266</v>
      </c>
      <c r="N49" s="2">
        <f t="shared" si="2"/>
        <v>2546</v>
      </c>
      <c r="O49" s="23">
        <f t="shared" si="0"/>
        <v>212.16666666666666</v>
      </c>
    </row>
    <row r="51" spans="1:16" ht="25.5" x14ac:dyDescent="0.2">
      <c r="A51" s="2" t="s">
        <v>1900</v>
      </c>
      <c r="B51" s="21" t="s">
        <v>5</v>
      </c>
      <c r="C51" s="21" t="s">
        <v>6</v>
      </c>
      <c r="D51" s="21" t="s">
        <v>7</v>
      </c>
      <c r="E51" s="21" t="s">
        <v>8</v>
      </c>
      <c r="F51" s="21" t="s">
        <v>9</v>
      </c>
      <c r="G51" s="21" t="s">
        <v>10</v>
      </c>
      <c r="H51" s="21" t="s">
        <v>11</v>
      </c>
      <c r="I51" s="21" t="s">
        <v>12</v>
      </c>
      <c r="J51" s="21" t="s">
        <v>13</v>
      </c>
      <c r="K51" s="21" t="s">
        <v>14</v>
      </c>
      <c r="L51" s="21" t="s">
        <v>15</v>
      </c>
      <c r="M51" s="21" t="s">
        <v>16</v>
      </c>
      <c r="N51" s="6" t="s">
        <v>2</v>
      </c>
      <c r="O51" s="22" t="s">
        <v>174</v>
      </c>
    </row>
    <row r="52" spans="1:16" ht="17.25" customHeight="1" x14ac:dyDescent="0.2">
      <c r="A52" s="5" t="s">
        <v>4</v>
      </c>
      <c r="B52" s="8"/>
      <c r="C52" s="8"/>
      <c r="D52" s="8"/>
      <c r="E52" s="8"/>
      <c r="F52" s="8"/>
      <c r="G52" s="8"/>
      <c r="H52" s="8"/>
      <c r="I52" s="8"/>
      <c r="J52" s="8"/>
      <c r="K52" s="8"/>
      <c r="L52" s="8"/>
      <c r="M52" s="8"/>
      <c r="N52" s="8"/>
      <c r="O52" s="20"/>
      <c r="P52"/>
    </row>
    <row r="53" spans="1:16" x14ac:dyDescent="0.2">
      <c r="A53" s="8" t="s">
        <v>17</v>
      </c>
      <c r="B53" s="8">
        <v>2</v>
      </c>
      <c r="C53" s="8"/>
      <c r="D53" s="8"/>
      <c r="E53" s="8"/>
      <c r="F53" s="8"/>
      <c r="G53" s="8"/>
      <c r="H53" s="8"/>
      <c r="I53" s="8"/>
      <c r="J53" s="8"/>
      <c r="K53" s="8"/>
      <c r="L53" s="8"/>
      <c r="M53" s="8"/>
      <c r="N53" s="8"/>
      <c r="O53" s="20">
        <f t="shared" ref="O53:O63" si="3">AVERAGE(B53:M53)</f>
        <v>2</v>
      </c>
      <c r="P53"/>
    </row>
    <row r="54" spans="1:16" x14ac:dyDescent="0.2">
      <c r="A54" s="8" t="s">
        <v>18</v>
      </c>
      <c r="B54" s="8">
        <v>85</v>
      </c>
      <c r="C54" s="8">
        <v>87</v>
      </c>
      <c r="D54" s="8"/>
      <c r="E54" s="8"/>
      <c r="F54" s="8"/>
      <c r="G54" s="8"/>
      <c r="H54" s="8"/>
      <c r="I54" s="8"/>
      <c r="J54" s="8"/>
      <c r="K54" s="8"/>
      <c r="L54" s="8"/>
      <c r="M54" s="8"/>
      <c r="N54" s="8"/>
      <c r="O54" s="20">
        <f t="shared" si="3"/>
        <v>86</v>
      </c>
      <c r="P54"/>
    </row>
    <row r="55" spans="1:16" x14ac:dyDescent="0.2">
      <c r="A55" s="8" t="s">
        <v>19</v>
      </c>
      <c r="B55" s="8">
        <v>1</v>
      </c>
      <c r="C55" s="8"/>
      <c r="D55" s="8"/>
      <c r="E55" s="8"/>
      <c r="F55" s="8"/>
      <c r="G55" s="8"/>
      <c r="H55" s="8"/>
      <c r="I55" s="8"/>
      <c r="J55" s="8"/>
      <c r="K55" s="8"/>
      <c r="L55" s="8"/>
      <c r="M55" s="8"/>
      <c r="N55" s="8"/>
      <c r="O55" s="20">
        <f t="shared" si="3"/>
        <v>1</v>
      </c>
      <c r="P55"/>
    </row>
    <row r="56" spans="1:16" x14ac:dyDescent="0.2">
      <c r="A56" s="8" t="s">
        <v>20</v>
      </c>
      <c r="B56" s="8"/>
      <c r="C56" s="8">
        <v>1</v>
      </c>
      <c r="D56" s="8"/>
      <c r="E56" s="8"/>
      <c r="F56" s="8"/>
      <c r="G56" s="8"/>
      <c r="H56" s="8"/>
      <c r="I56" s="8"/>
      <c r="J56" s="8"/>
      <c r="K56" s="8"/>
      <c r="L56" s="8"/>
      <c r="M56" s="8"/>
      <c r="N56" s="8"/>
      <c r="O56" s="20">
        <f t="shared" si="3"/>
        <v>1</v>
      </c>
      <c r="P56"/>
    </row>
    <row r="57" spans="1:16" x14ac:dyDescent="0.2">
      <c r="A57" s="8" t="s">
        <v>21</v>
      </c>
      <c r="B57" s="8">
        <v>5</v>
      </c>
      <c r="C57" s="8"/>
      <c r="D57" s="8"/>
      <c r="E57" s="8"/>
      <c r="F57" s="8"/>
      <c r="G57" s="8"/>
      <c r="H57" s="8"/>
      <c r="I57" s="8"/>
      <c r="J57" s="8"/>
      <c r="K57" s="8"/>
      <c r="L57" s="8"/>
      <c r="M57" s="8"/>
      <c r="N57" s="8"/>
      <c r="O57" s="20">
        <f t="shared" si="3"/>
        <v>5</v>
      </c>
      <c r="P57"/>
    </row>
    <row r="58" spans="1:16" x14ac:dyDescent="0.2">
      <c r="A58" s="8" t="s">
        <v>22</v>
      </c>
      <c r="B58" s="8">
        <v>15</v>
      </c>
      <c r="C58" s="8">
        <v>17</v>
      </c>
      <c r="D58" s="8"/>
      <c r="E58" s="8"/>
      <c r="F58" s="8"/>
      <c r="G58" s="8"/>
      <c r="H58" s="8"/>
      <c r="I58" s="8"/>
      <c r="J58" s="8"/>
      <c r="K58" s="8"/>
      <c r="L58" s="8"/>
      <c r="M58" s="8"/>
      <c r="N58" s="8"/>
      <c r="O58" s="20">
        <f t="shared" si="3"/>
        <v>16</v>
      </c>
      <c r="P58"/>
    </row>
    <row r="59" spans="1:16" x14ac:dyDescent="0.2">
      <c r="A59" s="8" t="s">
        <v>23</v>
      </c>
      <c r="B59" s="8">
        <v>1</v>
      </c>
      <c r="C59" s="8"/>
      <c r="D59" s="8"/>
      <c r="E59" s="8"/>
      <c r="F59" s="8"/>
      <c r="G59" s="8"/>
      <c r="H59" s="8"/>
      <c r="I59" s="8"/>
      <c r="J59" s="8"/>
      <c r="K59" s="8"/>
      <c r="L59" s="8"/>
      <c r="M59" s="8"/>
      <c r="N59" s="8"/>
      <c r="O59" s="20">
        <f t="shared" si="3"/>
        <v>1</v>
      </c>
      <c r="P59"/>
    </row>
    <row r="60" spans="1:16" x14ac:dyDescent="0.2">
      <c r="A60" s="8" t="s">
        <v>24</v>
      </c>
      <c r="B60" s="8">
        <v>7</v>
      </c>
      <c r="C60" s="8">
        <v>6</v>
      </c>
      <c r="D60" s="8"/>
      <c r="E60" s="8"/>
      <c r="F60" s="8"/>
      <c r="G60" s="8"/>
      <c r="H60" s="8"/>
      <c r="I60" s="8"/>
      <c r="J60" s="8"/>
      <c r="K60" s="8"/>
      <c r="L60" s="8"/>
      <c r="M60" s="8"/>
      <c r="N60" s="8"/>
      <c r="O60" s="20">
        <f t="shared" si="3"/>
        <v>6.5</v>
      </c>
      <c r="P60"/>
    </row>
    <row r="61" spans="1:16" x14ac:dyDescent="0.2">
      <c r="A61" s="8" t="s">
        <v>25</v>
      </c>
      <c r="B61" s="8">
        <v>2</v>
      </c>
      <c r="C61" s="8">
        <v>16</v>
      </c>
      <c r="D61" s="8"/>
      <c r="E61" s="8"/>
      <c r="F61" s="8"/>
      <c r="G61" s="8"/>
      <c r="H61" s="8"/>
      <c r="I61" s="8"/>
      <c r="J61" s="8"/>
      <c r="K61" s="8"/>
      <c r="L61" s="8"/>
      <c r="M61" s="8"/>
      <c r="N61" s="8"/>
      <c r="O61" s="20">
        <f t="shared" si="3"/>
        <v>9</v>
      </c>
      <c r="P61"/>
    </row>
    <row r="62" spans="1:16" x14ac:dyDescent="0.2">
      <c r="A62" s="8" t="s">
        <v>26</v>
      </c>
      <c r="B62" s="8">
        <v>65</v>
      </c>
      <c r="C62" s="8">
        <v>121</v>
      </c>
      <c r="D62" s="8"/>
      <c r="E62" s="8"/>
      <c r="F62" s="8"/>
      <c r="G62" s="8"/>
      <c r="H62" s="8"/>
      <c r="I62" s="8"/>
      <c r="J62" s="8"/>
      <c r="K62" s="8"/>
      <c r="L62" s="8"/>
      <c r="M62" s="8"/>
      <c r="N62" s="8"/>
      <c r="O62" s="20">
        <f t="shared" si="3"/>
        <v>93</v>
      </c>
      <c r="P62"/>
    </row>
    <row r="63" spans="1:16" x14ac:dyDescent="0.2">
      <c r="A63" s="8" t="s">
        <v>27</v>
      </c>
      <c r="B63" s="8">
        <v>4</v>
      </c>
      <c r="C63" s="8">
        <v>4</v>
      </c>
      <c r="D63" s="8"/>
      <c r="E63" s="8"/>
      <c r="F63" s="8"/>
      <c r="G63" s="8"/>
      <c r="H63" s="8"/>
      <c r="I63" s="8"/>
      <c r="J63" s="8"/>
      <c r="K63" s="8"/>
      <c r="L63" s="8"/>
      <c r="M63" s="8"/>
      <c r="N63" s="8"/>
      <c r="O63" s="20">
        <f t="shared" si="3"/>
        <v>4</v>
      </c>
      <c r="P63"/>
    </row>
    <row r="64" spans="1:16" x14ac:dyDescent="0.2">
      <c r="A64" s="8" t="s">
        <v>28</v>
      </c>
      <c r="B64" s="8"/>
      <c r="C64" s="8"/>
      <c r="D64" s="8"/>
      <c r="E64" s="8"/>
      <c r="F64" s="8"/>
      <c r="G64" s="8"/>
      <c r="H64" s="8"/>
      <c r="I64" s="8"/>
      <c r="J64" s="8"/>
      <c r="K64" s="8"/>
      <c r="L64" s="8"/>
      <c r="M64" s="8"/>
      <c r="N64" s="8"/>
      <c r="O64" s="20"/>
    </row>
    <row r="65" spans="1:15" x14ac:dyDescent="0.2">
      <c r="A65" s="8" t="s">
        <v>29</v>
      </c>
      <c r="B65" s="8"/>
      <c r="C65" s="8"/>
      <c r="D65" s="8"/>
      <c r="E65" s="8"/>
      <c r="F65" s="8"/>
      <c r="G65" s="8"/>
      <c r="H65" s="8"/>
      <c r="I65" s="8"/>
      <c r="J65" s="8"/>
      <c r="K65" s="8"/>
      <c r="L65" s="8"/>
      <c r="M65" s="8"/>
      <c r="N65" s="8"/>
      <c r="O65" s="20"/>
    </row>
    <row r="66" spans="1:15" x14ac:dyDescent="0.2">
      <c r="A66" s="24" t="s">
        <v>2</v>
      </c>
      <c r="B66" s="2">
        <v>187</v>
      </c>
      <c r="C66" s="2">
        <v>252</v>
      </c>
      <c r="D66" s="2"/>
      <c r="E66" s="2"/>
      <c r="F66" s="2"/>
      <c r="G66" s="2"/>
      <c r="H66" s="2"/>
      <c r="I66" s="2"/>
      <c r="J66" s="2"/>
      <c r="K66" s="2"/>
      <c r="L66" s="2"/>
      <c r="M66" s="2"/>
      <c r="N66" s="2"/>
      <c r="O66" s="23"/>
    </row>
  </sheetData>
  <mergeCells count="1">
    <mergeCell ref="Q18:U18"/>
  </mergeCells>
  <pageMargins left="0.7" right="0.7" top="0.75" bottom="0.75" header="0.3" footer="0.3"/>
  <pageSetup scale="60" fitToHeight="0" orientation="landscape" r:id="rId1"/>
  <headerFooter>
    <oddHeader>&amp;CShip Discrepancy
2013 to 2014 Year Comparison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CR Summary Jan</vt:lpstr>
      <vt:lpstr>Aug. 2015-RAW DATA</vt:lpstr>
      <vt:lpstr>Sept. 2015-RAW DATA</vt:lpstr>
      <vt:lpstr>Oct. 2015- RAW DATA</vt:lpstr>
      <vt:lpstr>Nov. 2015- RAW DATA</vt:lpstr>
      <vt:lpstr>Dec. 2015- RAW DATA</vt:lpstr>
      <vt:lpstr>Jan. 2016- RAW DATA</vt:lpstr>
      <vt:lpstr>Feb. 2016- RAW DATA</vt:lpstr>
      <vt:lpstr>SDR YR OVR YR Compare</vt:lpstr>
    </vt:vector>
  </TitlesOfParts>
  <Company>Watson Pharmaceuticals,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 Foley</dc:creator>
  <cp:lastModifiedBy>Foley, Kevin</cp:lastModifiedBy>
  <dcterms:created xsi:type="dcterms:W3CDTF">2015-02-03T21:08:38Z</dcterms:created>
  <dcterms:modified xsi:type="dcterms:W3CDTF">2016-03-03T17:23:31Z</dcterms:modified>
</cp:coreProperties>
</file>